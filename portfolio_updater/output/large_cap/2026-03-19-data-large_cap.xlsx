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ategy" sheetId="1" r:id="rId5"/>
    <sheet state="visible" name="Company Page Data" sheetId="2" r:id="rId6"/>
    <sheet state="visible" name="Buy Sell Alerts" sheetId="3" r:id="rId7"/>
    <sheet state="visible" name="Analytics" sheetId="4" r:id="rId8"/>
    <sheet state="visible" name="Equity Curve" sheetId="5" r:id="rId9"/>
    <sheet state="visible" name="Trades" sheetId="6" r:id="rId10"/>
    <sheet state="visible" name="Monthly Performance" sheetId="7" r:id="rId11"/>
    <sheet state="visible" name="XJO" sheetId="8" r:id="rId12"/>
  </sheets>
  <definedNames/>
  <calcPr/>
</workbook>
</file>

<file path=xl/sharedStrings.xml><?xml version="1.0" encoding="utf-8"?>
<sst xmlns="http://schemas.openxmlformats.org/spreadsheetml/2006/main" count="2291" uniqueCount="926">
  <si>
    <t>Large Cap</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</si>
  <si>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</si>
  <si>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</si>
  <si>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</si>
  <si>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</si>
  <si>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</si>
  <si>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</si>
  <si>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</si>
  <si>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</si>
  <si>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</si>
  <si>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</si>
  <si>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</si>
  <si>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</si>
  <si>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</si>
  <si>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</si>
  <si>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Name:</t>
  </si>
  <si>
    <t>Code:</t>
  </si>
  <si>
    <t>Sector:</t>
  </si>
  <si>
    <t>Alert Price:</t>
  </si>
  <si>
    <t>Last Price:</t>
  </si>
  <si>
    <t>% From Alert Price:</t>
  </si>
  <si>
    <t>Stop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</si>
  <si>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</si>
  <si>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</si>
  <si>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</si>
  <si>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</si>
  <si>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</si>
  <si>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</si>
  <si>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</si>
  <si>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</si>
  <si>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</si>
  <si>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</si>
  <si>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</si>
  <si>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</si>
  <si>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</si>
  <si>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</si>
  <si>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</si>
  <si>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</si>
  <si>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</si>
  <si>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Ramsay Health Care Limited Ordinary</t>
  </si>
  <si>
    <t>RHC</t>
  </si>
  <si>
    <t>Health Care</t>
  </si>
  <si>
    <t>$8.1B</t>
  </si>
  <si>
    <t>Ramsay Health Care Limited is a provider of hospital and healthcare services in Australia, Europe and the United Kingdom. Its segments include Australia, the UK, France and the Nordics. Its businesses include Ramsay Australia, Ramsay Sante, Ramsay UK, and Elysium Healthcare. Ramsay Health Care is Australia's private hospital operator, with more than 70 modern hospitals, clinics and surgical centers in cities and towns across the country. Ramsay Sante is a private care provider in Europe with hundreds of modern hospitals, clinics, primary care and imaging centers across France, Sweden, Norway, Denmark and Italy. Ramsay UK has a network of hospitals and day surgeries across the UK providing a range of clinical specialties to private and self-insured patients. Elysium Healthcare is an independent provider of specialist health and care services. Elysium's four core service streams are mental health and wellbeing, learning disabilities and autism, neurological, and children and education.</t>
  </si>
  <si>
    <t>1296.0x</t>
  </si>
  <si>
    <t>0.5x</t>
  </si>
  <si>
    <t>14.9x</t>
  </si>
  <si>
    <t>$11335.5M</t>
  </si>
  <si>
    <t>$542.6M</t>
  </si>
  <si>
    <t>Rio Tinto Limited Ordinary</t>
  </si>
  <si>
    <t>RIO</t>
  </si>
  <si>
    <t>Materials</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</si>
  <si>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</si>
  <si>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</si>
  <si>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</si>
  <si>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2.6x</t>
  </si>
  <si>
    <t>$22572.8M</t>
  </si>
  <si>
    <t>$-1587.8M</t>
  </si>
  <si>
    <t>Dalrymple Bay Infrastructure Limited Ordinary/Notes Stapled Securities</t>
  </si>
  <si>
    <t>DBI</t>
  </si>
  <si>
    <t>Industrials</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</si>
  <si>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</si>
  <si>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</si>
  <si>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</si>
  <si>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3.2x</t>
  </si>
  <si>
    <t>213.1x</t>
  </si>
  <si>
    <t>$1869.4M</t>
  </si>
  <si>
    <t>$11.4M</t>
  </si>
  <si>
    <t>ANZ Group Holdings Limited Ordinary</t>
  </si>
  <si>
    <t>ANZ</t>
  </si>
  <si>
    <t>Financials</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</si>
  <si>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</si>
  <si>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</si>
  <si>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</si>
  <si>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4.7x</t>
  </si>
  <si>
    <t>5.1x</t>
  </si>
  <si>
    <t>$40981.0M</t>
  </si>
  <si>
    <t>$21537.0M</t>
  </si>
  <si>
    <t>AGL Energy Limited Ordinary</t>
  </si>
  <si>
    <t>AGL</t>
  </si>
  <si>
    <t>Utilities</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</si>
  <si>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</si>
  <si>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</si>
  <si>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0.4x</t>
  </si>
  <si>
    <t>$2214.0M</t>
  </si>
  <si>
    <t>$-674.0M</t>
  </si>
  <si>
    <t>National Australia Bank Limited Ordinary</t>
  </si>
  <si>
    <t>NAB</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</si>
  <si>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</si>
  <si>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</si>
  <si>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</si>
  <si>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</si>
  <si>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</si>
  <si>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</si>
  <si>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$2275.0M</t>
  </si>
  <si>
    <t>Alcoa Corporation CDI 1:1 Foreign Exempt NYSE</t>
  </si>
  <si>
    <t>AAI</t>
  </si>
  <si>
    <t>n/a</t>
  </si>
  <si>
    <t>Domino's Pizza Enterprises Limited Ordinary</t>
  </si>
  <si>
    <t>DMP</t>
  </si>
  <si>
    <t>Consumer Discretionary</t>
  </si>
  <si>
    <t>$2.1B</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</si>
  <si>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</si>
  <si>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0.9x</t>
  </si>
  <si>
    <t>88.8x</t>
  </si>
  <si>
    <t>$1293.5M</t>
  </si>
  <si>
    <t>$23.2M</t>
  </si>
  <si>
    <t>South32 Limited Ordinary</t>
  </si>
  <si>
    <t>S32</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</si>
  <si>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</si>
  <si>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</si>
  <si>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</si>
  <si>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1.9x</t>
  </si>
  <si>
    <t>289.5x</t>
  </si>
  <si>
    <t>$-67.8M</t>
  </si>
  <si>
    <t>$58.7M</t>
  </si>
  <si>
    <t>BWP Group Ordinary/Units Stapled Securities</t>
  </si>
  <si>
    <t>BWP</t>
  </si>
  <si>
    <t>Real Estate</t>
  </si>
  <si>
    <t>$2.9B</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</si>
  <si>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</si>
  <si>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9.5x</t>
  </si>
  <si>
    <t>14.0x</t>
  </si>
  <si>
    <t>$782.9M</t>
  </si>
  <si>
    <t>$-12.0M</t>
  </si>
  <si>
    <t>Date:</t>
  </si>
  <si>
    <t>Action:</t>
  </si>
  <si>
    <t>Stop Type:</t>
  </si>
  <si>
    <t>Buy Trigger Reason:</t>
  </si>
  <si>
    <t>Market State:</t>
  </si>
  <si>
    <t>% From Alert Price</t>
  </si>
  <si>
    <t>AMC.ASX</t>
  </si>
  <si>
    <t>Sell</t>
  </si>
  <si>
    <t>30wk Low</t>
  </si>
  <si>
    <t>-</t>
  </si>
  <si>
    <t>The momentum filter has been activated, indicating the market is no longer trending.</t>
  </si>
  <si>
    <t>Amcor PLC CDI 1:1 Foreign Exempt NYSE</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</si>
  <si>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</si>
  <si>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</si>
  <si>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</si>
  <si>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</si>
  <si>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</si>
  <si>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JHX.ASX</t>
  </si>
  <si>
    <t>10% from 2wk High</t>
  </si>
  <si>
    <t>James Hardie Industries PLC CDI 1:1</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</si>
  <si>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</si>
  <si>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</si>
  <si>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</si>
  <si>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</si>
  <si>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</si>
  <si>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</si>
  <si>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</si>
  <si>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SGM.ASX</t>
  </si>
  <si>
    <t>Sims Limited Ordinary</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</si>
  <si>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</si>
  <si>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</si>
  <si>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</si>
  <si>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</si>
  <si>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</si>
  <si>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</si>
  <si>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CGF.ASX</t>
  </si>
  <si>
    <t>Challenger Limited Ordinary</t>
  </si>
  <si>
    <t>$6.5B</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</si>
  <si>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</si>
  <si>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28.9x</t>
  </si>
  <si>
    <t>31.4x</t>
  </si>
  <si>
    <t>$7617.7M</t>
  </si>
  <si>
    <t>$208.1M</t>
  </si>
  <si>
    <t>DOW.ASX</t>
  </si>
  <si>
    <t>Downer EDI Limited Ordinary</t>
  </si>
  <si>
    <t>$5.3B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</si>
  <si>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</si>
  <si>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31.1x</t>
  </si>
  <si>
    <t>18.8x</t>
  </si>
  <si>
    <t>$672.7M</t>
  </si>
  <si>
    <t>$280.8M</t>
  </si>
  <si>
    <t>CIP.ASX</t>
  </si>
  <si>
    <t>Centuria Industrial Reit Ordinary Units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</si>
  <si>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</si>
  <si>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8.9x</t>
  </si>
  <si>
    <t>$1344.2M</t>
  </si>
  <si>
    <t>$-7.1M</t>
  </si>
  <si>
    <t>RHC.ASX</t>
  </si>
  <si>
    <t>Buy</t>
  </si>
  <si>
    <t>20 Week High</t>
  </si>
  <si>
    <t>The momentum filter is off, indicating the market is continuing to trend.</t>
  </si>
  <si>
    <t>RIO.ASX</t>
  </si>
  <si>
    <t>DBI.ASX</t>
  </si>
  <si>
    <t>ANZ.ASX</t>
  </si>
  <si>
    <t>AGL.ASX</t>
  </si>
  <si>
    <t>NAB.ASX</t>
  </si>
  <si>
    <t>LTR.ASX</t>
  </si>
  <si>
    <t>Liontown Limited Ordinary</t>
  </si>
  <si>
    <t>$5.0B</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</si>
  <si>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</si>
  <si>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</si>
  <si>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</si>
  <si>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</si>
  <si>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GGP.ASX</t>
  </si>
  <si>
    <t>Greatland Resources Limited Ordinary</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</si>
  <si>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</si>
  <si>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</si>
  <si>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</si>
  <si>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</si>
  <si>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</si>
  <si>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</si>
  <si>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</si>
  <si>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MIN.ASX</t>
  </si>
  <si>
    <t>Mineral Resources Limited Ordinary</t>
  </si>
  <si>
    <t>$11.0B</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</si>
  <si>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</si>
  <si>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</si>
  <si>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</si>
  <si>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</si>
  <si>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WAF.ASX</t>
  </si>
  <si>
    <t>West African Resources Limited Ordinary</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</si>
  <si>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</si>
  <si>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</si>
  <si>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</si>
  <si>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</si>
  <si>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</si>
  <si>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</si>
  <si>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EMR.ASX</t>
  </si>
  <si>
    <t>Emerald Resources NL Ordinary</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</si>
  <si>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</si>
  <si>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</si>
  <si>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</si>
  <si>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</si>
  <si>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</si>
  <si>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</si>
  <si>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</si>
  <si>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ALX.ASX</t>
  </si>
  <si>
    <t>Atlas Arteria FPO Stap US Prohibited Excluding QIB/QP</t>
  </si>
  <si>
    <t>$7.0B</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</si>
  <si>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</si>
  <si>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31.2x</t>
  </si>
  <si>
    <t>48.0x</t>
  </si>
  <si>
    <t>$1406.8M</t>
  </si>
  <si>
    <t>$-488.3M</t>
  </si>
  <si>
    <t>VNT.ASX</t>
  </si>
  <si>
    <t>Ventia Services Group Limited Ordinary</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</si>
  <si>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</si>
  <si>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17.4x</t>
  </si>
  <si>
    <t>0.8x</t>
  </si>
  <si>
    <t>39.1x</t>
  </si>
  <si>
    <t>$571.1M</t>
  </si>
  <si>
    <t>$128.6M</t>
  </si>
  <si>
    <t>AAI.ASX</t>
  </si>
  <si>
    <t>DMP.ASX</t>
  </si>
  <si>
    <t>S32.ASX</t>
  </si>
  <si>
    <t>EVT.ASX</t>
  </si>
  <si>
    <t>EVT Limited Ordinary</t>
  </si>
  <si>
    <t>Communication Services</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</si>
  <si>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</si>
  <si>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80.9x</t>
  </si>
  <si>
    <t>1.7x</t>
  </si>
  <si>
    <t>23.4x</t>
  </si>
  <si>
    <t>$1238.9M</t>
  </si>
  <si>
    <t>$90.1M</t>
  </si>
  <si>
    <t>SOL.ASX</t>
  </si>
  <si>
    <t>Washington H. Soul Pattinson and Company Limited Ordinary</t>
  </si>
  <si>
    <t>$13.5B</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</si>
  <si>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</si>
  <si>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36.3x</t>
  </si>
  <si>
    <t>22.0x</t>
  </si>
  <si>
    <t>$-150.0M</t>
  </si>
  <si>
    <t>$-148.8M</t>
  </si>
  <si>
    <t>MGR.ASX</t>
  </si>
  <si>
    <t>Mirvac Group Ordinary/Units Stapled Securities</t>
  </si>
  <si>
    <t>$8.0B</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</si>
  <si>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</si>
  <si>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127.7x</t>
  </si>
  <si>
    <t>60.2x</t>
  </si>
  <si>
    <t>$4308.0M</t>
  </si>
  <si>
    <t>$133.0M</t>
  </si>
  <si>
    <t>MPL.ASX</t>
  </si>
  <si>
    <t>Medibank Private Limited Ordinary</t>
  </si>
  <si>
    <t>$12.4B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</si>
  <si>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</si>
  <si>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27.7x</t>
  </si>
  <si>
    <t>1.5x</t>
  </si>
  <si>
    <t>$-439.6M</t>
  </si>
  <si>
    <t>$-162.6M</t>
  </si>
  <si>
    <t>CBA.ASX</t>
  </si>
  <si>
    <t>Commonwealth Bank of Australia. Ordinary</t>
  </si>
  <si>
    <t>$265.0B</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</si>
  <si>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</si>
  <si>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30.5x</t>
  </si>
  <si>
    <t>9.3x</t>
  </si>
  <si>
    <t>$125857.0M</t>
  </si>
  <si>
    <t>$-10410.0M</t>
  </si>
  <si>
    <t>360.ASX</t>
  </si>
  <si>
    <t>Life360 Inc. CDI 3:1 Foreign Exempt Xngs</t>
  </si>
  <si>
    <t>Information Technology</t>
  </si>
  <si>
    <t>$8.7B</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</si>
  <si>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</si>
  <si>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271.7x</t>
  </si>
  <si>
    <t>15.4x</t>
  </si>
  <si>
    <t>207.7x</t>
  </si>
  <si>
    <t>$-225.5M</t>
  </si>
  <si>
    <t>$41.7M</t>
  </si>
  <si>
    <t>ZIP.ASX</t>
  </si>
  <si>
    <t>Zip Co Limited. Ordinary</t>
  </si>
  <si>
    <t>$4.3B</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</si>
  <si>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</si>
  <si>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50.2x</t>
  </si>
  <si>
    <t>4.0x</t>
  </si>
  <si>
    <t>$-69.3M</t>
  </si>
  <si>
    <t>IPX.ASX</t>
  </si>
  <si>
    <t>Iperionx Limited Ordinary</t>
  </si>
  <si>
    <t>$1.9B</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</si>
  <si>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</si>
  <si>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$-80.3M</t>
  </si>
  <si>
    <t>$-71.2M</t>
  </si>
  <si>
    <t>SDF.ASX</t>
  </si>
  <si>
    <t>Steadfast Group Limited Ordinary</t>
  </si>
  <si>
    <t>$5.9B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</si>
  <si>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</si>
  <si>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19.8x</t>
  </si>
  <si>
    <t>20.2x</t>
  </si>
  <si>
    <t>$1199.0M</t>
  </si>
  <si>
    <t>$289.5M</t>
  </si>
  <si>
    <t>$2.3B</t>
  </si>
  <si>
    <t>WOW.ASX</t>
  </si>
  <si>
    <t>Woolworths Group Limited Ordinary</t>
  </si>
  <si>
    <t>Consumer Staples</t>
  </si>
  <si>
    <t>$32.7B</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</si>
  <si>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</si>
  <si>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39.5x</t>
  </si>
  <si>
    <t>90.7x</t>
  </si>
  <si>
    <t>$16058.0M</t>
  </si>
  <si>
    <t>$361.0M</t>
  </si>
  <si>
    <t>173.5x</t>
  </si>
  <si>
    <t>19.1x</t>
  </si>
  <si>
    <t>258.7x</t>
  </si>
  <si>
    <t>$-194.7M</t>
  </si>
  <si>
    <t>ING.ASX</t>
  </si>
  <si>
    <t>Inghams Group Limited Ordinary</t>
  </si>
  <si>
    <t>$1.3B</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</si>
  <si>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</si>
  <si>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</si>
  <si>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7.4x</t>
  </si>
  <si>
    <t>$1363.7M</t>
  </si>
  <si>
    <t>$175.0M</t>
  </si>
  <si>
    <t>BOE.ASX</t>
  </si>
  <si>
    <t>Boss Energy Ltd Ordinary</t>
  </si>
  <si>
    <t>Energy</t>
  </si>
  <si>
    <t>$0.7B</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</si>
  <si>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</si>
  <si>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</si>
  <si>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</si>
  <si>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$294.4B</t>
  </si>
  <si>
    <t>10.3x</t>
  </si>
  <si>
    <t>$33.6B</t>
  </si>
  <si>
    <t>93.0x</t>
  </si>
  <si>
    <t>BWP.ASX</t>
  </si>
  <si>
    <t>DEG-202504.ASX</t>
  </si>
  <si>
    <t>Delisted</t>
  </si>
  <si>
    <t>De Grey Mining Limited Ordinary</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</si>
  <si>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</si>
  <si>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</si>
  <si>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</si>
  <si>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</si>
  <si>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BPT.ASX</t>
  </si>
  <si>
    <t>Beach Energy Limited Ordinary</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</si>
  <si>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</si>
  <si>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</si>
  <si>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</si>
  <si>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$425.9M</t>
  </si>
  <si>
    <t>$-410.1M</t>
  </si>
  <si>
    <t>SGH.ASX</t>
  </si>
  <si>
    <t>SGH Limited Ordinary</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</si>
  <si>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</si>
  <si>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</si>
  <si>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</si>
  <si>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$5572.5M</t>
  </si>
  <si>
    <t>$-34.4M</t>
  </si>
  <si>
    <t>CPU.ASX</t>
  </si>
  <si>
    <t>Computershare Limited Ordinary</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</si>
  <si>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</si>
  <si>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</si>
  <si>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</si>
  <si>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44.6x</t>
  </si>
  <si>
    <t>$765.0M</t>
  </si>
  <si>
    <t>$513.5M</t>
  </si>
  <si>
    <t>SUN.ASX</t>
  </si>
  <si>
    <t>Suncorp Group Limited Ordinary</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</si>
  <si>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</si>
  <si>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</si>
  <si>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</si>
  <si>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</si>
  <si>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</si>
  <si>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</si>
  <si>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PME.ASX</t>
  </si>
  <si>
    <t>Pro Medicus Limited Ordinary</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</si>
  <si>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</si>
  <si>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</si>
  <si>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</si>
  <si>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</si>
  <si>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</si>
  <si>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</si>
  <si>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</si>
  <si>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PNI.ASX</t>
  </si>
  <si>
    <t>Pinnacle Investment Management Group Limited Ordinary</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</si>
  <si>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</si>
  <si>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</si>
  <si>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34.0x</t>
  </si>
  <si>
    <t>95.4x</t>
  </si>
  <si>
    <t>185.0x</t>
  </si>
  <si>
    <t>$-322.1M</t>
  </si>
  <si>
    <t>$25.3M</t>
  </si>
  <si>
    <t>HLS.ASX</t>
  </si>
  <si>
    <t>Healius Limited Ordinary</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</si>
  <si>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</si>
  <si>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</si>
  <si>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</si>
  <si>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$1283.4M</t>
  </si>
  <si>
    <t>$202.8M</t>
  </si>
  <si>
    <t>$6.6B</t>
  </si>
  <si>
    <t>32.7x</t>
  </si>
  <si>
    <t>6.2x</t>
  </si>
  <si>
    <t>$1602.0M</t>
  </si>
  <si>
    <t>$1072.0M</t>
  </si>
  <si>
    <t>SUL.ASX</t>
  </si>
  <si>
    <t>Super Retail Group Limited Ordinary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</si>
  <si>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</si>
  <si>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</si>
  <si>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</si>
  <si>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$950.3M</t>
  </si>
  <si>
    <t>$272.3M</t>
  </si>
  <si>
    <t>AUB.ASX</t>
  </si>
  <si>
    <t>AUB Group Limited Ordinary</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</si>
  <si>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</si>
  <si>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</si>
  <si>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</si>
  <si>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</si>
  <si>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</si>
  <si>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</si>
  <si>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</si>
  <si>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Annual Return %</t>
  </si>
  <si>
    <t>Cumulative Return %</t>
  </si>
  <si>
    <t>All trades</t>
  </si>
  <si>
    <t>Winners</t>
  </si>
  <si>
    <t>Avg. Profit %</t>
  </si>
  <si>
    <t>Losers</t>
  </si>
  <si>
    <t>Avg. Loss %</t>
  </si>
  <si>
    <t>Max. system % drawdown</t>
  </si>
  <si>
    <t>Last 12 month return %</t>
  </si>
  <si>
    <t>Last 6 month return %</t>
  </si>
  <si>
    <t>Last 3 month return %</t>
  </si>
  <si>
    <t>Portfolio dividend yield %</t>
  </si>
  <si>
    <t>Portfolio Equity:</t>
  </si>
  <si>
    <t>Cash</t>
  </si>
  <si>
    <t>Drawdown:</t>
  </si>
  <si>
    <t>Drawdown %:</t>
  </si>
  <si>
    <t>3086114.8</t>
  </si>
  <si>
    <t>Company Name:</t>
  </si>
  <si>
    <t>Trade:</t>
  </si>
  <si>
    <t>Price:</t>
  </si>
  <si>
    <t>Ex. Date:</t>
  </si>
  <si>
    <t>Ex. Price:</t>
  </si>
  <si>
    <t>% chg:</t>
  </si>
  <si>
    <t>Profit:</t>
  </si>
  <si>
    <t>% Profit:</t>
  </si>
  <si>
    <t>Shares:</t>
  </si>
  <si>
    <t>Open</t>
  </si>
  <si>
    <t>BWP Trust Ordinary Units</t>
  </si>
  <si>
    <t>Closed</t>
  </si>
  <si>
    <t>Washington H Soul Pattinson &amp; Company Limited Ordinary</t>
  </si>
  <si>
    <t>AZJ.ASX</t>
  </si>
  <si>
    <t>Aurizon Holdings Limited Ordinary</t>
  </si>
  <si>
    <t>PDN.ASX</t>
  </si>
  <si>
    <t>Paladin Energy Ltd Ordinary</t>
  </si>
  <si>
    <t>SPK.ASX</t>
  </si>
  <si>
    <t>Spark New Zealand Limited Ordinary Foreign Exempt NZX</t>
  </si>
  <si>
    <t>GMD.ASX</t>
  </si>
  <si>
    <t>Genesis Minerals Limited Ordinary</t>
  </si>
  <si>
    <t>NEU.ASX</t>
  </si>
  <si>
    <t>Neuren Pharmaceuticals Limited Ordinary</t>
  </si>
  <si>
    <t>RWC.ASX</t>
  </si>
  <si>
    <t>Reliance Worldwide Corporation Limited Ordinary</t>
  </si>
  <si>
    <t>MP1.ASX</t>
  </si>
  <si>
    <t>Megaport Limited Ordinary</t>
  </si>
  <si>
    <t>REA.ASX</t>
  </si>
  <si>
    <t>REA Group Ltd Ordinary</t>
  </si>
  <si>
    <t>BXB.ASX</t>
  </si>
  <si>
    <t>Brambles Limited Ordinary</t>
  </si>
  <si>
    <t>KAR.ASX</t>
  </si>
  <si>
    <t>Karoon Energy Ltd Ordinary</t>
  </si>
  <si>
    <t>WTC.ASX</t>
  </si>
  <si>
    <t>Wisetech Global Limited Ordinary</t>
  </si>
  <si>
    <t>IGO.ASX</t>
  </si>
  <si>
    <t>IGO Limited Ordinary</t>
  </si>
  <si>
    <t>AMP.ASX</t>
  </si>
  <si>
    <t>AMP Limited Ordinary</t>
  </si>
  <si>
    <t>Liontown Resources Limited Ordinary</t>
  </si>
  <si>
    <t>CTD.ASX</t>
  </si>
  <si>
    <t>Corporate Travel Management Limited Ordinary</t>
  </si>
  <si>
    <t>TWE.ASX</t>
  </si>
  <si>
    <t>Treasury Wine Estates Limited Ordinary</t>
  </si>
  <si>
    <t>AKE-202312.ASX</t>
  </si>
  <si>
    <t>Allkem Limited Ordinary</t>
  </si>
  <si>
    <t>WDS.ASX</t>
  </si>
  <si>
    <t>Woodside Energy Group Ltd Ordinary</t>
  </si>
  <si>
    <t>CRN.ASX</t>
  </si>
  <si>
    <t>Coronado Global Resources Inc. CDI 10:1</t>
  </si>
  <si>
    <t>NHC.ASX</t>
  </si>
  <si>
    <t>New Hope Corporation Limited Ordinary</t>
  </si>
  <si>
    <t>WHC.ASX</t>
  </si>
  <si>
    <t>Whitehaven Coal Limited Ordinary</t>
  </si>
  <si>
    <t>CUV.ASX</t>
  </si>
  <si>
    <t>Clinuvel Pharmaceuticals Limited Ordinary</t>
  </si>
  <si>
    <t>CAR.ASX</t>
  </si>
  <si>
    <t>Car Group Limited Ordinary</t>
  </si>
  <si>
    <t>TNE.ASX</t>
  </si>
  <si>
    <t>Technology One Limited Ordinary</t>
  </si>
  <si>
    <t>TLX.ASX</t>
  </si>
  <si>
    <t>Telix Pharmaceuticals Limited Ordinary</t>
  </si>
  <si>
    <t>TPG.ASX</t>
  </si>
  <si>
    <t>TPG Telecom Limited Ordinary</t>
  </si>
  <si>
    <t>UWL-202207.ASX</t>
  </si>
  <si>
    <t>Uniti Group Limited Ordinary</t>
  </si>
  <si>
    <t>JBH.ASX</t>
  </si>
  <si>
    <t>JB HI-FI Limited Ordinary</t>
  </si>
  <si>
    <t>CWN-202206.ASX</t>
  </si>
  <si>
    <t>Crown Resorts Limited Ordinary</t>
  </si>
  <si>
    <t>ORG.ASX</t>
  </si>
  <si>
    <t>Origin Energy Limited Ordinary</t>
  </si>
  <si>
    <t>DNL.ASX</t>
  </si>
  <si>
    <t>Dyno Nobel Limited Ordinary</t>
  </si>
  <si>
    <t>NUF.ASX</t>
  </si>
  <si>
    <t>Nufarm Limited Ordinary</t>
  </si>
  <si>
    <t>CIA.ASX</t>
  </si>
  <si>
    <t>Champion Iron Limited Ordinary</t>
  </si>
  <si>
    <t>NEC.ASX</t>
  </si>
  <si>
    <t>Nine Entertainment Co. Holdings Limited Ordinary</t>
  </si>
  <si>
    <t>SLR-202406.ASX</t>
  </si>
  <si>
    <t>Silver Lake Resources Limited Ordinary</t>
  </si>
  <si>
    <t>AVZ-202205.ASX</t>
  </si>
  <si>
    <t>AVZ Minerals Limited Ordinary</t>
  </si>
  <si>
    <t>APE.ASX</t>
  </si>
  <si>
    <t>Eagers Automotive Limited Ordinary</t>
  </si>
  <si>
    <t>ALD.ASX</t>
  </si>
  <si>
    <t>Ampol Limited Ordinary</t>
  </si>
  <si>
    <t>BLD-202406.ASX</t>
  </si>
  <si>
    <t>Boral Limited Ordinary</t>
  </si>
  <si>
    <t>PLS.ASX</t>
  </si>
  <si>
    <t>Pilbara Minerals Limited Ordinary</t>
  </si>
  <si>
    <t>NIC.ASX</t>
  </si>
  <si>
    <t>Nickel Industries Limited Ordinary</t>
  </si>
  <si>
    <t>AST-202202.ASX</t>
  </si>
  <si>
    <t>Ausnet Services Limited Ordinary</t>
  </si>
  <si>
    <t>RMD.ASX</t>
  </si>
  <si>
    <t>Resmed Inc CDI 10:1 Foreign Exempt NYSE</t>
  </si>
  <si>
    <t>OZL-202304.ASX</t>
  </si>
  <si>
    <t>OZ Minerals Limited Ordinary</t>
  </si>
  <si>
    <t>GNC.ASX</t>
  </si>
  <si>
    <t>Graincorp Limited Ordinary Class A</t>
  </si>
  <si>
    <t>NWL.ASX</t>
  </si>
  <si>
    <t>Netwealth Group Limited Ordinary</t>
  </si>
  <si>
    <t>XRO.ASX</t>
  </si>
  <si>
    <t>Xero Limited Ordinary</t>
  </si>
  <si>
    <t>DHG.ASX</t>
  </si>
  <si>
    <t>Domain Holdings Australia Limited Ordinary</t>
  </si>
  <si>
    <t>NXT.ASX</t>
  </si>
  <si>
    <t>Nextdc Limited Ordinary</t>
  </si>
  <si>
    <t>SAR-202102.ASX</t>
  </si>
  <si>
    <t>Saracen Mineral Holdings Limited Ordinary</t>
  </si>
  <si>
    <t>NCM-202310.ASX</t>
  </si>
  <si>
    <t>Newcrest Mining Limited Ordinary</t>
  </si>
  <si>
    <t>ASX.ASX</t>
  </si>
  <si>
    <t>ASX Limited Ordinary</t>
  </si>
  <si>
    <t>CNU.ASX</t>
  </si>
  <si>
    <t>Chorus Limited Ordinary Foreign Exempt NZX</t>
  </si>
  <si>
    <t>FMG.ASX</t>
  </si>
  <si>
    <t>Fortescue Ltd Ordinary</t>
  </si>
  <si>
    <t>NEA-202212.ASX</t>
  </si>
  <si>
    <t>Nearmap Ltd Ordinary</t>
  </si>
  <si>
    <t>ANN.ASX</t>
  </si>
  <si>
    <t>Ansell Limited Ordinary</t>
  </si>
  <si>
    <t>APX.ASX</t>
  </si>
  <si>
    <t>Appen Limited Ordinary</t>
  </si>
  <si>
    <t>APT-202201.ASX</t>
  </si>
  <si>
    <t>Afterpay Limited Ordinary</t>
  </si>
  <si>
    <t>TPM-202006.ASX</t>
  </si>
  <si>
    <t>GOZ.ASX</t>
  </si>
  <si>
    <t>Growthpoint Properties Australia Ordinary/Units Stapled Securities</t>
  </si>
  <si>
    <t>VUK-202409.ASX</t>
  </si>
  <si>
    <t>Virgin Money UK PLC CDI 1:1 Foreign Exempt LSE</t>
  </si>
  <si>
    <t>BAP.ASX</t>
  </si>
  <si>
    <t>Bapcor Limited Ordinary</t>
  </si>
  <si>
    <t>NAN.ASX</t>
  </si>
  <si>
    <t>Nanosonics Limited Ordinary</t>
  </si>
  <si>
    <t>ALL.ASX</t>
  </si>
  <si>
    <t>Aristocrat Leisure Limited Ordinary</t>
  </si>
  <si>
    <t>HVN.ASX</t>
  </si>
  <si>
    <t>Harvey Norman Holdings Limited Ordinary</t>
  </si>
  <si>
    <t>GEM.ASX</t>
  </si>
  <si>
    <t>G8 Education Limited Ordinary</t>
  </si>
  <si>
    <t>BIN-202107.ASX</t>
  </si>
  <si>
    <t>Bingo Industries Limited Ordinary</t>
  </si>
  <si>
    <t>RRL.ASX</t>
  </si>
  <si>
    <t>Regis Resources Limited Ordinary</t>
  </si>
  <si>
    <t>IEL.ASX</t>
  </si>
  <si>
    <t>IDP Education Limited Ordinary</t>
  </si>
  <si>
    <t>A2M.ASX</t>
  </si>
  <si>
    <t>The A2 Milk Company Limited Ordinary</t>
  </si>
  <si>
    <t>NVT-201906.ASX</t>
  </si>
  <si>
    <t>Navitas Limited Ordinary</t>
  </si>
  <si>
    <t>HSO-201905.ASX</t>
  </si>
  <si>
    <t>Healthscope Limited Ordinary</t>
  </si>
  <si>
    <t>ALQ.ASX</t>
  </si>
  <si>
    <t>ALS Limited Ordinary</t>
  </si>
  <si>
    <t>STO.ASX</t>
  </si>
  <si>
    <t>Santos Limited Ordinary</t>
  </si>
  <si>
    <t>AWC-202407.ASX</t>
  </si>
  <si>
    <t>Alumina Limited Ordinary</t>
  </si>
  <si>
    <t>APO-201810.ASX</t>
  </si>
  <si>
    <t>APN Outdoor Group Limited Ordinary</t>
  </si>
  <si>
    <t>ORI.ASX</t>
  </si>
  <si>
    <t>Orica Limited Ordinary</t>
  </si>
  <si>
    <t>ALU-202407.ASX</t>
  </si>
  <si>
    <t>Altium Limited Ordinary</t>
  </si>
  <si>
    <t>GXY-202108.ASX</t>
  </si>
  <si>
    <t>Galaxy Resources Limited Ordinary</t>
  </si>
  <si>
    <t>PTM.ASX</t>
  </si>
  <si>
    <t>Platinum Asset Management Limited Ordinary</t>
  </si>
  <si>
    <t>QAN.ASX</t>
  </si>
  <si>
    <t>Qantas Airways Limited Ordinary</t>
  </si>
  <si>
    <t>BSL.ASX</t>
  </si>
  <si>
    <t>Bluescope Steel Limited Ordinary</t>
  </si>
  <si>
    <t>TGR-202211.ASX</t>
  </si>
  <si>
    <t>Tassal Group Limited Ordinary</t>
  </si>
  <si>
    <t>WEB.ASX</t>
  </si>
  <si>
    <t>Web Travel Group Limited Ordinary</t>
  </si>
  <si>
    <t>FPR.ASX</t>
  </si>
  <si>
    <t>Fleetpartners Group Limited Ordinary</t>
  </si>
  <si>
    <t>WES.ASX</t>
  </si>
  <si>
    <t>Wesfarmers Limited Ordinary</t>
  </si>
  <si>
    <t>VOC-202106.ASX</t>
  </si>
  <si>
    <t>Vocus Group Limited Ordinary</t>
  </si>
  <si>
    <t>SBM.ASX</t>
  </si>
  <si>
    <t>St Barbara Limited Ordinary</t>
  </si>
  <si>
    <t>PBG-201606.ASX</t>
  </si>
  <si>
    <t>Pacific Brands Limited Ordinary</t>
  </si>
  <si>
    <t>GXL-201902.ASX</t>
  </si>
  <si>
    <t>Greencross Limited Ordinary</t>
  </si>
  <si>
    <t>FLT.ASX</t>
  </si>
  <si>
    <t>Flight Centre Travel Group Limited Ordinary</t>
  </si>
  <si>
    <t>SYR.ASX</t>
  </si>
  <si>
    <t>Syrah Resources Limited Ordinary</t>
  </si>
  <si>
    <t>JHG-202312.ASX</t>
  </si>
  <si>
    <t>Janus Henderson Group PLC CDI 1:1 Foreign Exempt NYSE</t>
  </si>
  <si>
    <t>MFG.ASX</t>
  </si>
  <si>
    <t>Magellan Financial Group Limited Ordinary</t>
  </si>
  <si>
    <t>GTY-201810.ASX</t>
  </si>
  <si>
    <t>Gateway Lifestyle Group Stapled Securities</t>
  </si>
  <si>
    <t>PDL-202301.ASX</t>
  </si>
  <si>
    <t>Pendal Group Limited Ordinary</t>
  </si>
  <si>
    <t>CEH.ASX</t>
  </si>
  <si>
    <t>Coast Entertainment Holdings Limited Ordinary</t>
  </si>
  <si>
    <t>VED-201602.ASX</t>
  </si>
  <si>
    <t>Veda Group Limited Ordinary</t>
  </si>
  <si>
    <t>TME-201905.ASX</t>
  </si>
  <si>
    <t>Trade ME Group Limited Ordinary Foreign Exempt NZX</t>
  </si>
  <si>
    <t>CCP.ASX</t>
  </si>
  <si>
    <t>Credit Corp Group Limited Ordinary</t>
  </si>
  <si>
    <t>SHV.ASX</t>
  </si>
  <si>
    <t>Select Harvests Limited Ordinary</t>
  </si>
  <si>
    <t>DLX-201908.ASX</t>
  </si>
  <si>
    <t>Duluxgroup Limited Ordinary</t>
  </si>
  <si>
    <t>SGT-201505.ASX</t>
  </si>
  <si>
    <t>Singapore Telecommunications Limited CDI 1:1</t>
  </si>
  <si>
    <t>NST.ASX</t>
  </si>
  <si>
    <t>Northern Star Resources Ltd Ordinary</t>
  </si>
  <si>
    <t>SEA-201911.ASX</t>
  </si>
  <si>
    <t>Sundance Energy Australia Limited Ordinary</t>
  </si>
  <si>
    <t>WSA-202206.ASX</t>
  </si>
  <si>
    <t>Western Areas Limited Ordinary</t>
  </si>
  <si>
    <t>ABG.ASX</t>
  </si>
  <si>
    <t>Abacus Group Ordinary/Units Stapled Securities</t>
  </si>
  <si>
    <t>DLS-201602.ASX</t>
  </si>
  <si>
    <t>Drillsearch Energy Limited Ordinary</t>
  </si>
  <si>
    <t>AQA-201407.ASX</t>
  </si>
  <si>
    <t>Aquila Resources Limited Ordinary</t>
  </si>
  <si>
    <t>ABC-202406.ASX</t>
  </si>
  <si>
    <t>Adbri Limited Ordinary</t>
  </si>
  <si>
    <t>FOX-201405.ASX</t>
  </si>
  <si>
    <t>Twenty-First Century Fox Inc. Class B Voting Common Stock-CDI</t>
  </si>
  <si>
    <t>CPA-201403.ASX</t>
  </si>
  <si>
    <t>Commonwealth Property Office Fund Ordinary Units</t>
  </si>
  <si>
    <t>GFF-201503.ASX</t>
  </si>
  <si>
    <t>Goodman Fielder Limited Ordinary</t>
  </si>
  <si>
    <t>MMS.ASX</t>
  </si>
  <si>
    <t>McMillan Shakespeare Limited Ordinary</t>
  </si>
  <si>
    <t>NVN-201505.ASX</t>
  </si>
  <si>
    <t>Novion Property Group Stapled Securities</t>
  </si>
  <si>
    <t>WBC.ASX</t>
  </si>
  <si>
    <t>Westpac Banking Corporation Ordinary</t>
  </si>
  <si>
    <t>EWC.ASX</t>
  </si>
  <si>
    <t>Energy World Corporation Ltd Ordinary</t>
  </si>
  <si>
    <t>CDD-202501.ASX</t>
  </si>
  <si>
    <t>Cardno Limited Ordinary</t>
  </si>
  <si>
    <t>HDF-201211.ASX</t>
  </si>
  <si>
    <t>APA SUB Group Stapled Security</t>
  </si>
  <si>
    <t>BEN.ASX</t>
  </si>
  <si>
    <t>Bendigo and Adelaide Bank Limited Ordinary</t>
  </si>
  <si>
    <t>RSG.ASX</t>
  </si>
  <si>
    <t>Resolute Mining Limited Ordinary</t>
  </si>
  <si>
    <t>FWD.ASX</t>
  </si>
  <si>
    <t>Fleetwood Limited Ordinary</t>
  </si>
  <si>
    <t>VAH-202004.ASX</t>
  </si>
  <si>
    <t>Virgin Australia Holdings Limited Ordinary</t>
  </si>
  <si>
    <t>FBU.ASX</t>
  </si>
  <si>
    <t>Fletcher Building Limited Ordinary Foreign Exempt NZX</t>
  </si>
  <si>
    <t>IOF-201812.ASX</t>
  </si>
  <si>
    <t>Investa Office Fund Stapled Securities</t>
  </si>
  <si>
    <t>IFL.ASX</t>
  </si>
  <si>
    <t>Insignia Financial Ltd Ordinary</t>
  </si>
  <si>
    <t>LYC.ASX</t>
  </si>
  <si>
    <t>Lynas Rare Earths Limited Ordinary</t>
  </si>
  <si>
    <t>GRY-201609.ASX</t>
  </si>
  <si>
    <t>Gryphon Minerals Limited Ordinary</t>
  </si>
  <si>
    <t>PRN.ASX</t>
  </si>
  <si>
    <t>Perenti Limited Ordinary</t>
  </si>
  <si>
    <t>SDG-202310.ASX</t>
  </si>
  <si>
    <t>Sunland Group Limited Ordinary</t>
  </si>
  <si>
    <t>PNA-201506.ASX</t>
  </si>
  <si>
    <t>Panaust Limited Ordinary</t>
  </si>
  <si>
    <t>EQN-201107.ASX</t>
  </si>
  <si>
    <t>Equinox Minerals Limited CDI 1:1</t>
  </si>
  <si>
    <t>CEY-201010.ASX</t>
  </si>
  <si>
    <t>Centennial Coal Company Limited Ordinary</t>
  </si>
  <si>
    <t>LNC-201311.ASX</t>
  </si>
  <si>
    <t>Linc Energy Ltd Ordinary</t>
  </si>
  <si>
    <t>SYD-202202.ASX</t>
  </si>
  <si>
    <t>Sydney Airport Ordinary/Units Stapled Securities</t>
  </si>
  <si>
    <t>AOV.ASX</t>
  </si>
  <si>
    <t>Amotiv Limited Ordinary</t>
  </si>
  <si>
    <t>ARI-201604.ASX</t>
  </si>
  <si>
    <t>Arrium Limited Ordinary</t>
  </si>
  <si>
    <t>MAH.ASX</t>
  </si>
  <si>
    <t>Macmahon Holdings Limited Ordinary</t>
  </si>
  <si>
    <t>HIL-202305.ASX</t>
  </si>
  <si>
    <t>Hills Limited Ordinary</t>
  </si>
  <si>
    <t>AUN-201204.ASX</t>
  </si>
  <si>
    <t>Austar United Communications Limited Ordinary</t>
  </si>
  <si>
    <t>BHP.ASX</t>
  </si>
  <si>
    <t>BHP Group Limited Ordinary</t>
  </si>
  <si>
    <t>GCL-201206.ASX</t>
  </si>
  <si>
    <t>Gloucester Coal Ltd Ordinary</t>
  </si>
  <si>
    <t>OSH-202112.ASX</t>
  </si>
  <si>
    <t>Oil Search Limited 10 Toea Ordinary</t>
  </si>
  <si>
    <t>KCN.ASX</t>
  </si>
  <si>
    <t>Kingsgate Consolidated Limited Ordinary</t>
  </si>
  <si>
    <t>BOQ.ASX</t>
  </si>
  <si>
    <t>Bank of Queensland Limited Ordinary</t>
  </si>
  <si>
    <t>CSR-202406.ASX</t>
  </si>
  <si>
    <t>CSR Limited Ordinary</t>
  </si>
  <si>
    <t>CQR.ASX</t>
  </si>
  <si>
    <t>Charter Hall Retail Reit Ordinary Units</t>
  </si>
  <si>
    <t>ESG-201111.ASX</t>
  </si>
  <si>
    <t>Eastern Star Gas Limited Ordinary</t>
  </si>
  <si>
    <t>PLA-201206.ASX</t>
  </si>
  <si>
    <t>Platinum Australia Limited Ordinary</t>
  </si>
  <si>
    <t>MGX.ASX</t>
  </si>
  <si>
    <t>Mount Gibson Iron Limited Ordinary</t>
  </si>
  <si>
    <t>NWH.ASX</t>
  </si>
  <si>
    <t>NRW Holdings Limited Ordinary</t>
  </si>
  <si>
    <t>MND.ASX</t>
  </si>
  <si>
    <t>Monadelphous Group Limited Ordinary</t>
  </si>
  <si>
    <t>MCG-200907.ASX</t>
  </si>
  <si>
    <t>Macquarie Communications Infrastructure Group Stapled Securities</t>
  </si>
  <si>
    <t>HSP-201009.ASX</t>
  </si>
  <si>
    <t>EHL.ASX</t>
  </si>
  <si>
    <t>Emeco Holdings Limited Ordinary</t>
  </si>
  <si>
    <t>CSL.ASX</t>
  </si>
  <si>
    <t>CSL Limited Ordinary</t>
  </si>
  <si>
    <t>MCC-201111.ASX</t>
  </si>
  <si>
    <t>Macarthur Coal Limited Ordinary</t>
  </si>
  <si>
    <t>AWB-201011.ASX</t>
  </si>
  <si>
    <t>AWB Limited Ordinary</t>
  </si>
  <si>
    <t>ABB-200909.ASX</t>
  </si>
  <si>
    <t>ABB Grain Limited Ordinary B Class</t>
  </si>
  <si>
    <t>FLX-200912.ASX</t>
  </si>
  <si>
    <t>Felix Resources Limited Ordinary</t>
  </si>
  <si>
    <t>DXL-200806.ASX</t>
  </si>
  <si>
    <t>SKI-202111.ASX</t>
  </si>
  <si>
    <t>Spark Infrastructure Group Stapled $0.65 Loan Note and Unit US Prohibited</t>
  </si>
  <si>
    <t>QBE.ASX</t>
  </si>
  <si>
    <t>QBE Insurance Group Limited Ordinary</t>
  </si>
  <si>
    <t>SXL.ASX</t>
  </si>
  <si>
    <t>Southern Cross Media Group Limited Ordinary</t>
  </si>
  <si>
    <t>COH.ASX</t>
  </si>
  <si>
    <t>Cochlear Limited Ordinary</t>
  </si>
  <si>
    <t>CSM-200801.ASX</t>
  </si>
  <si>
    <t>Consolidated Minerals Limited Ordinary</t>
  </si>
  <si>
    <t>WOR.ASX</t>
  </si>
  <si>
    <t>Worley Limited Ordinary</t>
  </si>
  <si>
    <t>GPT.ASX</t>
  </si>
  <si>
    <t>GPT Group Ordinary/Units Stapled Securities</t>
  </si>
  <si>
    <t>CIM-202205.ASX</t>
  </si>
  <si>
    <t>Cimic Group Limited Ordinary</t>
  </si>
  <si>
    <t>A2B-202404.ASX</t>
  </si>
  <si>
    <t>A2B Australia Limited Ordinary</t>
  </si>
  <si>
    <t>TSO-201203.ASX</t>
  </si>
  <si>
    <t>Tishman Speyer Office Fund Ordinary Units</t>
  </si>
  <si>
    <t>ADB-200711.ASX</t>
  </si>
  <si>
    <t>Adelaide Bank Limited Ordinary</t>
  </si>
  <si>
    <t>CWY.ASX</t>
  </si>
  <si>
    <t>Cleanaway Waste Management Limited Ordinary</t>
  </si>
  <si>
    <t>SRS-201907.ASX</t>
  </si>
  <si>
    <t>Spicers Limited Ordinary</t>
  </si>
  <si>
    <t>MRE-201110.ASX</t>
  </si>
  <si>
    <t>Minara Resources Limited Ordinary</t>
  </si>
  <si>
    <t>CMR-200901.ASX</t>
  </si>
  <si>
    <t>Compass Resources Limited Ordinary</t>
  </si>
  <si>
    <t>COA-200712.ASX</t>
  </si>
  <si>
    <t>Coates Hire Limited Ordinary</t>
  </si>
  <si>
    <t>VSL-200701.ASX</t>
  </si>
  <si>
    <t>Vision Systems Limited Ordinary</t>
  </si>
  <si>
    <t>BPC-200611.ASX</t>
  </si>
  <si>
    <t>Burns, Philp &amp; Company Limited Ordinary</t>
  </si>
  <si>
    <t>BKN-201704.ASX</t>
  </si>
  <si>
    <t>Bradken Limited Ordinary</t>
  </si>
  <si>
    <t>SFE-200607.ASX</t>
  </si>
  <si>
    <t>SFE Corporation Limited Ordinary</t>
  </si>
  <si>
    <t>LGL-201008.ASX</t>
  </si>
  <si>
    <t>Lihir Gold Limited 10 Toea Ordinary</t>
  </si>
  <si>
    <t>KIM-200712.ASX</t>
  </si>
  <si>
    <t>Kimberley Diamond Company NL Ordinary</t>
  </si>
  <si>
    <t>SIG-200512.ASX</t>
  </si>
  <si>
    <t>Sigma Company Limited Ordinary</t>
  </si>
  <si>
    <t>JBM-200802.ASX</t>
  </si>
  <si>
    <t>Jubilee Mines NL Ordinary</t>
  </si>
  <si>
    <t>BNB-200901.ASX</t>
  </si>
  <si>
    <t>Babcock &amp; Brown Limited Ordinary</t>
  </si>
  <si>
    <t>BRS-201605.ASX</t>
  </si>
  <si>
    <t>Broadspectrum Limited Ordinary</t>
  </si>
  <si>
    <t>IAG.ASX</t>
  </si>
  <si>
    <t>Insurance Australia Group Limited Ordinary</t>
  </si>
  <si>
    <t>GNS-201203.ASX</t>
  </si>
  <si>
    <t>Gunns Limited Ordinary</t>
  </si>
  <si>
    <t>ABS-200808.ASX</t>
  </si>
  <si>
    <t>A.B.C. Learning Centres Limited Ordinary</t>
  </si>
  <si>
    <t>EXL-200610.ASX</t>
  </si>
  <si>
    <t>Excel Coal Limited Ordinary</t>
  </si>
  <si>
    <t>UTB-200609.ASX</t>
  </si>
  <si>
    <t>Unitab Limited Ordinary</t>
  </si>
  <si>
    <t>JFG-200412.ASX</t>
  </si>
  <si>
    <t>James Fielding Group Ordinary/Units  Stapled Security</t>
  </si>
  <si>
    <t>PAO-200410.ASX</t>
  </si>
  <si>
    <t>Principal America Office Trust Units</t>
  </si>
  <si>
    <t>HDR-200612.ASX</t>
  </si>
  <si>
    <t>Hardman Resources Limited Ordinary</t>
  </si>
  <si>
    <t>SGW-200408.ASX</t>
  </si>
  <si>
    <t>Sons of Gwalia Limited Ordinary</t>
  </si>
  <si>
    <t>MPR-200707.ASX</t>
  </si>
  <si>
    <t>Macquarie Prologis Trust Units</t>
  </si>
  <si>
    <t>GAS-200611.ASX</t>
  </si>
  <si>
    <t>Gasnet Australia Group Ordinary Shares/Units Triple Stapled</t>
  </si>
  <si>
    <t>WFA-200407.ASX</t>
  </si>
  <si>
    <t>Westfield America Trust Units</t>
  </si>
  <si>
    <t>RIC.ASX</t>
  </si>
  <si>
    <t>Ridley Corporation Limited Ordinary</t>
  </si>
  <si>
    <t>ADP-200307.ASX</t>
  </si>
  <si>
    <t>AMP Diversified Property Trust Units</t>
  </si>
  <si>
    <t>GMF-200304.ASX</t>
  </si>
  <si>
    <t>FOXLV-201404.ASX</t>
  </si>
  <si>
    <t>Twenty-First Century Fox Inc. Class A non-Voting Common Stock-CDI</t>
  </si>
  <si>
    <t>CFT-200210.ASX</t>
  </si>
  <si>
    <t>Colonial First State Property Trust Group Stapled Securities</t>
  </si>
  <si>
    <t>TOL-201505.ASX</t>
  </si>
  <si>
    <t>Toll Holdings Limited Ordinary</t>
  </si>
  <si>
    <t>HLY-200505.ASX</t>
  </si>
  <si>
    <t>Hills Motorway Group Ordinary/Units  Stapled Securities</t>
  </si>
  <si>
    <t>AOR-200211.ASX</t>
  </si>
  <si>
    <t>Auriongold Limited Ordinary</t>
  </si>
  <si>
    <t>GHG-200703.ASX</t>
  </si>
  <si>
    <t>Grand Hotel Group Ordinary/Units</t>
  </si>
  <si>
    <t>WSF-200407.ASX</t>
  </si>
  <si>
    <t>Scentre Group Limited Ordinary</t>
  </si>
  <si>
    <t>PPT.ASX</t>
  </si>
  <si>
    <t>Perpetual Limited Ordinary</t>
  </si>
  <si>
    <t>EML-200103.ASX</t>
  </si>
  <si>
    <t>Email Limited Ordinary</t>
  </si>
  <si>
    <t>IFA-200008.ASX</t>
  </si>
  <si>
    <t>Infratil Australia Limited Ordinary</t>
  </si>
  <si>
    <t>CMC-200006.ASX</t>
  </si>
  <si>
    <t>Comalco Limited Ordinary</t>
  </si>
  <si>
    <t>DPT-200006.ASX</t>
  </si>
  <si>
    <t>Darling Park Trust Units</t>
  </si>
  <si>
    <t>UEL-200307.ASX</t>
  </si>
  <si>
    <t>United Energy Limited Ordinary</t>
  </si>
  <si>
    <t>FXJ-201811.ASX</t>
  </si>
  <si>
    <t>Fairfax Media Limited Ordinary</t>
  </si>
  <si>
    <t>GTP-200905.ASX</t>
  </si>
  <si>
    <t>Great Southern Limited Ordinary</t>
  </si>
  <si>
    <t>UXC-201602.ASX</t>
  </si>
  <si>
    <t>UXC Limited Ordinary</t>
  </si>
  <si>
    <t>GEE-200310.ASX</t>
  </si>
  <si>
    <t>GES International Limited 20c SG Ordinary</t>
  </si>
  <si>
    <t>BTA-201210.ASX</t>
  </si>
  <si>
    <t>Biota Holdings Limited Ordinary</t>
  </si>
  <si>
    <t>Year</t>
  </si>
  <si>
    <t>Jan</t>
  </si>
  <si>
    <t>Feb</t>
  </si>
  <si>
    <t>Mar</t>
  </si>
  <si>
    <t>Apr</t>
  </si>
  <si>
    <t>May</t>
  </si>
  <si>
    <t>Jun</t>
  </si>
  <si>
    <t>Jul</t>
  </si>
  <si>
    <t>Aug</t>
  </si>
  <si>
    <t>Sep</t>
  </si>
  <si>
    <t>Oct</t>
  </si>
  <si>
    <t>Nov</t>
  </si>
  <si>
    <t>Dec</t>
  </si>
  <si>
    <t>Yr%</t>
  </si>
  <si>
    <t>Avg</t>
  </si>
  <si>
    <t>Date</t>
  </si>
  <si>
    <t>High</t>
  </si>
  <si>
    <t>Low</t>
  </si>
  <si>
    <t>Close</t>
  </si>
  <si>
    <t>Volume</t>
  </si>
  <si>
    <t>Turnover</t>
  </si>
  <si>
    <t>Equity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</si>
</sst>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00;[Red]\-&quot;$&quot;#,##0.00"/>
    <numFmt numFmtId="165" formatCode="D/M/YYYY"/>
    <numFmt numFmtId="166" formatCode="&quot;$&quot;#,##0.000;[Red]\-&quot;$&quot;#,##0.000"/>
    <numFmt numFmtId="167" formatCode="YYYY-MM-DD HH:MM:SS"/>
    <numFmt numFmtId="168" formatCode="0.000000000000000%"/>
    <numFmt numFmtId="169" formatCode="0.00000000000000000%"/>
    <numFmt numFmtId="170" formatCode="0.0000000000000000%"/>
    <numFmt numFmtId="171" formatCode="0.000000000000%"/>
  </numFmts>
  <fonts count="5">
    <font>
      <sz val="11.0"/>
      <color theme="1"/>
      <name val="Calibri"/>
      <scheme val="minor"/>
    </font>
    <font>
      <sz val="11.0"/>
      <color theme="1"/>
      <name val="Calibri"/>
    </font>
    <font>
      <color theme="1"/>
      <name val="Calibri"/>
      <scheme val="minor"/>
    </font>
    <font>
      <b/>
      <sz val="11.0"/>
      <color theme="1"/>
      <name val="Calibri"/>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Font="1"/>
    <xf borderId="1" fillId="0" fontId="3" numFmtId="0" xfId="0" applyAlignment="1" applyBorder="1" applyFont="1">
      <alignment horizontal="center" vertical="top"/>
    </xf>
    <xf borderId="0" fillId="0" fontId="1" numFmtId="164" xfId="0" applyFont="1" applyNumberFormat="1"/>
    <xf borderId="0" fillId="0" fontId="1" numFmtId="10" xfId="0" applyFont="1" applyNumberFormat="1"/>
    <xf borderId="0" fillId="0" fontId="1" numFmtId="0" xfId="0" applyAlignment="1" applyFont="1">
      <alignment horizontal="left"/>
    </xf>
    <xf borderId="0" fillId="0" fontId="1" numFmtId="165" xfId="0" applyAlignment="1" applyFont="1" applyNumberFormat="1">
      <alignment horizontal="center" vertical="top"/>
    </xf>
    <xf borderId="0" fillId="0" fontId="1" numFmtId="0" xfId="0" applyAlignment="1" applyFont="1">
      <alignment horizontal="center" vertical="top"/>
    </xf>
    <xf borderId="0" fillId="0" fontId="1" numFmtId="2" xfId="0" applyAlignment="1" applyFont="1" applyNumberFormat="1">
      <alignment horizontal="right" vertical="top"/>
    </xf>
    <xf borderId="0" fillId="0" fontId="1" numFmtId="2" xfId="0" applyFont="1" applyNumberFormat="1"/>
    <xf borderId="0" fillId="0" fontId="1" numFmtId="165" xfId="0" applyAlignment="1" applyFont="1" applyNumberFormat="1">
      <alignment horizontal="right" vertical="top"/>
    </xf>
    <xf borderId="0" fillId="0" fontId="3" numFmtId="0" xfId="0" applyAlignment="1" applyFont="1">
      <alignment horizontal="center" vertical="top"/>
    </xf>
    <xf borderId="0" fillId="0" fontId="1" numFmtId="166" xfId="0" applyFont="1" applyNumberFormat="1"/>
    <xf borderId="0" fillId="0" fontId="1" numFmtId="165" xfId="0" applyFont="1" applyNumberFormat="1"/>
    <xf borderId="0" fillId="0" fontId="2" numFmtId="0" xfId="0" applyAlignment="1" applyFont="1">
      <alignment readingOrder="0"/>
    </xf>
    <xf borderId="1" fillId="0" fontId="4" numFmtId="0" xfId="0" applyAlignment="1" applyBorder="1" applyFont="1">
      <alignment horizontal="center" vertical="top"/>
    </xf>
    <xf borderId="0" fillId="0" fontId="1" numFmtId="167" xfId="0" applyFont="1" applyNumberFormat="1"/>
    <xf borderId="0" fillId="0" fontId="1" numFmtId="168" xfId="0" applyFont="1" applyNumberFormat="1"/>
    <xf borderId="0" fillId="0" fontId="1" numFmtId="169" xfId="0" applyFont="1" applyNumberFormat="1"/>
    <xf borderId="0" fillId="0" fontId="1" numFmtId="170" xfId="0" applyFont="1" applyNumberFormat="1"/>
    <xf borderId="0" fillId="0" fontId="1" numFmtId="171" xfId="0" applyFont="1" applyNumberFormat="1"/>
    <xf borderId="0" fillId="0" fontId="1" numFmtId="165" xfId="0" applyAlignment="1" applyFont="1" applyNumberFormat="1">
      <alignment shrinkToFit="0" vertical="center" wrapText="1"/>
    </xf>
    <xf borderId="0" fillId="0" fontId="1" numFmtId="0" xfId="0" applyAlignment="1" applyFont="1">
      <alignment shrinkToFit="0" vertical="center" wrapText="1"/>
    </xf>
    <xf borderId="0" fillId="0" fontId="1" numFmtId="3" xfId="0" applyAlignment="1" applyFont="1" applyNumberForma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2.71"/>
    <col customWidth="1" min="3" max="26" width="8.71"/>
  </cols>
  <sheetData>
    <row r="1">
      <c r="A1" s="1"/>
      <c r="B1" s="2" t="s">
        <v>0</v>
      </c>
    </row>
    <row r="2">
      <c r="A2" s="3" t="s">
        <v>1</v>
      </c>
      <c r="B2" s="2" t="s">
        <v>2</v>
      </c>
    </row>
    <row r="3">
      <c r="A3" s="3" t="s">
        <v>3</v>
      </c>
      <c r="B3" s="2">
        <v>15.0</v>
      </c>
    </row>
    <row r="4">
      <c r="A4" s="3" t="s">
        <v>4</v>
      </c>
      <c r="B4" s="2" t="s">
        <v>5</v>
      </c>
    </row>
    <row r="5">
      <c r="A5" s="3" t="s">
        <v>6</v>
      </c>
      <c r="B5" s="2" t="s">
        <v>7</v>
      </c>
    </row>
    <row r="6">
      <c r="A6" s="3" t="s">
        <v>8</v>
      </c>
      <c r="B6" s="2" t="s">
        <v>9</v>
      </c>
    </row>
    <row r="7">
      <c r="A7" s="3" t="s">
        <v>10</v>
      </c>
      <c r="B7" s="2">
        <v>2.46</v>
      </c>
    </row>
    <row r="8">
      <c r="A8" s="3" t="s">
        <v>11</v>
      </c>
      <c r="B8" s="2" t="s">
        <v>12</v>
      </c>
    </row>
    <row r="9">
      <c r="A9" s="3" t="s">
        <v>13</v>
      </c>
      <c r="B9" s="2" t="s">
        <v>14</v>
      </c>
    </row>
    <row r="10">
      <c r="A10" s="1"/>
      <c r="B10" s="1"/>
    </row>
    <row r="11">
      <c r="A11" s="1"/>
      <c r="B11" s="1"/>
    </row>
    <row r="12">
      <c r="A12" s="1"/>
      <c r="B12" s="1"/>
    </row>
    <row r="13">
      <c r="A13" s="1"/>
      <c r="B13" s="1"/>
    </row>
    <row r="14">
      <c r="A14" s="1"/>
      <c r="B14" s="1"/>
    </row>
    <row r="15">
      <c r="A15" s="1"/>
      <c r="B15" s="1"/>
    </row>
    <row r="16">
      <c r="A16" s="1"/>
      <c r="B16" s="1"/>
    </row>
    <row r="17">
      <c r="A17" s="1"/>
      <c r="B17" s="1"/>
    </row>
    <row r="18">
      <c r="A18" s="1"/>
      <c r="B18" s="1"/>
    </row>
    <row r="19">
      <c r="A19" s="1"/>
      <c r="B19" s="1"/>
    </row>
    <row r="20">
      <c r="A20" s="1"/>
      <c r="B20" s="1"/>
    </row>
    <row r="21" ht="15.75" customHeight="1">
      <c r="A21" s="1"/>
      <c r="B21" s="1"/>
    </row>
    <row r="22" ht="15.75" customHeight="1">
      <c r="A22" s="1"/>
      <c r="B22" s="1"/>
    </row>
    <row r="23" ht="15.75" customHeight="1">
      <c r="A23" s="1"/>
      <c r="B23" s="1"/>
    </row>
    <row r="24" ht="15.75" customHeight="1">
      <c r="A24" s="1"/>
      <c r="B24" s="1"/>
    </row>
    <row r="25" ht="15.75" customHeight="1">
      <c r="A25" s="1"/>
      <c r="B25" s="1"/>
    </row>
    <row r="26" ht="15.75" customHeight="1">
      <c r="A26" s="1"/>
      <c r="B26" s="1"/>
    </row>
    <row r="27" ht="15.75" customHeight="1">
      <c r="A27" s="1"/>
      <c r="B27" s="1"/>
    </row>
    <row r="28" ht="15.75" customHeight="1">
      <c r="A28" s="1"/>
      <c r="B28" s="1"/>
    </row>
    <row r="29" ht="15.75" customHeight="1">
      <c r="A29" s="1"/>
      <c r="B29" s="1"/>
    </row>
    <row r="30" ht="15.75" customHeight="1">
      <c r="A30" s="1"/>
      <c r="B30" s="1"/>
    </row>
    <row r="31" ht="15.75" customHeight="1">
      <c r="A31" s="1"/>
      <c r="B31" s="1"/>
    </row>
    <row r="32" ht="15.75" customHeight="1">
      <c r="A32" s="1"/>
      <c r="B32" s="1"/>
    </row>
    <row r="33" ht="15.75" customHeight="1">
      <c r="A33" s="1"/>
      <c r="B33" s="1"/>
    </row>
    <row r="34" ht="15.75" customHeight="1">
      <c r="A34" s="1"/>
      <c r="B34" s="1"/>
    </row>
    <row r="35" ht="15.75" customHeight="1">
      <c r="A35" s="1"/>
      <c r="B35" s="1"/>
    </row>
    <row r="36" ht="15.75" customHeight="1">
      <c r="A36" s="1"/>
      <c r="B36" s="1"/>
    </row>
    <row r="37" ht="15.75" customHeight="1">
      <c r="A37" s="1"/>
      <c r="B37" s="1"/>
    </row>
    <row r="38" ht="15.75" customHeight="1">
      <c r="A38" s="1"/>
      <c r="B38" s="1"/>
    </row>
    <row r="39" ht="15.75" customHeight="1">
      <c r="A39" s="1"/>
      <c r="B39" s="1"/>
    </row>
    <row r="40" ht="15.75" customHeight="1">
      <c r="A40" s="1"/>
      <c r="B40" s="1"/>
    </row>
    <row r="41" ht="15.75" customHeight="1">
      <c r="A41" s="1"/>
      <c r="B41" s="1"/>
    </row>
    <row r="42" ht="15.75" customHeight="1">
      <c r="A42" s="1"/>
      <c r="B42" s="1"/>
    </row>
    <row r="43" ht="15.75" customHeight="1">
      <c r="A43" s="1"/>
      <c r="B43" s="1"/>
    </row>
    <row r="44" ht="15.75" customHeight="1">
      <c r="A44" s="1"/>
      <c r="B44" s="1"/>
    </row>
    <row r="45" ht="15.75" customHeight="1">
      <c r="A45" s="1"/>
      <c r="B45" s="1"/>
    </row>
    <row r="46" ht="15.75" customHeight="1">
      <c r="A46" s="1"/>
      <c r="B46" s="1"/>
    </row>
    <row r="47" ht="15.75" customHeight="1">
      <c r="A47" s="1"/>
      <c r="B47" s="1"/>
    </row>
    <row r="48" ht="15.75" customHeight="1">
      <c r="A48" s="1"/>
      <c r="B48" s="1"/>
    </row>
    <row r="49" ht="15.75" customHeight="1">
      <c r="A49" s="1"/>
      <c r="B49" s="1"/>
    </row>
    <row r="50" ht="15.75" customHeight="1">
      <c r="A50" s="1"/>
      <c r="B50" s="1"/>
    </row>
    <row r="51" ht="15.75" customHeight="1">
      <c r="A51" s="1"/>
      <c r="B51" s="1"/>
    </row>
    <row r="52" ht="15.75" customHeight="1">
      <c r="A52" s="1"/>
      <c r="B52" s="1"/>
    </row>
    <row r="53" ht="15.75" customHeight="1">
      <c r="A53" s="1"/>
      <c r="B53" s="1"/>
    </row>
    <row r="54" ht="15.75" customHeight="1">
      <c r="A54" s="1"/>
      <c r="B54" s="1"/>
    </row>
    <row r="55" ht="15.75" customHeight="1">
      <c r="A55" s="1"/>
      <c r="B55" s="1"/>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71"/>
    <col customWidth="1" min="2" max="2" width="10.14"/>
    <col customWidth="1" min="3" max="3" width="23.14"/>
    <col customWidth="1" min="4" max="4" width="10.86"/>
    <col customWidth="1" min="5" max="5" width="9.86"/>
    <col customWidth="1" min="6" max="7" width="18.14"/>
    <col customWidth="1" min="8" max="8" width="14.14"/>
    <col customWidth="1" min="9" max="9" width="13.71"/>
    <col customWidth="1" min="10" max="10" width="11.71"/>
    <col customWidth="1" min="11" max="11" width="14.43"/>
    <col customWidth="1" min="12" max="12" width="255.71"/>
    <col customWidth="1" min="13" max="13" width="9.57"/>
    <col customWidth="1" min="14" max="14" width="14.71"/>
    <col customWidth="1" min="15" max="15" width="9.57"/>
    <col customWidth="1" min="16" max="16" width="11.71"/>
    <col customWidth="1" min="17" max="17" width="11.29"/>
    <col customWidth="1" min="18" max="18" width="20.0"/>
    <col customWidth="1" min="19" max="19" width="13.43"/>
    <col customWidth="1" min="20" max="20" width="15.0"/>
    <col customWidth="1" min="21" max="21" width="17.29"/>
    <col customWidth="1" min="22" max="22" width="30.29"/>
    <col customWidth="1" min="23" max="23" width="25.29"/>
    <col customWidth="1" min="24" max="24" width="7.14"/>
    <col customWidth="1" min="25" max="26" width="66.29"/>
  </cols>
  <sheetData>
    <row r="1">
      <c r="A1" s="4" t="s">
        <v>15</v>
      </c>
      <c r="B1" s="4" t="s">
        <v>16</v>
      </c>
      <c r="C1" s="4" t="s">
        <v>17</v>
      </c>
      <c r="D1" s="4" t="s">
        <v>18</v>
      </c>
      <c r="E1" s="4" t="s">
        <v>19</v>
      </c>
      <c r="F1" s="4" t="s">
        <v>20</v>
      </c>
      <c r="G1" s="4" t="s">
        <v>21</v>
      </c>
      <c r="H1" s="4" t="s">
        <v>22</v>
      </c>
      <c r="I1" s="4" t="s">
        <v>23</v>
      </c>
      <c r="J1" s="4" t="s">
        <v>24</v>
      </c>
      <c r="K1" s="4" t="s">
        <v>25</v>
      </c>
      <c r="L1" s="4" t="s">
        <v>26</v>
      </c>
      <c r="M1" s="4" t="s">
        <v>27</v>
      </c>
      <c r="N1" s="4" t="s">
        <v>28</v>
      </c>
      <c r="O1" s="4" t="s">
        <v>29</v>
      </c>
      <c r="P1" s="4" t="s">
        <v>30</v>
      </c>
      <c r="Q1" s="4" t="s">
        <v>31</v>
      </c>
      <c r="R1" s="4" t="s">
        <v>32</v>
      </c>
      <c r="S1" s="4" t="s">
        <v>33</v>
      </c>
      <c r="T1" s="4" t="s">
        <v>34</v>
      </c>
      <c r="U1" s="4" t="s">
        <v>35</v>
      </c>
      <c r="V1" s="4" t="s">
        <v>36</v>
      </c>
      <c r="W1" s="4" t="s">
        <v>37</v>
      </c>
      <c r="X1" s="4" t="s">
        <v>38</v>
      </c>
    </row>
    <row r="2">
      <c r="A2" s="3" t="s">
        <v>39</v>
      </c>
      <c r="B2" s="3" t="s">
        <v>40</v>
      </c>
      <c r="C2" s="3" t="s">
        <v>41</v>
      </c>
      <c r="D2" s="5">
        <v>44.1</v>
      </c>
      <c r="E2" s="5">
        <v>42.23</v>
      </c>
      <c r="F2" s="3">
        <f t="shared" ref="F2:F11" si="1">(E2/D2-1)*100</f>
        <v>-4.240362812</v>
      </c>
      <c r="G2" s="3">
        <v>30.0998878479003</v>
      </c>
      <c r="H2" s="5">
        <v>44.3</v>
      </c>
      <c r="I2" s="5">
        <v>30.1</v>
      </c>
      <c r="J2" s="3" t="s">
        <v>42</v>
      </c>
      <c r="K2" s="6">
        <v>1.0</v>
      </c>
      <c r="L2" s="3" t="s">
        <v>43</v>
      </c>
      <c r="M2" s="3" t="s">
        <v>44</v>
      </c>
      <c r="N2" s="6">
        <v>0.019</v>
      </c>
      <c r="O2" s="3" t="s">
        <v>45</v>
      </c>
      <c r="P2" s="3" t="s">
        <v>46</v>
      </c>
      <c r="Q2" s="3" t="s">
        <v>47</v>
      </c>
      <c r="R2" s="6">
        <v>2.413</v>
      </c>
      <c r="S2" s="6">
        <v>0.009</v>
      </c>
      <c r="T2" s="3" t="s">
        <v>48</v>
      </c>
      <c r="U2" s="6">
        <v>0.003</v>
      </c>
      <c r="V2" s="6">
        <v>0.105</v>
      </c>
      <c r="W2" s="6">
        <v>-0.7</v>
      </c>
      <c r="X2" s="6">
        <v>0.001</v>
      </c>
    </row>
    <row r="3">
      <c r="A3" s="3" t="s">
        <v>49</v>
      </c>
      <c r="B3" s="3" t="s">
        <v>50</v>
      </c>
      <c r="C3" s="3" t="s">
        <v>51</v>
      </c>
      <c r="D3" s="5">
        <v>169.74</v>
      </c>
      <c r="E3" s="5">
        <v>157.89</v>
      </c>
      <c r="F3" s="3">
        <f t="shared" si="1"/>
        <v>-6.981265465</v>
      </c>
      <c r="G3" s="3">
        <v>109.080184936523</v>
      </c>
      <c r="H3" s="5">
        <v>166.93</v>
      </c>
      <c r="I3" s="5">
        <v>96.66</v>
      </c>
      <c r="J3" s="3" t="s">
        <v>52</v>
      </c>
      <c r="K3" s="6">
        <v>1.0</v>
      </c>
      <c r="L3" s="3" t="s">
        <v>53</v>
      </c>
      <c r="M3" s="3" t="s">
        <v>54</v>
      </c>
      <c r="N3" s="6">
        <v>0.037</v>
      </c>
      <c r="O3" s="3" t="s">
        <v>55</v>
      </c>
      <c r="P3" s="1"/>
      <c r="Q3" s="3" t="s">
        <v>56</v>
      </c>
      <c r="R3" s="6">
        <v>0.406</v>
      </c>
      <c r="S3" s="6">
        <v>0.015</v>
      </c>
      <c r="T3" s="3" t="s">
        <v>57</v>
      </c>
      <c r="U3" s="6">
        <v>0.19</v>
      </c>
      <c r="V3" s="6">
        <v>-0.055</v>
      </c>
      <c r="W3" s="6">
        <v>-0.183</v>
      </c>
      <c r="X3" s="6">
        <v>0.181</v>
      </c>
    </row>
    <row r="4">
      <c r="A4" s="3" t="s">
        <v>58</v>
      </c>
      <c r="B4" s="3" t="s">
        <v>59</v>
      </c>
      <c r="C4" s="3" t="s">
        <v>60</v>
      </c>
      <c r="D4" s="5">
        <v>5.08</v>
      </c>
      <c r="E4" s="5">
        <v>4.93</v>
      </c>
      <c r="F4" s="3">
        <f t="shared" si="1"/>
        <v>-2.952755906</v>
      </c>
      <c r="G4" s="3">
        <v>3.94311809539794</v>
      </c>
      <c r="H4" s="5">
        <v>5.51</v>
      </c>
      <c r="I4" s="5">
        <v>3.4</v>
      </c>
      <c r="J4" s="3" t="s">
        <v>61</v>
      </c>
      <c r="K4" s="6">
        <v>0.0</v>
      </c>
      <c r="L4" s="3" t="s">
        <v>62</v>
      </c>
      <c r="M4" s="3" t="s">
        <v>63</v>
      </c>
      <c r="N4" s="6">
        <v>0.05</v>
      </c>
      <c r="O4" s="3" t="s">
        <v>64</v>
      </c>
      <c r="P4" s="3" t="s">
        <v>65</v>
      </c>
      <c r="Q4" s="3" t="s">
        <v>66</v>
      </c>
      <c r="R4" s="6">
        <v>1.802</v>
      </c>
      <c r="S4" s="6">
        <v>0.011</v>
      </c>
      <c r="T4" s="3" t="s">
        <v>67</v>
      </c>
      <c r="U4" s="6">
        <v>0.111</v>
      </c>
      <c r="V4" s="6">
        <v>0.149</v>
      </c>
      <c r="W4" s="6">
        <v>-0.14</v>
      </c>
      <c r="X4" s="6">
        <v>0.082</v>
      </c>
    </row>
    <row r="5">
      <c r="A5" s="3" t="s">
        <v>68</v>
      </c>
      <c r="B5" s="3" t="s">
        <v>69</v>
      </c>
      <c r="C5" s="3" t="s">
        <v>70</v>
      </c>
      <c r="D5" s="5">
        <v>40.89</v>
      </c>
      <c r="E5" s="5">
        <v>37.2</v>
      </c>
      <c r="F5" s="3">
        <f t="shared" si="1"/>
        <v>-9.024211299</v>
      </c>
      <c r="G5" s="3">
        <v>31.698013305664</v>
      </c>
      <c r="H5" s="5">
        <v>41.0</v>
      </c>
      <c r="I5" s="5">
        <v>24.93</v>
      </c>
      <c r="J5" s="3" t="s">
        <v>71</v>
      </c>
      <c r="K5" s="6">
        <v>0.7</v>
      </c>
      <c r="L5" s="3" t="s">
        <v>72</v>
      </c>
      <c r="M5" s="3" t="s">
        <v>73</v>
      </c>
      <c r="N5" s="6">
        <v>0.045</v>
      </c>
      <c r="O5" s="3" t="s">
        <v>74</v>
      </c>
      <c r="P5" s="3" t="s">
        <v>75</v>
      </c>
      <c r="Q5" s="3" t="s">
        <v>76</v>
      </c>
      <c r="R5" s="6">
        <v>3.179</v>
      </c>
      <c r="S5" s="1"/>
      <c r="T5" s="3" t="s">
        <v>77</v>
      </c>
      <c r="U5" s="6">
        <v>0.251</v>
      </c>
      <c r="V5" s="6">
        <v>0.394</v>
      </c>
      <c r="W5" s="6">
        <v>-0.056</v>
      </c>
      <c r="X5" s="6">
        <v>0.084</v>
      </c>
    </row>
    <row r="6">
      <c r="A6" s="3" t="s">
        <v>78</v>
      </c>
      <c r="B6" s="3" t="s">
        <v>79</v>
      </c>
      <c r="C6" s="3" t="s">
        <v>80</v>
      </c>
      <c r="D6" s="5">
        <v>10.42</v>
      </c>
      <c r="E6" s="5">
        <v>8.93</v>
      </c>
      <c r="F6" s="3">
        <f t="shared" si="1"/>
        <v>-14.29942418</v>
      </c>
      <c r="G6" s="3">
        <v>7.84307432174682</v>
      </c>
      <c r="H6" s="5">
        <v>10.65</v>
      </c>
      <c r="I6" s="5">
        <v>7.84</v>
      </c>
      <c r="J6" s="3" t="s">
        <v>81</v>
      </c>
      <c r="K6" s="6">
        <v>1.0</v>
      </c>
      <c r="L6" s="3" t="s">
        <v>82</v>
      </c>
      <c r="M6" s="1"/>
      <c r="N6" s="6">
        <v>0.055</v>
      </c>
      <c r="O6" s="3" t="s">
        <v>83</v>
      </c>
      <c r="P6" s="1"/>
      <c r="Q6" s="3" t="s">
        <v>84</v>
      </c>
      <c r="R6" s="6">
        <v>0.681</v>
      </c>
      <c r="S6" s="6">
        <v>0.009</v>
      </c>
      <c r="T6" s="3" t="s">
        <v>85</v>
      </c>
      <c r="U6" s="6">
        <v>-0.007</v>
      </c>
      <c r="V6" s="6">
        <v>0.029</v>
      </c>
      <c r="W6" s="1"/>
      <c r="X6" s="6">
        <v>-0.019</v>
      </c>
    </row>
    <row r="7">
      <c r="A7" s="3" t="s">
        <v>86</v>
      </c>
      <c r="B7" s="3" t="s">
        <v>87</v>
      </c>
      <c r="C7" s="3" t="s">
        <v>70</v>
      </c>
      <c r="D7" s="5">
        <v>46.01</v>
      </c>
      <c r="E7" s="5">
        <v>47.11</v>
      </c>
      <c r="F7" s="3">
        <f t="shared" si="1"/>
        <v>2.390784612</v>
      </c>
      <c r="G7" s="3">
        <v>37.8907585144043</v>
      </c>
      <c r="H7" s="5">
        <v>49.45</v>
      </c>
      <c r="I7" s="5">
        <v>29.81</v>
      </c>
      <c r="J7" s="3" t="s">
        <v>88</v>
      </c>
      <c r="K7" s="6">
        <v>1.0</v>
      </c>
      <c r="L7" s="3" t="s">
        <v>89</v>
      </c>
      <c r="M7" s="3" t="s">
        <v>90</v>
      </c>
      <c r="N7" s="6">
        <v>0.036</v>
      </c>
      <c r="O7" s="3" t="s">
        <v>91</v>
      </c>
      <c r="P7" s="3" t="s">
        <v>92</v>
      </c>
      <c r="Q7" s="3" t="s">
        <v>93</v>
      </c>
      <c r="R7" s="6">
        <v>3.02</v>
      </c>
      <c r="S7" s="1"/>
      <c r="T7" s="3" t="s">
        <v>94</v>
      </c>
      <c r="U7" s="6">
        <v>0.324</v>
      </c>
      <c r="V7" s="6">
        <v>0.364</v>
      </c>
      <c r="W7" s="6">
        <v>0.016</v>
      </c>
      <c r="X7" s="6">
        <v>0.109</v>
      </c>
    </row>
    <row r="8">
      <c r="A8" s="3" t="s">
        <v>95</v>
      </c>
      <c r="B8" s="3" t="s">
        <v>96</v>
      </c>
      <c r="C8" s="3" t="s">
        <v>51</v>
      </c>
      <c r="D8" s="5">
        <v>95.28</v>
      </c>
      <c r="E8" s="5">
        <v>93.7</v>
      </c>
      <c r="F8" s="3">
        <f t="shared" si="1"/>
        <v>-1.658270361</v>
      </c>
      <c r="G8" s="3">
        <v>45.1187667846679</v>
      </c>
      <c r="H8" s="5">
        <v>98.21</v>
      </c>
      <c r="I8" s="5">
        <v>35.92</v>
      </c>
      <c r="J8" s="1"/>
      <c r="K8" s="6">
        <v>0.0</v>
      </c>
      <c r="L8" s="3" t="s">
        <v>97</v>
      </c>
      <c r="M8" s="1"/>
      <c r="N8" s="6">
        <v>0.005</v>
      </c>
      <c r="O8" s="1"/>
      <c r="P8" s="1"/>
      <c r="Q8" s="1"/>
      <c r="R8" s="1"/>
      <c r="S8" s="1"/>
      <c r="T8" s="1"/>
      <c r="U8" s="1"/>
      <c r="V8" s="1"/>
      <c r="W8" s="1"/>
      <c r="X8" s="1"/>
    </row>
    <row r="9">
      <c r="A9" s="3" t="s">
        <v>98</v>
      </c>
      <c r="B9" s="3" t="s">
        <v>99</v>
      </c>
      <c r="C9" s="3" t="s">
        <v>100</v>
      </c>
      <c r="D9" s="5">
        <v>23.97</v>
      </c>
      <c r="E9" s="5">
        <v>18.6</v>
      </c>
      <c r="F9" s="3">
        <f t="shared" si="1"/>
        <v>-22.40300375</v>
      </c>
      <c r="G9" s="3">
        <v>12.9400930404663</v>
      </c>
      <c r="H9" s="5">
        <v>26.94</v>
      </c>
      <c r="I9" s="5">
        <v>12.94</v>
      </c>
      <c r="J9" s="3" t="s">
        <v>101</v>
      </c>
      <c r="K9" s="6">
        <v>0.0</v>
      </c>
      <c r="L9" s="3" t="s">
        <v>102</v>
      </c>
      <c r="M9" s="1"/>
      <c r="N9" s="6">
        <v>0.025</v>
      </c>
      <c r="O9" s="3" t="s">
        <v>103</v>
      </c>
      <c r="P9" s="3" t="s">
        <v>104</v>
      </c>
      <c r="Q9" s="3" t="s">
        <v>105</v>
      </c>
      <c r="R9" s="6">
        <v>2.236</v>
      </c>
      <c r="S9" s="6">
        <v>0.01</v>
      </c>
      <c r="T9" s="3" t="s">
        <v>106</v>
      </c>
      <c r="U9" s="6">
        <v>-0.002</v>
      </c>
      <c r="V9" s="6">
        <v>0.005</v>
      </c>
      <c r="W9" s="1"/>
      <c r="X9" s="6">
        <v>-0.006</v>
      </c>
    </row>
    <row r="10">
      <c r="A10" s="3" t="s">
        <v>107</v>
      </c>
      <c r="B10" s="3" t="s">
        <v>108</v>
      </c>
      <c r="C10" s="3" t="s">
        <v>51</v>
      </c>
      <c r="D10" s="5">
        <v>4.16</v>
      </c>
      <c r="E10" s="5">
        <v>4.41</v>
      </c>
      <c r="F10" s="3">
        <f t="shared" si="1"/>
        <v>6.009615385</v>
      </c>
      <c r="G10" s="3">
        <v>2.45222949981689</v>
      </c>
      <c r="H10" s="5">
        <v>4.85</v>
      </c>
      <c r="I10" s="5">
        <v>2.4</v>
      </c>
      <c r="J10" s="3" t="s">
        <v>109</v>
      </c>
      <c r="K10" s="6">
        <v>1.0</v>
      </c>
      <c r="L10" s="3" t="s">
        <v>110</v>
      </c>
      <c r="M10" s="3" t="s">
        <v>111</v>
      </c>
      <c r="N10" s="6">
        <v>0.021</v>
      </c>
      <c r="O10" s="3" t="s">
        <v>112</v>
      </c>
      <c r="P10" s="3" t="s">
        <v>113</v>
      </c>
      <c r="Q10" s="3" t="s">
        <v>114</v>
      </c>
      <c r="R10" s="6">
        <v>0.185</v>
      </c>
      <c r="S10" s="6">
        <v>0.024</v>
      </c>
      <c r="T10" s="3" t="s">
        <v>115</v>
      </c>
      <c r="U10" s="6">
        <v>0.054</v>
      </c>
      <c r="V10" s="6">
        <v>-0.146</v>
      </c>
      <c r="W10" s="6">
        <v>-0.502</v>
      </c>
      <c r="X10" s="6">
        <v>0.036</v>
      </c>
    </row>
    <row r="11">
      <c r="A11" s="3" t="s">
        <v>116</v>
      </c>
      <c r="B11" s="3" t="s">
        <v>117</v>
      </c>
      <c r="C11" s="3" t="s">
        <v>118</v>
      </c>
      <c r="D11" s="3">
        <v>3.64</v>
      </c>
      <c r="E11" s="5">
        <v>3.75</v>
      </c>
      <c r="F11" s="3">
        <f t="shared" si="1"/>
        <v>3.021978022</v>
      </c>
      <c r="G11" s="3">
        <v>3.42778539657592</v>
      </c>
      <c r="H11" s="5">
        <v>4.03</v>
      </c>
      <c r="I11" s="5">
        <v>3.18</v>
      </c>
      <c r="J11" s="3" t="s">
        <v>119</v>
      </c>
      <c r="K11" s="6">
        <v>0.0</v>
      </c>
      <c r="L11" s="3" t="s">
        <v>120</v>
      </c>
      <c r="M11" s="3" t="s">
        <v>121</v>
      </c>
      <c r="N11" s="6">
        <v>0.051</v>
      </c>
      <c r="O11" s="3" t="s">
        <v>122</v>
      </c>
      <c r="P11" s="1"/>
      <c r="Q11" s="3" t="s">
        <v>123</v>
      </c>
      <c r="R11" s="6">
        <v>0.285</v>
      </c>
      <c r="S11" s="6">
        <v>0.003</v>
      </c>
      <c r="T11" s="3" t="s">
        <v>124</v>
      </c>
      <c r="U11" s="6">
        <v>1.306</v>
      </c>
      <c r="V11" s="6">
        <v>0.098</v>
      </c>
      <c r="W11" s="6">
        <v>-0.211</v>
      </c>
      <c r="X11" s="6">
        <v>0.096</v>
      </c>
    </row>
    <row r="12">
      <c r="A12" s="1"/>
      <c r="B12" s="1"/>
      <c r="C12" s="1"/>
      <c r="D12" s="1"/>
      <c r="E12" s="1"/>
      <c r="F12" s="1"/>
      <c r="G12" s="1"/>
      <c r="H12" s="1"/>
      <c r="I12" s="1"/>
      <c r="J12" s="1"/>
      <c r="K12" s="1"/>
      <c r="L12" s="1"/>
      <c r="M12" s="1"/>
      <c r="N12" s="1"/>
      <c r="O12" s="1"/>
      <c r="P12" s="1"/>
      <c r="Q12" s="1"/>
      <c r="R12" s="1"/>
      <c r="S12" s="1"/>
      <c r="T12" s="1"/>
      <c r="U12" s="1"/>
      <c r="V12" s="1"/>
      <c r="W12" s="1"/>
      <c r="X12" s="1"/>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1"/>
      <c r="C14" s="1"/>
      <c r="D14" s="1"/>
      <c r="E14" s="1"/>
      <c r="F14" s="1"/>
      <c r="G14" s="1"/>
      <c r="H14" s="1"/>
      <c r="I14" s="1"/>
      <c r="J14" s="1"/>
      <c r="K14" s="1"/>
      <c r="L14" s="1"/>
      <c r="M14" s="1"/>
      <c r="N14" s="1"/>
      <c r="O14" s="1"/>
      <c r="P14" s="1"/>
      <c r="Q14" s="1"/>
      <c r="R14" s="1"/>
      <c r="S14" s="1"/>
      <c r="T14" s="1"/>
      <c r="U14" s="1"/>
      <c r="V14" s="1"/>
      <c r="W14" s="1"/>
      <c r="X14" s="1"/>
    </row>
    <row r="15">
      <c r="A15" s="1"/>
      <c r="B15" s="1"/>
      <c r="C15" s="1"/>
      <c r="D15" s="1"/>
      <c r="E15" s="1"/>
      <c r="F15" s="1"/>
      <c r="G15" s="1"/>
      <c r="H15" s="1"/>
      <c r="I15" s="1"/>
      <c r="J15" s="1"/>
      <c r="K15" s="1"/>
      <c r="L15" s="1"/>
      <c r="M15" s="1"/>
      <c r="N15" s="1"/>
      <c r="O15" s="1"/>
      <c r="P15" s="1"/>
      <c r="Q15" s="1"/>
      <c r="R15" s="1"/>
      <c r="S15" s="1"/>
      <c r="T15" s="1"/>
      <c r="U15" s="1"/>
      <c r="V15" s="1"/>
      <c r="W15" s="1"/>
      <c r="X15" s="1"/>
    </row>
    <row r="16">
      <c r="A16" s="1"/>
      <c r="B16" s="1"/>
      <c r="C16" s="1"/>
      <c r="D16" s="1"/>
      <c r="E16" s="1"/>
      <c r="F16" s="1"/>
      <c r="G16" s="1"/>
      <c r="H16" s="5"/>
      <c r="I16" s="5"/>
      <c r="J16" s="1"/>
      <c r="K16" s="1"/>
      <c r="L16" s="1"/>
      <c r="M16" s="1"/>
      <c r="N16" s="1"/>
      <c r="O16" s="1"/>
      <c r="P16" s="1"/>
      <c r="Q16" s="1"/>
      <c r="R16" s="1"/>
      <c r="S16" s="1"/>
      <c r="T16" s="1"/>
      <c r="U16" s="1"/>
      <c r="V16" s="1"/>
      <c r="W16" s="1"/>
      <c r="X16" s="1"/>
    </row>
    <row r="17">
      <c r="A17" s="1"/>
      <c r="B17" s="1"/>
      <c r="C17" s="1"/>
      <c r="D17" s="1"/>
      <c r="E17" s="1"/>
      <c r="F17" s="1"/>
      <c r="G17" s="1"/>
      <c r="H17" s="1"/>
      <c r="I17" s="1"/>
      <c r="J17" s="1"/>
      <c r="K17" s="1"/>
      <c r="L17" s="1"/>
      <c r="M17" s="1"/>
      <c r="N17" s="1"/>
      <c r="O17" s="1"/>
      <c r="P17" s="1"/>
      <c r="Q17" s="1"/>
      <c r="R17" s="1"/>
      <c r="S17" s="1"/>
      <c r="T17" s="1"/>
      <c r="U17" s="1"/>
      <c r="V17" s="1"/>
      <c r="W17" s="1"/>
      <c r="X17" s="1"/>
    </row>
    <row r="18">
      <c r="A18" s="1"/>
      <c r="B18" s="1"/>
      <c r="C18" s="1"/>
      <c r="D18" s="1"/>
      <c r="E18" s="1"/>
      <c r="F18" s="1"/>
      <c r="G18" s="1"/>
      <c r="H18" s="1"/>
      <c r="I18" s="1"/>
      <c r="J18" s="1"/>
      <c r="K18" s="1"/>
      <c r="L18" s="1"/>
      <c r="M18" s="1"/>
      <c r="N18" s="1"/>
      <c r="O18" s="1"/>
      <c r="P18" s="1"/>
      <c r="Q18" s="1"/>
      <c r="R18" s="1"/>
      <c r="S18" s="1"/>
      <c r="T18" s="1"/>
      <c r="U18" s="1"/>
      <c r="V18" s="1"/>
      <c r="W18" s="1"/>
      <c r="X18" s="1"/>
    </row>
    <row r="19">
      <c r="A19" s="1"/>
      <c r="B19" s="1"/>
      <c r="C19" s="1"/>
      <c r="D19" s="1"/>
      <c r="E19" s="1"/>
      <c r="F19" s="1"/>
      <c r="G19" s="1"/>
      <c r="H19" s="1"/>
      <c r="I19" s="1"/>
      <c r="J19" s="1"/>
      <c r="K19" s="1"/>
      <c r="L19" s="1"/>
      <c r="M19" s="1"/>
      <c r="N19" s="1"/>
      <c r="O19" s="1"/>
      <c r="P19" s="1"/>
      <c r="Q19" s="1"/>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ht="15.75" customHeight="1">
      <c r="A21" s="1"/>
      <c r="B21" s="1"/>
      <c r="C21" s="1"/>
      <c r="D21" s="1"/>
      <c r="E21" s="1"/>
      <c r="F21" s="1"/>
      <c r="G21" s="1"/>
      <c r="H21" s="1"/>
      <c r="I21" s="1"/>
      <c r="J21" s="1"/>
      <c r="K21" s="1"/>
      <c r="L21" s="7"/>
      <c r="M21" s="1"/>
      <c r="N21" s="1"/>
      <c r="O21" s="1"/>
      <c r="P21" s="1"/>
      <c r="Q21" s="1"/>
      <c r="R21" s="1"/>
      <c r="S21" s="1"/>
      <c r="T21" s="1"/>
      <c r="U21" s="1"/>
      <c r="V21" s="1"/>
      <c r="W21" s="1"/>
      <c r="X21" s="1"/>
    </row>
    <row r="22" ht="15.75" customHeight="1">
      <c r="A22" s="1"/>
      <c r="B22" s="1"/>
      <c r="C22" s="1"/>
      <c r="D22" s="1"/>
      <c r="E22" s="1"/>
      <c r="F22" s="1"/>
      <c r="G22" s="1"/>
      <c r="H22" s="1"/>
      <c r="I22" s="1"/>
      <c r="J22" s="1"/>
      <c r="K22" s="1"/>
      <c r="L22" s="7"/>
      <c r="M22" s="1"/>
      <c r="N22" s="1"/>
      <c r="O22" s="1"/>
      <c r="P22" s="1"/>
      <c r="Q22" s="1"/>
      <c r="R22" s="1"/>
      <c r="S22" s="1"/>
      <c r="T22" s="1"/>
      <c r="U22" s="1"/>
      <c r="V22" s="1"/>
      <c r="W22" s="1"/>
      <c r="X22" s="1"/>
    </row>
    <row r="23" ht="15.75" customHeight="1">
      <c r="A23" s="1"/>
      <c r="B23" s="1"/>
      <c r="C23" s="1"/>
      <c r="D23" s="1"/>
      <c r="E23" s="1"/>
      <c r="F23" s="1"/>
      <c r="G23" s="1"/>
      <c r="H23" s="1"/>
      <c r="I23" s="1"/>
      <c r="J23" s="1"/>
      <c r="K23" s="1"/>
      <c r="L23" s="7"/>
      <c r="M23" s="1"/>
      <c r="N23" s="1"/>
      <c r="O23" s="1"/>
      <c r="P23" s="1"/>
      <c r="Q23" s="1"/>
      <c r="R23" s="1"/>
      <c r="S23" s="1"/>
      <c r="T23" s="1"/>
      <c r="U23" s="1"/>
      <c r="V23" s="1"/>
      <c r="W23" s="1"/>
      <c r="X23" s="1"/>
    </row>
    <row r="24" ht="15.75" customHeight="1">
      <c r="A24" s="1"/>
      <c r="B24" s="1"/>
      <c r="C24" s="1"/>
      <c r="D24" s="1"/>
      <c r="E24" s="1"/>
      <c r="F24" s="1"/>
      <c r="G24" s="1"/>
      <c r="H24" s="1"/>
      <c r="I24" s="1"/>
      <c r="J24" s="1"/>
      <c r="K24" s="1"/>
      <c r="L24" s="7"/>
      <c r="M24" s="1"/>
      <c r="N24" s="1"/>
      <c r="O24" s="1"/>
      <c r="P24" s="1"/>
      <c r="Q24" s="1"/>
      <c r="R24" s="1"/>
      <c r="S24" s="1"/>
      <c r="T24" s="1"/>
      <c r="U24" s="1"/>
      <c r="V24" s="1"/>
      <c r="W24" s="1"/>
      <c r="X24" s="1"/>
    </row>
    <row r="25" ht="15.75" customHeight="1">
      <c r="A25" s="1"/>
      <c r="B25" s="1"/>
      <c r="C25" s="1"/>
      <c r="D25" s="1"/>
      <c r="E25" s="1"/>
      <c r="F25" s="1"/>
      <c r="G25" s="1"/>
      <c r="H25" s="1"/>
      <c r="I25" s="1"/>
      <c r="J25" s="1"/>
      <c r="K25" s="1"/>
      <c r="L25" s="7"/>
      <c r="M25" s="1"/>
      <c r="N25" s="1"/>
      <c r="O25" s="1"/>
      <c r="P25" s="1"/>
      <c r="Q25" s="1"/>
      <c r="R25" s="1"/>
      <c r="S25" s="1"/>
      <c r="T25" s="1"/>
      <c r="U25" s="1"/>
      <c r="V25" s="1"/>
      <c r="W25" s="1"/>
      <c r="X25" s="1"/>
    </row>
    <row r="26" ht="15.75" customHeight="1">
      <c r="A26" s="1"/>
      <c r="B26" s="1"/>
      <c r="C26" s="1"/>
      <c r="D26" s="1"/>
      <c r="E26" s="1"/>
      <c r="F26" s="1"/>
      <c r="G26" s="1"/>
      <c r="H26" s="1"/>
      <c r="I26" s="1"/>
      <c r="J26" s="1"/>
      <c r="K26" s="1"/>
      <c r="L26" s="7"/>
      <c r="M26" s="1"/>
      <c r="N26" s="1"/>
      <c r="O26" s="1"/>
      <c r="P26" s="1"/>
      <c r="Q26" s="1"/>
      <c r="R26" s="1"/>
      <c r="S26" s="1"/>
      <c r="T26" s="1"/>
      <c r="U26" s="1"/>
      <c r="V26" s="1"/>
      <c r="W26" s="1"/>
      <c r="X26" s="1"/>
    </row>
    <row r="27" ht="15.75" customHeight="1">
      <c r="A27" s="1"/>
      <c r="B27" s="1"/>
      <c r="C27" s="1"/>
      <c r="D27" s="1"/>
      <c r="E27" s="1"/>
      <c r="F27" s="1"/>
      <c r="G27" s="1"/>
      <c r="H27" s="1"/>
      <c r="I27" s="1"/>
      <c r="J27" s="1"/>
      <c r="K27" s="1"/>
      <c r="L27" s="7"/>
      <c r="M27" s="1"/>
      <c r="N27" s="1"/>
      <c r="O27" s="1"/>
      <c r="P27" s="1"/>
      <c r="Q27" s="1"/>
      <c r="R27" s="1"/>
      <c r="S27" s="1"/>
      <c r="T27" s="1"/>
      <c r="U27" s="1"/>
      <c r="V27" s="1"/>
      <c r="W27" s="1"/>
      <c r="X27" s="1"/>
    </row>
    <row r="28" ht="15.75" customHeight="1">
      <c r="A28" s="1"/>
      <c r="B28" s="1"/>
      <c r="C28" s="1"/>
      <c r="D28" s="1"/>
      <c r="E28" s="1"/>
      <c r="F28" s="1"/>
      <c r="G28" s="1"/>
      <c r="H28" s="1"/>
      <c r="I28" s="1"/>
      <c r="J28" s="1"/>
      <c r="K28" s="1"/>
      <c r="L28" s="7"/>
      <c r="M28" s="1"/>
      <c r="N28" s="1"/>
      <c r="O28" s="1"/>
      <c r="P28" s="1"/>
      <c r="Q28" s="1"/>
      <c r="R28" s="1"/>
      <c r="S28" s="1"/>
      <c r="T28" s="1"/>
      <c r="U28" s="1"/>
      <c r="V28" s="1"/>
      <c r="W28" s="1"/>
      <c r="X28" s="1"/>
    </row>
    <row r="29" ht="15.75" customHeight="1">
      <c r="A29" s="1"/>
      <c r="B29" s="1"/>
      <c r="C29" s="1"/>
      <c r="D29" s="1"/>
      <c r="E29" s="1"/>
      <c r="F29" s="1"/>
      <c r="G29" s="1"/>
      <c r="H29" s="1"/>
      <c r="I29" s="1"/>
      <c r="J29" s="1"/>
      <c r="K29" s="1"/>
      <c r="L29" s="7"/>
      <c r="M29" s="1"/>
      <c r="N29" s="1"/>
      <c r="O29" s="1"/>
      <c r="P29" s="1"/>
      <c r="Q29" s="1"/>
      <c r="R29" s="1"/>
      <c r="S29" s="1"/>
      <c r="T29" s="1"/>
      <c r="U29" s="1"/>
      <c r="V29" s="1"/>
      <c r="W29" s="1"/>
      <c r="X29" s="1"/>
    </row>
    <row r="30" ht="15.75" customHeight="1">
      <c r="A30" s="1"/>
      <c r="B30" s="1"/>
      <c r="C30" s="1"/>
      <c r="D30" s="1"/>
      <c r="E30" s="1"/>
      <c r="F30" s="1"/>
      <c r="G30" s="1"/>
      <c r="H30" s="1"/>
      <c r="I30" s="1"/>
      <c r="J30" s="1"/>
      <c r="K30" s="1"/>
      <c r="L30" s="7"/>
      <c r="M30" s="1"/>
      <c r="N30" s="1"/>
      <c r="O30" s="1"/>
      <c r="P30" s="1"/>
      <c r="Q30" s="1"/>
      <c r="R30" s="1"/>
      <c r="S30" s="1"/>
      <c r="T30" s="1"/>
      <c r="U30" s="1"/>
      <c r="V30" s="1"/>
      <c r="W30" s="1"/>
      <c r="X30" s="1"/>
    </row>
    <row r="31" ht="15.75" customHeight="1">
      <c r="A31" s="1"/>
      <c r="B31" s="1"/>
      <c r="C31" s="1"/>
      <c r="D31" s="1"/>
      <c r="E31" s="1"/>
      <c r="F31" s="1"/>
      <c r="G31" s="1"/>
      <c r="H31" s="1"/>
      <c r="I31" s="1"/>
      <c r="J31" s="1"/>
      <c r="K31" s="1"/>
      <c r="L31" s="1"/>
      <c r="M31" s="1"/>
      <c r="N31" s="1"/>
      <c r="O31" s="1"/>
      <c r="P31" s="1"/>
      <c r="Q31" s="1"/>
      <c r="R31" s="1"/>
      <c r="S31" s="1"/>
      <c r="T31" s="1"/>
      <c r="U31" s="1"/>
      <c r="V31" s="1"/>
      <c r="W31" s="1"/>
      <c r="X31" s="1"/>
    </row>
    <row r="32" ht="15.75" customHeight="1">
      <c r="A32" s="1"/>
      <c r="B32" s="1"/>
      <c r="C32" s="1"/>
      <c r="D32" s="1"/>
      <c r="E32" s="1"/>
      <c r="F32" s="1"/>
      <c r="G32" s="1"/>
      <c r="H32" s="1"/>
      <c r="I32" s="1"/>
      <c r="J32" s="1"/>
      <c r="K32" s="1"/>
      <c r="L32" s="1"/>
      <c r="M32" s="1"/>
      <c r="N32" s="1"/>
      <c r="O32" s="1"/>
      <c r="P32" s="1"/>
      <c r="Q32" s="1"/>
      <c r="R32" s="1"/>
      <c r="S32" s="1"/>
      <c r="T32" s="1"/>
      <c r="U32" s="1"/>
      <c r="V32" s="1"/>
      <c r="W32" s="1"/>
      <c r="X32" s="1"/>
    </row>
    <row r="33" ht="15.75" customHeight="1">
      <c r="A33" s="1"/>
      <c r="B33" s="1"/>
      <c r="C33" s="1"/>
      <c r="D33" s="1"/>
      <c r="E33" s="1"/>
      <c r="F33" s="1"/>
      <c r="G33" s="1"/>
      <c r="H33" s="1"/>
      <c r="I33" s="1"/>
      <c r="J33" s="1"/>
      <c r="K33" s="1"/>
      <c r="L33" s="1"/>
      <c r="M33" s="1"/>
      <c r="N33" s="1"/>
      <c r="O33" s="1"/>
      <c r="P33" s="1"/>
      <c r="Q33" s="1"/>
      <c r="R33" s="1"/>
      <c r="S33" s="1"/>
      <c r="T33" s="1"/>
      <c r="U33" s="1"/>
      <c r="V33" s="1"/>
      <c r="W33" s="1"/>
      <c r="X33" s="1"/>
    </row>
    <row r="34" ht="15.75" customHeight="1">
      <c r="A34" s="1"/>
      <c r="B34" s="1"/>
      <c r="C34" s="1"/>
      <c r="D34" s="1"/>
      <c r="E34" s="1"/>
      <c r="F34" s="1"/>
      <c r="G34" s="1"/>
      <c r="H34" s="1"/>
      <c r="I34" s="1"/>
      <c r="J34" s="1"/>
      <c r="K34" s="1"/>
      <c r="L34" s="1"/>
      <c r="M34" s="1"/>
      <c r="N34" s="1"/>
      <c r="O34" s="1"/>
      <c r="P34" s="1"/>
      <c r="Q34" s="1"/>
      <c r="R34" s="1"/>
      <c r="S34" s="1"/>
      <c r="T34" s="1"/>
      <c r="U34" s="1"/>
      <c r="V34" s="1"/>
      <c r="W34" s="1"/>
      <c r="X34" s="1"/>
    </row>
    <row r="35" ht="15.75" customHeight="1">
      <c r="A35" s="1"/>
      <c r="B35" s="1"/>
      <c r="C35" s="1"/>
      <c r="D35" s="1"/>
      <c r="E35" s="1"/>
      <c r="F35" s="1"/>
      <c r="G35" s="1"/>
      <c r="H35" s="1"/>
      <c r="I35" s="1"/>
      <c r="J35" s="1"/>
      <c r="K35" s="1"/>
      <c r="L35" s="1"/>
      <c r="M35" s="1"/>
      <c r="N35" s="1"/>
      <c r="O35" s="1"/>
      <c r="P35" s="1"/>
      <c r="Q35" s="1"/>
      <c r="R35" s="1"/>
      <c r="S35" s="1"/>
      <c r="T35" s="1"/>
      <c r="U35" s="1"/>
      <c r="V35" s="1"/>
      <c r="W35" s="1"/>
      <c r="X35" s="1"/>
    </row>
    <row r="36" ht="15.75" customHeight="1">
      <c r="A36" s="1"/>
      <c r="B36" s="1"/>
      <c r="C36" s="1"/>
      <c r="D36" s="1"/>
      <c r="E36" s="1"/>
      <c r="F36" s="1"/>
      <c r="G36" s="1"/>
      <c r="H36" s="1"/>
      <c r="I36" s="1"/>
      <c r="J36" s="1"/>
      <c r="K36" s="1"/>
      <c r="L36" s="1"/>
      <c r="M36" s="1"/>
      <c r="N36" s="1"/>
      <c r="O36" s="1"/>
      <c r="P36" s="1"/>
      <c r="Q36" s="1"/>
      <c r="R36" s="1"/>
      <c r="S36" s="1"/>
      <c r="T36" s="1"/>
      <c r="U36" s="1"/>
      <c r="V36" s="1"/>
      <c r="W36" s="1"/>
      <c r="X36" s="1"/>
    </row>
    <row r="37" ht="15.75" customHeight="1">
      <c r="A37" s="1"/>
      <c r="B37" s="1"/>
      <c r="C37" s="1"/>
      <c r="D37" s="1"/>
      <c r="E37" s="1"/>
      <c r="F37" s="1"/>
      <c r="G37" s="1"/>
      <c r="H37" s="1"/>
      <c r="I37" s="1"/>
      <c r="J37" s="1"/>
      <c r="K37" s="1"/>
      <c r="L37" s="1"/>
      <c r="M37" s="1"/>
      <c r="N37" s="1"/>
      <c r="O37" s="1"/>
      <c r="P37" s="1"/>
      <c r="Q37" s="1"/>
      <c r="R37" s="1"/>
      <c r="S37" s="1"/>
      <c r="T37" s="1"/>
      <c r="U37" s="1"/>
      <c r="V37" s="1"/>
      <c r="W37" s="1"/>
      <c r="X37" s="1"/>
    </row>
    <row r="38" ht="15.75" customHeight="1">
      <c r="A38" s="1"/>
      <c r="B38" s="1"/>
      <c r="C38" s="1"/>
      <c r="D38" s="1"/>
      <c r="E38" s="1"/>
      <c r="F38" s="1"/>
      <c r="G38" s="1"/>
      <c r="H38" s="1"/>
      <c r="I38" s="1"/>
      <c r="J38" s="1"/>
      <c r="K38" s="1"/>
      <c r="L38" s="1"/>
      <c r="M38" s="1"/>
      <c r="N38" s="1"/>
      <c r="O38" s="1"/>
      <c r="P38" s="1"/>
      <c r="Q38" s="1"/>
      <c r="R38" s="1"/>
      <c r="S38" s="1"/>
      <c r="T38" s="1"/>
      <c r="U38" s="1"/>
      <c r="V38" s="1"/>
      <c r="W38" s="1"/>
      <c r="X38" s="1"/>
    </row>
    <row r="39" ht="15.75" customHeight="1">
      <c r="A39" s="1"/>
      <c r="B39" s="1"/>
      <c r="C39" s="1"/>
      <c r="D39" s="1"/>
      <c r="E39" s="1"/>
      <c r="F39" s="1"/>
      <c r="G39" s="1"/>
      <c r="H39" s="1"/>
      <c r="I39" s="1"/>
      <c r="J39" s="1"/>
      <c r="K39" s="1"/>
      <c r="L39" s="1"/>
      <c r="M39" s="1"/>
      <c r="N39" s="1"/>
      <c r="O39" s="1"/>
      <c r="P39" s="1"/>
      <c r="Q39" s="1"/>
      <c r="R39" s="1"/>
      <c r="S39" s="1"/>
      <c r="T39" s="1"/>
      <c r="U39" s="1"/>
      <c r="V39" s="1"/>
      <c r="W39" s="1"/>
      <c r="X39" s="1"/>
    </row>
    <row r="40" ht="15.75" customHeight="1">
      <c r="A40" s="1"/>
      <c r="B40" s="1"/>
      <c r="C40" s="1"/>
      <c r="D40" s="1"/>
      <c r="E40" s="1"/>
      <c r="F40" s="1"/>
      <c r="G40" s="1"/>
      <c r="H40" s="1"/>
      <c r="I40" s="1"/>
      <c r="J40" s="1"/>
      <c r="K40" s="1"/>
      <c r="L40" s="1"/>
      <c r="M40" s="1"/>
      <c r="N40" s="1"/>
      <c r="O40" s="1"/>
      <c r="P40" s="1"/>
      <c r="Q40" s="1"/>
      <c r="R40" s="1"/>
      <c r="S40" s="1"/>
      <c r="T40" s="1"/>
      <c r="U40" s="1"/>
      <c r="V40" s="1"/>
      <c r="W40" s="1"/>
      <c r="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43"/>
    <col customWidth="1" min="3" max="3" width="15.0"/>
    <col customWidth="1" min="4" max="4" width="13.0"/>
    <col customWidth="1" min="5" max="5" width="18.0"/>
    <col customWidth="1" min="6" max="6" width="18.57"/>
    <col customWidth="1" min="7" max="7" width="78.43"/>
    <col customWidth="1" min="8" max="8" width="53.86"/>
    <col customWidth="1" min="9" max="9" width="22.57"/>
    <col customWidth="1" min="10" max="10" width="9.86"/>
    <col customWidth="1" min="11" max="11" width="17.57"/>
    <col customWidth="1" min="12" max="12" width="14.14"/>
    <col customWidth="1" min="13" max="13" width="13.71"/>
    <col customWidth="1" min="14" max="14" width="11.71"/>
    <col customWidth="1" min="15" max="15" width="14.43"/>
    <col customWidth="1" min="16" max="16" width="18.29"/>
    <col customWidth="1" min="17" max="17" width="9.57"/>
    <col customWidth="1" min="18" max="18" width="14.71"/>
    <col customWidth="1" min="19" max="19" width="9.57"/>
    <col customWidth="1" min="20" max="20" width="11.71"/>
    <col customWidth="1" min="21" max="21" width="9.57"/>
    <col customWidth="1" min="22" max="22" width="20.0"/>
    <col customWidth="1" min="23" max="23" width="13.43"/>
    <col customWidth="1" min="24" max="24" width="15.0"/>
    <col customWidth="1" min="25" max="25" width="17.29"/>
    <col customWidth="1" min="26" max="26" width="30.29"/>
    <col customWidth="1" min="27" max="27" width="25.29"/>
    <col customWidth="1" min="28" max="28" width="8.14"/>
  </cols>
  <sheetData>
    <row r="1">
      <c r="A1" s="4" t="s">
        <v>125</v>
      </c>
      <c r="B1" s="4" t="s">
        <v>16</v>
      </c>
      <c r="C1" s="4" t="s">
        <v>18</v>
      </c>
      <c r="D1" s="4" t="s">
        <v>126</v>
      </c>
      <c r="E1" s="4" t="s">
        <v>127</v>
      </c>
      <c r="F1" s="4" t="s">
        <v>128</v>
      </c>
      <c r="G1" s="4" t="s">
        <v>129</v>
      </c>
      <c r="H1" s="4" t="s">
        <v>15</v>
      </c>
      <c r="I1" s="4" t="s">
        <v>17</v>
      </c>
      <c r="J1" s="4" t="s">
        <v>19</v>
      </c>
      <c r="K1" s="4" t="s">
        <v>130</v>
      </c>
      <c r="L1" s="4" t="s">
        <v>22</v>
      </c>
      <c r="M1" s="4" t="s">
        <v>23</v>
      </c>
      <c r="N1" s="4" t="s">
        <v>24</v>
      </c>
      <c r="O1" s="4" t="s">
        <v>25</v>
      </c>
      <c r="P1" s="4" t="s">
        <v>26</v>
      </c>
      <c r="Q1" s="4" t="s">
        <v>27</v>
      </c>
      <c r="R1" s="4" t="s">
        <v>28</v>
      </c>
      <c r="S1" s="4" t="s">
        <v>29</v>
      </c>
      <c r="T1" s="4" t="s">
        <v>30</v>
      </c>
      <c r="U1" s="4" t="s">
        <v>31</v>
      </c>
      <c r="V1" s="4" t="s">
        <v>32</v>
      </c>
      <c r="W1" s="4" t="s">
        <v>33</v>
      </c>
      <c r="X1" s="4" t="s">
        <v>34</v>
      </c>
      <c r="Y1" s="4" t="s">
        <v>35</v>
      </c>
      <c r="Z1" s="4" t="s">
        <v>36</v>
      </c>
      <c r="AA1" s="4" t="s">
        <v>37</v>
      </c>
      <c r="AB1" s="4" t="s">
        <v>38</v>
      </c>
    </row>
    <row r="2">
      <c r="A2" s="8">
        <v>46097.0</v>
      </c>
      <c r="B2" s="9" t="s">
        <v>131</v>
      </c>
      <c r="C2" s="5">
        <v>56.96</v>
      </c>
      <c r="D2" s="9" t="s">
        <v>132</v>
      </c>
      <c r="E2" s="3" t="s">
        <v>133</v>
      </c>
      <c r="F2" s="9" t="s">
        <v>134</v>
      </c>
      <c r="G2" s="3" t="s">
        <v>135</v>
      </c>
      <c r="H2" s="3" t="s">
        <v>136</v>
      </c>
      <c r="I2" s="3" t="s">
        <v>51</v>
      </c>
      <c r="J2" s="5">
        <v>56.96</v>
      </c>
      <c r="K2" s="9">
        <f t="shared" ref="K2:K45" si="1">(J2/C2-1)*100</f>
        <v>0</v>
      </c>
      <c r="L2" s="5">
        <v>74.15</v>
      </c>
      <c r="M2" s="5">
        <v>56.51</v>
      </c>
      <c r="N2" s="3" t="s">
        <v>137</v>
      </c>
      <c r="O2" s="6">
        <v>0.0</v>
      </c>
      <c r="P2" s="3" t="s">
        <v>138</v>
      </c>
      <c r="Q2" s="3" t="s">
        <v>63</v>
      </c>
      <c r="R2" s="6">
        <v>0.068</v>
      </c>
      <c r="S2" s="3" t="s">
        <v>139</v>
      </c>
      <c r="T2" s="1"/>
      <c r="U2" s="3" t="s">
        <v>140</v>
      </c>
      <c r="V2" s="6">
        <v>1.265</v>
      </c>
      <c r="W2" s="6">
        <v>0.01</v>
      </c>
      <c r="X2" s="3" t="s">
        <v>141</v>
      </c>
      <c r="Y2" s="6">
        <v>0.033</v>
      </c>
      <c r="Z2" s="6">
        <v>0.011</v>
      </c>
      <c r="AA2" s="6">
        <v>-0.154</v>
      </c>
      <c r="AB2" s="6">
        <v>0.074</v>
      </c>
    </row>
    <row r="3">
      <c r="A3" s="8">
        <v>46097.0</v>
      </c>
      <c r="B3" s="9" t="s">
        <v>142</v>
      </c>
      <c r="C3" s="5">
        <v>28.28</v>
      </c>
      <c r="D3" s="9" t="s">
        <v>132</v>
      </c>
      <c r="E3" s="3" t="s">
        <v>143</v>
      </c>
      <c r="F3" s="9" t="s">
        <v>134</v>
      </c>
      <c r="G3" s="3" t="s">
        <v>135</v>
      </c>
      <c r="H3" s="3" t="s">
        <v>144</v>
      </c>
      <c r="I3" s="3" t="s">
        <v>51</v>
      </c>
      <c r="J3" s="5">
        <v>28.28</v>
      </c>
      <c r="K3" s="9">
        <f t="shared" si="1"/>
        <v>0</v>
      </c>
      <c r="L3" s="5">
        <v>51.05</v>
      </c>
      <c r="M3" s="5">
        <v>24.41</v>
      </c>
      <c r="N3" s="3" t="s">
        <v>145</v>
      </c>
      <c r="O3" s="6">
        <v>0.0</v>
      </c>
      <c r="P3" s="3" t="s">
        <v>146</v>
      </c>
      <c r="Q3" s="3" t="s">
        <v>147</v>
      </c>
      <c r="R3" s="6">
        <v>0.0</v>
      </c>
      <c r="S3" s="3" t="s">
        <v>148</v>
      </c>
      <c r="T3" s="3" t="s">
        <v>149</v>
      </c>
      <c r="U3" s="3" t="s">
        <v>150</v>
      </c>
      <c r="V3" s="6">
        <v>0.809</v>
      </c>
      <c r="W3" s="6">
        <v>0.018</v>
      </c>
      <c r="X3" s="3" t="s">
        <v>151</v>
      </c>
      <c r="Y3" s="6">
        <v>0.047</v>
      </c>
      <c r="Z3" s="6">
        <v>0.024</v>
      </c>
      <c r="AA3" s="6">
        <v>-0.016</v>
      </c>
      <c r="AB3" s="6">
        <v>0.046</v>
      </c>
    </row>
    <row r="4">
      <c r="A4" s="8">
        <v>46097.0</v>
      </c>
      <c r="B4" s="9" t="s">
        <v>152</v>
      </c>
      <c r="C4" s="5">
        <v>18.36</v>
      </c>
      <c r="D4" s="9" t="s">
        <v>132</v>
      </c>
      <c r="E4" s="3" t="s">
        <v>143</v>
      </c>
      <c r="F4" s="9" t="s">
        <v>134</v>
      </c>
      <c r="G4" s="3" t="s">
        <v>135</v>
      </c>
      <c r="H4" s="3" t="s">
        <v>153</v>
      </c>
      <c r="I4" s="3" t="s">
        <v>51</v>
      </c>
      <c r="J4" s="5">
        <v>18.36</v>
      </c>
      <c r="K4" s="9">
        <f t="shared" si="1"/>
        <v>0</v>
      </c>
      <c r="L4" s="5">
        <v>22.56</v>
      </c>
      <c r="M4" s="5">
        <v>12.07</v>
      </c>
      <c r="N4" s="3" t="s">
        <v>154</v>
      </c>
      <c r="O4" s="6">
        <v>1.0</v>
      </c>
      <c r="P4" s="3" t="s">
        <v>155</v>
      </c>
      <c r="Q4" s="3" t="s">
        <v>156</v>
      </c>
      <c r="R4" s="6">
        <v>0.015</v>
      </c>
      <c r="S4" s="3" t="s">
        <v>45</v>
      </c>
      <c r="T4" s="3" t="s">
        <v>157</v>
      </c>
      <c r="U4" s="3" t="s">
        <v>158</v>
      </c>
      <c r="V4" s="6">
        <v>0.305</v>
      </c>
      <c r="W4" s="6">
        <v>0.017</v>
      </c>
      <c r="X4" s="3" t="s">
        <v>159</v>
      </c>
      <c r="Y4" s="6">
        <v>0.0</v>
      </c>
      <c r="Z4" s="6">
        <v>-0.067</v>
      </c>
      <c r="AA4" s="6">
        <v>-0.839</v>
      </c>
      <c r="AB4" s="6">
        <v>0.001</v>
      </c>
    </row>
    <row r="5">
      <c r="A5" s="8">
        <v>46097.0</v>
      </c>
      <c r="B5" s="9" t="s">
        <v>160</v>
      </c>
      <c r="C5" s="5">
        <v>7.38</v>
      </c>
      <c r="D5" s="9" t="s">
        <v>132</v>
      </c>
      <c r="E5" s="3" t="s">
        <v>133</v>
      </c>
      <c r="F5" s="9" t="s">
        <v>134</v>
      </c>
      <c r="G5" s="3" t="s">
        <v>135</v>
      </c>
      <c r="H5" s="3" t="s">
        <v>161</v>
      </c>
      <c r="I5" s="3" t="s">
        <v>70</v>
      </c>
      <c r="J5" s="5">
        <v>7.38</v>
      </c>
      <c r="K5" s="9">
        <f t="shared" si="1"/>
        <v>0</v>
      </c>
      <c r="L5" s="5">
        <v>9.44</v>
      </c>
      <c r="M5" s="5">
        <v>5.2</v>
      </c>
      <c r="N5" s="3" t="s">
        <v>162</v>
      </c>
      <c r="O5" s="6">
        <v>1.0</v>
      </c>
      <c r="P5" s="3" t="s">
        <v>163</v>
      </c>
      <c r="Q5" s="3" t="s">
        <v>164</v>
      </c>
      <c r="R5" s="6">
        <v>0.041</v>
      </c>
      <c r="S5" s="3" t="s">
        <v>55</v>
      </c>
      <c r="T5" s="3" t="s">
        <v>165</v>
      </c>
      <c r="U5" s="3" t="s">
        <v>166</v>
      </c>
      <c r="V5" s="6">
        <v>2.139</v>
      </c>
      <c r="W5" s="1"/>
      <c r="X5" s="3" t="s">
        <v>167</v>
      </c>
      <c r="Y5" s="6">
        <v>0.076</v>
      </c>
      <c r="Z5" s="6">
        <v>0.218</v>
      </c>
      <c r="AA5" s="6">
        <v>-0.059</v>
      </c>
      <c r="AB5" s="6">
        <v>0.05</v>
      </c>
    </row>
    <row r="6">
      <c r="A6" s="8">
        <v>46097.0</v>
      </c>
      <c r="B6" s="9" t="s">
        <v>168</v>
      </c>
      <c r="C6" s="5">
        <v>7.51</v>
      </c>
      <c r="D6" s="9" t="s">
        <v>132</v>
      </c>
      <c r="E6" s="3" t="s">
        <v>143</v>
      </c>
      <c r="F6" s="9" t="s">
        <v>134</v>
      </c>
      <c r="G6" s="3" t="s">
        <v>135</v>
      </c>
      <c r="H6" s="3" t="s">
        <v>169</v>
      </c>
      <c r="I6" s="3" t="s">
        <v>60</v>
      </c>
      <c r="J6" s="5">
        <v>7.51</v>
      </c>
      <c r="K6" s="9">
        <f t="shared" si="1"/>
        <v>0</v>
      </c>
      <c r="L6" s="5">
        <v>8.53</v>
      </c>
      <c r="M6" s="5">
        <v>4.84</v>
      </c>
      <c r="N6" s="3" t="s">
        <v>170</v>
      </c>
      <c r="O6" s="6">
        <v>1.0</v>
      </c>
      <c r="P6" s="3" t="s">
        <v>171</v>
      </c>
      <c r="Q6" s="3" t="s">
        <v>172</v>
      </c>
      <c r="R6" s="6">
        <v>0.036</v>
      </c>
      <c r="S6" s="3" t="s">
        <v>45</v>
      </c>
      <c r="T6" s="3" t="s">
        <v>173</v>
      </c>
      <c r="U6" s="3" t="s">
        <v>174</v>
      </c>
      <c r="V6" s="6">
        <v>0.686</v>
      </c>
      <c r="W6" s="6">
        <v>0.009</v>
      </c>
      <c r="X6" s="3" t="s">
        <v>175</v>
      </c>
      <c r="Y6" s="6">
        <v>0.014</v>
      </c>
      <c r="Z6" s="6">
        <v>-0.014</v>
      </c>
      <c r="AA6" s="6">
        <v>-0.003</v>
      </c>
      <c r="AB6" s="6">
        <v>0.066</v>
      </c>
    </row>
    <row r="7">
      <c r="A7" s="8">
        <v>46090.0</v>
      </c>
      <c r="B7" s="9" t="s">
        <v>176</v>
      </c>
      <c r="C7" s="5">
        <v>3.13</v>
      </c>
      <c r="D7" s="9" t="s">
        <v>132</v>
      </c>
      <c r="E7" s="3" t="s">
        <v>133</v>
      </c>
      <c r="F7" s="9" t="s">
        <v>134</v>
      </c>
      <c r="G7" s="3" t="s">
        <v>135</v>
      </c>
      <c r="H7" s="3" t="s">
        <v>177</v>
      </c>
      <c r="I7" s="3" t="s">
        <v>118</v>
      </c>
      <c r="J7" s="5">
        <v>3.13</v>
      </c>
      <c r="K7" s="9">
        <f t="shared" si="1"/>
        <v>0</v>
      </c>
      <c r="L7" s="5">
        <v>3.54</v>
      </c>
      <c r="M7" s="5">
        <v>2.68</v>
      </c>
      <c r="N7" s="3" t="s">
        <v>101</v>
      </c>
      <c r="O7" s="6">
        <v>0.0</v>
      </c>
      <c r="P7" s="3" t="s">
        <v>178</v>
      </c>
      <c r="Q7" s="3" t="s">
        <v>46</v>
      </c>
      <c r="R7" s="6">
        <v>0.053</v>
      </c>
      <c r="S7" s="3" t="s">
        <v>179</v>
      </c>
      <c r="T7" s="1"/>
      <c r="U7" s="3" t="s">
        <v>180</v>
      </c>
      <c r="V7" s="6">
        <v>0.546</v>
      </c>
      <c r="W7" s="6">
        <v>0.002</v>
      </c>
      <c r="X7" s="3" t="s">
        <v>181</v>
      </c>
      <c r="Y7" s="6">
        <v>0.57</v>
      </c>
      <c r="Z7" s="6">
        <v>0.047</v>
      </c>
      <c r="AA7" s="6">
        <v>-0.295</v>
      </c>
      <c r="AB7" s="6">
        <v>0.054</v>
      </c>
    </row>
    <row r="8">
      <c r="A8" s="8">
        <v>46090.0</v>
      </c>
      <c r="B8" s="9" t="s">
        <v>182</v>
      </c>
      <c r="C8" s="5">
        <v>44.1</v>
      </c>
      <c r="D8" s="9" t="s">
        <v>183</v>
      </c>
      <c r="E8" s="3" t="s">
        <v>133</v>
      </c>
      <c r="F8" s="3" t="s">
        <v>184</v>
      </c>
      <c r="G8" s="3" t="s">
        <v>185</v>
      </c>
      <c r="H8" s="3" t="s">
        <v>39</v>
      </c>
      <c r="I8" s="3" t="s">
        <v>41</v>
      </c>
      <c r="J8" s="5">
        <v>42.23</v>
      </c>
      <c r="K8" s="9">
        <f t="shared" si="1"/>
        <v>-4.240362812</v>
      </c>
      <c r="L8" s="5">
        <v>44.3</v>
      </c>
      <c r="M8" s="5">
        <v>30.1</v>
      </c>
      <c r="N8" s="3" t="s">
        <v>42</v>
      </c>
      <c r="O8" s="6">
        <v>1.0</v>
      </c>
      <c r="P8" s="3" t="s">
        <v>43</v>
      </c>
      <c r="Q8" s="3" t="s">
        <v>44</v>
      </c>
      <c r="R8" s="6">
        <v>0.019</v>
      </c>
      <c r="S8" s="3" t="s">
        <v>45</v>
      </c>
      <c r="T8" s="3" t="s">
        <v>46</v>
      </c>
      <c r="U8" s="3" t="s">
        <v>47</v>
      </c>
      <c r="V8" s="6">
        <v>2.413</v>
      </c>
      <c r="W8" s="6">
        <v>0.009</v>
      </c>
      <c r="X8" s="3" t="s">
        <v>48</v>
      </c>
      <c r="Y8" s="6">
        <v>0.003</v>
      </c>
      <c r="Z8" s="6">
        <v>0.105</v>
      </c>
      <c r="AA8" s="6">
        <v>-0.7</v>
      </c>
      <c r="AB8" s="6">
        <v>0.001</v>
      </c>
    </row>
    <row r="9">
      <c r="A9" s="8">
        <v>46069.0</v>
      </c>
      <c r="B9" s="9" t="s">
        <v>186</v>
      </c>
      <c r="C9" s="5">
        <v>169.74</v>
      </c>
      <c r="D9" s="3" t="s">
        <v>183</v>
      </c>
      <c r="E9" s="3" t="s">
        <v>133</v>
      </c>
      <c r="F9" s="3" t="s">
        <v>184</v>
      </c>
      <c r="G9" s="3" t="s">
        <v>185</v>
      </c>
      <c r="H9" s="3" t="s">
        <v>49</v>
      </c>
      <c r="I9" s="3" t="s">
        <v>51</v>
      </c>
      <c r="J9" s="5">
        <v>157.89</v>
      </c>
      <c r="K9" s="9">
        <f t="shared" si="1"/>
        <v>-6.981265465</v>
      </c>
      <c r="L9" s="5">
        <v>166.93</v>
      </c>
      <c r="M9" s="5">
        <v>96.66</v>
      </c>
      <c r="N9" s="3" t="s">
        <v>52</v>
      </c>
      <c r="O9" s="6">
        <v>1.0</v>
      </c>
      <c r="P9" s="3" t="s">
        <v>53</v>
      </c>
      <c r="Q9" s="3" t="s">
        <v>54</v>
      </c>
      <c r="R9" s="6">
        <v>0.037</v>
      </c>
      <c r="S9" s="3" t="s">
        <v>55</v>
      </c>
      <c r="T9" s="1"/>
      <c r="U9" s="3" t="s">
        <v>56</v>
      </c>
      <c r="V9" s="6">
        <v>0.406</v>
      </c>
      <c r="W9" s="6">
        <v>0.015</v>
      </c>
      <c r="X9" s="3" t="s">
        <v>57</v>
      </c>
      <c r="Y9" s="6">
        <v>0.19</v>
      </c>
      <c r="Z9" s="6">
        <v>-0.055</v>
      </c>
      <c r="AA9" s="6">
        <v>-0.183</v>
      </c>
      <c r="AB9" s="6">
        <v>0.181</v>
      </c>
    </row>
    <row r="10">
      <c r="A10" s="8">
        <v>46069.0</v>
      </c>
      <c r="B10" s="9" t="s">
        <v>187</v>
      </c>
      <c r="C10" s="5">
        <v>5.08</v>
      </c>
      <c r="D10" s="3" t="s">
        <v>183</v>
      </c>
      <c r="E10" s="3" t="s">
        <v>133</v>
      </c>
      <c r="F10" s="3" t="s">
        <v>184</v>
      </c>
      <c r="G10" s="3" t="s">
        <v>185</v>
      </c>
      <c r="H10" s="3" t="s">
        <v>58</v>
      </c>
      <c r="I10" s="3" t="s">
        <v>60</v>
      </c>
      <c r="J10" s="5">
        <v>4.93</v>
      </c>
      <c r="K10" s="9">
        <f t="shared" si="1"/>
        <v>-2.952755906</v>
      </c>
      <c r="L10" s="5">
        <v>5.51</v>
      </c>
      <c r="M10" s="5">
        <v>3.4</v>
      </c>
      <c r="N10" s="3" t="s">
        <v>61</v>
      </c>
      <c r="O10" s="6">
        <v>0.0</v>
      </c>
      <c r="P10" s="3" t="s">
        <v>62</v>
      </c>
      <c r="Q10" s="3" t="s">
        <v>63</v>
      </c>
      <c r="R10" s="6">
        <v>0.05</v>
      </c>
      <c r="S10" s="3" t="s">
        <v>64</v>
      </c>
      <c r="T10" s="3" t="s">
        <v>65</v>
      </c>
      <c r="U10" s="3" t="s">
        <v>66</v>
      </c>
      <c r="V10" s="6">
        <v>1.802</v>
      </c>
      <c r="W10" s="6">
        <v>0.011</v>
      </c>
      <c r="X10" s="3" t="s">
        <v>67</v>
      </c>
      <c r="Y10" s="6">
        <v>0.111</v>
      </c>
      <c r="Z10" s="6">
        <v>0.149</v>
      </c>
      <c r="AA10" s="6">
        <v>-0.14</v>
      </c>
      <c r="AB10" s="6">
        <v>0.082</v>
      </c>
    </row>
    <row r="11">
      <c r="A11" s="8">
        <v>46069.0</v>
      </c>
      <c r="B11" s="9" t="s">
        <v>188</v>
      </c>
      <c r="C11" s="5">
        <v>40.89</v>
      </c>
      <c r="D11" s="3" t="s">
        <v>183</v>
      </c>
      <c r="E11" s="3" t="s">
        <v>133</v>
      </c>
      <c r="F11" s="3" t="s">
        <v>184</v>
      </c>
      <c r="G11" s="3" t="s">
        <v>185</v>
      </c>
      <c r="H11" s="3" t="s">
        <v>68</v>
      </c>
      <c r="I11" s="3" t="s">
        <v>70</v>
      </c>
      <c r="J11" s="5">
        <v>37.2</v>
      </c>
      <c r="K11" s="9">
        <f t="shared" si="1"/>
        <v>-9.024211299</v>
      </c>
      <c r="L11" s="5">
        <v>41.0</v>
      </c>
      <c r="M11" s="5">
        <v>24.93</v>
      </c>
      <c r="N11" s="3" t="s">
        <v>71</v>
      </c>
      <c r="O11" s="6">
        <v>0.7</v>
      </c>
      <c r="P11" s="3" t="s">
        <v>72</v>
      </c>
      <c r="Q11" s="3" t="s">
        <v>73</v>
      </c>
      <c r="R11" s="6">
        <v>0.045</v>
      </c>
      <c r="S11" s="3" t="s">
        <v>74</v>
      </c>
      <c r="T11" s="3" t="s">
        <v>75</v>
      </c>
      <c r="U11" s="3" t="s">
        <v>76</v>
      </c>
      <c r="V11" s="6">
        <v>3.179</v>
      </c>
      <c r="W11" s="1"/>
      <c r="X11" s="3" t="s">
        <v>77</v>
      </c>
      <c r="Y11" s="6">
        <v>0.251</v>
      </c>
      <c r="Z11" s="6">
        <v>0.394</v>
      </c>
      <c r="AA11" s="6">
        <v>-0.056</v>
      </c>
      <c r="AB11" s="6">
        <v>0.084</v>
      </c>
    </row>
    <row r="12">
      <c r="A12" s="8">
        <v>46069.0</v>
      </c>
      <c r="B12" s="9" t="s">
        <v>131</v>
      </c>
      <c r="C12" s="5">
        <v>70.06</v>
      </c>
      <c r="D12" s="3" t="s">
        <v>183</v>
      </c>
      <c r="E12" s="3" t="s">
        <v>133</v>
      </c>
      <c r="F12" s="3" t="s">
        <v>184</v>
      </c>
      <c r="G12" s="3" t="s">
        <v>185</v>
      </c>
      <c r="H12" s="3" t="s">
        <v>136</v>
      </c>
      <c r="I12" s="3" t="s">
        <v>51</v>
      </c>
      <c r="J12" s="5">
        <v>56.96</v>
      </c>
      <c r="K12" s="9">
        <f t="shared" si="1"/>
        <v>-18.69825864</v>
      </c>
      <c r="L12" s="5">
        <v>74.15</v>
      </c>
      <c r="M12" s="5">
        <v>56.51</v>
      </c>
      <c r="N12" s="3" t="s">
        <v>137</v>
      </c>
      <c r="O12" s="6">
        <v>0.0</v>
      </c>
      <c r="P12" s="3" t="s">
        <v>138</v>
      </c>
      <c r="Q12" s="3" t="s">
        <v>63</v>
      </c>
      <c r="R12" s="6">
        <v>0.068</v>
      </c>
      <c r="S12" s="3" t="s">
        <v>139</v>
      </c>
      <c r="T12" s="1"/>
      <c r="U12" s="3" t="s">
        <v>140</v>
      </c>
      <c r="V12" s="6">
        <v>1.265</v>
      </c>
      <c r="W12" s="6">
        <v>0.01</v>
      </c>
      <c r="X12" s="3" t="s">
        <v>141</v>
      </c>
      <c r="Y12" s="6">
        <v>0.033</v>
      </c>
      <c r="Z12" s="6">
        <v>0.011</v>
      </c>
      <c r="AA12" s="6">
        <v>-0.154</v>
      </c>
      <c r="AB12" s="6">
        <v>0.074</v>
      </c>
    </row>
    <row r="13">
      <c r="A13" s="8">
        <v>46069.0</v>
      </c>
      <c r="B13" s="9" t="s">
        <v>142</v>
      </c>
      <c r="C13" s="5">
        <v>36.54</v>
      </c>
      <c r="D13" s="3" t="s">
        <v>183</v>
      </c>
      <c r="E13" s="3" t="s">
        <v>133</v>
      </c>
      <c r="F13" s="3" t="s">
        <v>184</v>
      </c>
      <c r="G13" s="3" t="s">
        <v>185</v>
      </c>
      <c r="H13" s="3" t="s">
        <v>144</v>
      </c>
      <c r="I13" s="3" t="s">
        <v>51</v>
      </c>
      <c r="J13" s="5">
        <v>28.28</v>
      </c>
      <c r="K13" s="9">
        <f t="shared" si="1"/>
        <v>-22.60536398</v>
      </c>
      <c r="L13" s="5">
        <v>51.05</v>
      </c>
      <c r="M13" s="5">
        <v>24.41</v>
      </c>
      <c r="N13" s="3" t="s">
        <v>145</v>
      </c>
      <c r="O13" s="6">
        <v>0.0</v>
      </c>
      <c r="P13" s="3" t="s">
        <v>146</v>
      </c>
      <c r="Q13" s="3" t="s">
        <v>147</v>
      </c>
      <c r="R13" s="6">
        <v>0.0</v>
      </c>
      <c r="S13" s="3" t="s">
        <v>148</v>
      </c>
      <c r="T13" s="3" t="s">
        <v>149</v>
      </c>
      <c r="U13" s="3" t="s">
        <v>150</v>
      </c>
      <c r="V13" s="6">
        <v>0.809</v>
      </c>
      <c r="W13" s="6">
        <v>0.018</v>
      </c>
      <c r="X13" s="3" t="s">
        <v>151</v>
      </c>
      <c r="Y13" s="6">
        <v>0.047</v>
      </c>
      <c r="Z13" s="6">
        <v>0.024</v>
      </c>
      <c r="AA13" s="6">
        <v>-0.016</v>
      </c>
      <c r="AB13" s="6">
        <v>0.046</v>
      </c>
    </row>
    <row r="14">
      <c r="A14" s="8">
        <v>46069.0</v>
      </c>
      <c r="B14" s="9" t="s">
        <v>189</v>
      </c>
      <c r="C14" s="5">
        <v>10.42</v>
      </c>
      <c r="D14" s="3" t="s">
        <v>183</v>
      </c>
      <c r="E14" s="3" t="s">
        <v>133</v>
      </c>
      <c r="F14" s="3" t="s">
        <v>184</v>
      </c>
      <c r="G14" s="3" t="s">
        <v>185</v>
      </c>
      <c r="H14" s="3" t="s">
        <v>78</v>
      </c>
      <c r="I14" s="3" t="s">
        <v>80</v>
      </c>
      <c r="J14" s="5">
        <v>8.93</v>
      </c>
      <c r="K14" s="9">
        <f t="shared" si="1"/>
        <v>-14.29942418</v>
      </c>
      <c r="L14" s="5">
        <v>10.65</v>
      </c>
      <c r="M14" s="5">
        <v>7.84</v>
      </c>
      <c r="N14" s="3" t="s">
        <v>81</v>
      </c>
      <c r="O14" s="6">
        <v>1.0</v>
      </c>
      <c r="P14" s="3" t="s">
        <v>82</v>
      </c>
      <c r="Q14" s="1"/>
      <c r="R14" s="6">
        <v>0.055</v>
      </c>
      <c r="S14" s="3" t="s">
        <v>83</v>
      </c>
      <c r="T14" s="1"/>
      <c r="U14" s="3" t="s">
        <v>84</v>
      </c>
      <c r="V14" s="6">
        <v>0.681</v>
      </c>
      <c r="W14" s="6">
        <v>0.009</v>
      </c>
      <c r="X14" s="3" t="s">
        <v>85</v>
      </c>
      <c r="Y14" s="6">
        <v>-0.007</v>
      </c>
      <c r="Z14" s="6">
        <v>0.029</v>
      </c>
      <c r="AA14" s="1"/>
      <c r="AB14" s="6">
        <v>-0.019</v>
      </c>
    </row>
    <row r="15">
      <c r="A15" s="8">
        <v>46069.0</v>
      </c>
      <c r="B15" s="9" t="s">
        <v>190</v>
      </c>
      <c r="C15" s="5">
        <v>46.01</v>
      </c>
      <c r="D15" s="3" t="s">
        <v>183</v>
      </c>
      <c r="E15" s="3" t="s">
        <v>133</v>
      </c>
      <c r="F15" s="3" t="s">
        <v>184</v>
      </c>
      <c r="G15" s="3" t="s">
        <v>185</v>
      </c>
      <c r="H15" s="3" t="s">
        <v>86</v>
      </c>
      <c r="I15" s="3" t="s">
        <v>70</v>
      </c>
      <c r="J15" s="5">
        <v>47.11</v>
      </c>
      <c r="K15" s="9">
        <f t="shared" si="1"/>
        <v>2.390784612</v>
      </c>
      <c r="L15" s="5">
        <v>49.45</v>
      </c>
      <c r="M15" s="5">
        <v>29.81</v>
      </c>
      <c r="N15" s="3" t="s">
        <v>88</v>
      </c>
      <c r="O15" s="6">
        <v>1.0</v>
      </c>
      <c r="P15" s="3" t="s">
        <v>89</v>
      </c>
      <c r="Q15" s="3" t="s">
        <v>90</v>
      </c>
      <c r="R15" s="6">
        <v>0.036</v>
      </c>
      <c r="S15" s="3" t="s">
        <v>91</v>
      </c>
      <c r="T15" s="3" t="s">
        <v>92</v>
      </c>
      <c r="U15" s="3" t="s">
        <v>93</v>
      </c>
      <c r="V15" s="6">
        <v>3.02</v>
      </c>
      <c r="W15" s="1"/>
      <c r="X15" s="3" t="s">
        <v>94</v>
      </c>
      <c r="Y15" s="6">
        <v>0.324</v>
      </c>
      <c r="Z15" s="6">
        <v>0.364</v>
      </c>
      <c r="AA15" s="6">
        <v>0.016</v>
      </c>
      <c r="AB15" s="6">
        <v>0.109</v>
      </c>
    </row>
    <row r="16">
      <c r="A16" s="8">
        <v>46062.0</v>
      </c>
      <c r="B16" s="3" t="s">
        <v>191</v>
      </c>
      <c r="C16" s="5">
        <v>1.67</v>
      </c>
      <c r="D16" s="9" t="s">
        <v>132</v>
      </c>
      <c r="E16" s="3" t="s">
        <v>143</v>
      </c>
      <c r="F16" s="9" t="s">
        <v>134</v>
      </c>
      <c r="G16" s="3" t="s">
        <v>135</v>
      </c>
      <c r="H16" s="3" t="s">
        <v>192</v>
      </c>
      <c r="I16" s="3" t="s">
        <v>51</v>
      </c>
      <c r="J16" s="5">
        <v>1.67</v>
      </c>
      <c r="K16" s="9">
        <f t="shared" si="1"/>
        <v>0</v>
      </c>
      <c r="L16" s="5">
        <v>2.26</v>
      </c>
      <c r="M16" s="5">
        <v>0.42</v>
      </c>
      <c r="N16" s="3" t="s">
        <v>193</v>
      </c>
      <c r="O16" s="1"/>
      <c r="P16" s="3" t="s">
        <v>194</v>
      </c>
      <c r="Q16" s="1"/>
      <c r="R16" s="6">
        <v>0.0</v>
      </c>
      <c r="S16" s="3" t="s">
        <v>195</v>
      </c>
      <c r="T16" s="1"/>
      <c r="U16" s="3" t="s">
        <v>196</v>
      </c>
      <c r="V16" s="6">
        <v>1.432</v>
      </c>
      <c r="W16" s="6">
        <v>0.004</v>
      </c>
      <c r="X16" s="3" t="s">
        <v>197</v>
      </c>
      <c r="Y16" s="6">
        <v>-0.65</v>
      </c>
      <c r="Z16" s="1"/>
      <c r="AA16" s="1"/>
      <c r="AB16" s="6">
        <v>-0.286</v>
      </c>
    </row>
    <row r="17">
      <c r="A17" s="8">
        <v>46062.0</v>
      </c>
      <c r="B17" s="3" t="s">
        <v>198</v>
      </c>
      <c r="C17" s="5">
        <v>11.87</v>
      </c>
      <c r="D17" s="9" t="s">
        <v>132</v>
      </c>
      <c r="E17" s="3" t="s">
        <v>143</v>
      </c>
      <c r="F17" s="9" t="s">
        <v>134</v>
      </c>
      <c r="G17" s="3" t="s">
        <v>135</v>
      </c>
      <c r="H17" s="3" t="s">
        <v>199</v>
      </c>
      <c r="I17" s="3" t="s">
        <v>51</v>
      </c>
      <c r="J17" s="5">
        <v>11.87</v>
      </c>
      <c r="K17" s="9">
        <f t="shared" si="1"/>
        <v>0</v>
      </c>
      <c r="L17" s="5">
        <v>4.91</v>
      </c>
      <c r="M17" s="5">
        <v>14.43</v>
      </c>
      <c r="N17" s="3" t="s">
        <v>200</v>
      </c>
      <c r="O17" s="1"/>
      <c r="P17" s="3" t="s">
        <v>201</v>
      </c>
      <c r="Q17" s="3" t="s">
        <v>202</v>
      </c>
      <c r="R17" s="6">
        <v>0.0</v>
      </c>
      <c r="S17" s="3" t="s">
        <v>203</v>
      </c>
      <c r="T17" s="3" t="s">
        <v>204</v>
      </c>
      <c r="U17" s="3" t="s">
        <v>205</v>
      </c>
      <c r="V17" s="6">
        <v>0.024</v>
      </c>
      <c r="W17" s="6">
        <v>0.026</v>
      </c>
      <c r="X17" s="3" t="s">
        <v>206</v>
      </c>
      <c r="Y17" s="6">
        <v>0.352</v>
      </c>
      <c r="Z17" s="1"/>
      <c r="AA17" s="1"/>
      <c r="AB17" s="1"/>
    </row>
    <row r="18">
      <c r="A18" s="8">
        <v>46062.0</v>
      </c>
      <c r="B18" s="3" t="s">
        <v>207</v>
      </c>
      <c r="C18" s="5">
        <v>51.81</v>
      </c>
      <c r="D18" s="9" t="s">
        <v>132</v>
      </c>
      <c r="E18" s="3" t="s">
        <v>143</v>
      </c>
      <c r="F18" s="9" t="s">
        <v>134</v>
      </c>
      <c r="G18" s="3" t="s">
        <v>135</v>
      </c>
      <c r="H18" s="3" t="s">
        <v>208</v>
      </c>
      <c r="I18" s="3" t="s">
        <v>51</v>
      </c>
      <c r="J18" s="5">
        <v>51.81</v>
      </c>
      <c r="K18" s="9">
        <f t="shared" si="1"/>
        <v>0</v>
      </c>
      <c r="L18" s="5">
        <v>65.79</v>
      </c>
      <c r="M18" s="5">
        <v>14.05</v>
      </c>
      <c r="N18" s="3" t="s">
        <v>209</v>
      </c>
      <c r="O18" s="6">
        <v>1.0</v>
      </c>
      <c r="P18" s="3" t="s">
        <v>210</v>
      </c>
      <c r="Q18" s="1"/>
      <c r="R18" s="6">
        <v>0.0</v>
      </c>
      <c r="S18" s="3" t="s">
        <v>211</v>
      </c>
      <c r="T18" s="1"/>
      <c r="U18" s="3" t="s">
        <v>212</v>
      </c>
      <c r="V18" s="6">
        <v>1.786</v>
      </c>
      <c r="W18" s="6">
        <v>0.011</v>
      </c>
      <c r="X18" s="3" t="s">
        <v>213</v>
      </c>
      <c r="Y18" s="6">
        <v>-0.2</v>
      </c>
      <c r="Z18" s="6">
        <v>0.094</v>
      </c>
      <c r="AA18" s="1"/>
      <c r="AB18" s="6">
        <v>-0.267</v>
      </c>
    </row>
    <row r="19">
      <c r="A19" s="8">
        <v>46062.0</v>
      </c>
      <c r="B19" s="3" t="s">
        <v>214</v>
      </c>
      <c r="C19" s="5">
        <v>3.2</v>
      </c>
      <c r="D19" s="9" t="s">
        <v>132</v>
      </c>
      <c r="E19" s="3" t="s">
        <v>143</v>
      </c>
      <c r="F19" s="9" t="s">
        <v>134</v>
      </c>
      <c r="G19" s="3" t="s">
        <v>135</v>
      </c>
      <c r="H19" s="3" t="s">
        <v>215</v>
      </c>
      <c r="I19" s="3" t="s">
        <v>51</v>
      </c>
      <c r="J19" s="5">
        <v>3.2</v>
      </c>
      <c r="K19" s="9">
        <f t="shared" si="1"/>
        <v>0</v>
      </c>
      <c r="L19" s="5">
        <v>3.97</v>
      </c>
      <c r="M19" s="5">
        <v>1.4</v>
      </c>
      <c r="N19" s="3" t="s">
        <v>216</v>
      </c>
      <c r="O19" s="1"/>
      <c r="P19" s="3" t="s">
        <v>217</v>
      </c>
      <c r="Q19" s="3" t="s">
        <v>218</v>
      </c>
      <c r="R19" s="6">
        <v>0.0</v>
      </c>
      <c r="S19" s="3" t="s">
        <v>219</v>
      </c>
      <c r="T19" s="1"/>
      <c r="U19" s="3" t="s">
        <v>220</v>
      </c>
      <c r="V19" s="6">
        <v>0.298</v>
      </c>
      <c r="W19" s="6">
        <v>0.018</v>
      </c>
      <c r="X19" s="3" t="s">
        <v>221</v>
      </c>
      <c r="Y19" s="6">
        <v>0.427</v>
      </c>
      <c r="Z19" s="6">
        <v>0.008</v>
      </c>
      <c r="AA19" s="6">
        <v>-0.002</v>
      </c>
      <c r="AB19" s="6">
        <v>0.274</v>
      </c>
    </row>
    <row r="20">
      <c r="A20" s="8">
        <v>46062.0</v>
      </c>
      <c r="B20" s="3" t="s">
        <v>222</v>
      </c>
      <c r="C20" s="5">
        <v>6.37</v>
      </c>
      <c r="D20" s="9" t="s">
        <v>132</v>
      </c>
      <c r="E20" s="3" t="s">
        <v>143</v>
      </c>
      <c r="F20" s="9" t="s">
        <v>134</v>
      </c>
      <c r="G20" s="3" t="s">
        <v>135</v>
      </c>
      <c r="H20" s="3" t="s">
        <v>223</v>
      </c>
      <c r="I20" s="3" t="s">
        <v>51</v>
      </c>
      <c r="J20" s="5">
        <v>6.37</v>
      </c>
      <c r="K20" s="9">
        <f t="shared" si="1"/>
        <v>0</v>
      </c>
      <c r="L20" s="5">
        <v>8.11</v>
      </c>
      <c r="M20" s="5">
        <v>3.24</v>
      </c>
      <c r="N20" s="3" t="s">
        <v>224</v>
      </c>
      <c r="O20" s="1"/>
      <c r="P20" s="3" t="s">
        <v>225</v>
      </c>
      <c r="Q20" s="3" t="s">
        <v>226</v>
      </c>
      <c r="R20" s="6">
        <v>0.0</v>
      </c>
      <c r="S20" s="3" t="s">
        <v>227</v>
      </c>
      <c r="T20" s="3" t="s">
        <v>228</v>
      </c>
      <c r="U20" s="3" t="s">
        <v>229</v>
      </c>
      <c r="V20" s="6">
        <v>0.033</v>
      </c>
      <c r="W20" s="6">
        <v>0.036</v>
      </c>
      <c r="X20" s="3" t="s">
        <v>230</v>
      </c>
      <c r="Y20" s="6">
        <v>0.2</v>
      </c>
      <c r="Z20" s="6">
        <v>0.285</v>
      </c>
      <c r="AA20" s="6">
        <v>0.164</v>
      </c>
      <c r="AB20" s="6">
        <v>0.144</v>
      </c>
    </row>
    <row r="21" ht="15.75" customHeight="1">
      <c r="A21" s="8">
        <v>46062.0</v>
      </c>
      <c r="B21" s="3" t="s">
        <v>231</v>
      </c>
      <c r="C21" s="5">
        <v>4.58</v>
      </c>
      <c r="D21" s="9" t="s">
        <v>132</v>
      </c>
      <c r="E21" s="3" t="s">
        <v>133</v>
      </c>
      <c r="F21" s="9" t="s">
        <v>134</v>
      </c>
      <c r="G21" s="3" t="s">
        <v>135</v>
      </c>
      <c r="H21" s="3" t="s">
        <v>232</v>
      </c>
      <c r="I21" s="3" t="s">
        <v>60</v>
      </c>
      <c r="J21" s="5">
        <v>4.58</v>
      </c>
      <c r="K21" s="9">
        <f t="shared" si="1"/>
        <v>0</v>
      </c>
      <c r="L21" s="5">
        <v>5.33</v>
      </c>
      <c r="M21" s="5">
        <v>4.35</v>
      </c>
      <c r="N21" s="3" t="s">
        <v>233</v>
      </c>
      <c r="O21" s="6">
        <v>0.0</v>
      </c>
      <c r="P21" s="3" t="s">
        <v>234</v>
      </c>
      <c r="Q21" s="3" t="s">
        <v>235</v>
      </c>
      <c r="R21" s="6">
        <v>0.087</v>
      </c>
      <c r="S21" s="3" t="s">
        <v>236</v>
      </c>
      <c r="T21" s="1"/>
      <c r="U21" s="3" t="s">
        <v>237</v>
      </c>
      <c r="V21" s="6">
        <v>0.278</v>
      </c>
      <c r="W21" s="6">
        <v>0.024</v>
      </c>
      <c r="X21" s="3" t="s">
        <v>238</v>
      </c>
      <c r="Y21" s="6">
        <v>1.524</v>
      </c>
      <c r="Z21" s="6">
        <v>0.132</v>
      </c>
      <c r="AA21" s="6">
        <v>0.06</v>
      </c>
      <c r="AB21" s="6">
        <v>0.038</v>
      </c>
    </row>
    <row r="22" ht="15.75" customHeight="1">
      <c r="A22" s="8">
        <v>46062.0</v>
      </c>
      <c r="B22" s="3" t="s">
        <v>239</v>
      </c>
      <c r="C22" s="5">
        <v>5.16</v>
      </c>
      <c r="D22" s="9" t="s">
        <v>132</v>
      </c>
      <c r="E22" s="3" t="s">
        <v>143</v>
      </c>
      <c r="F22" s="9" t="s">
        <v>134</v>
      </c>
      <c r="G22" s="3" t="s">
        <v>135</v>
      </c>
      <c r="H22" s="3" t="s">
        <v>240</v>
      </c>
      <c r="I22" s="3" t="s">
        <v>60</v>
      </c>
      <c r="J22" s="5">
        <v>5.16</v>
      </c>
      <c r="K22" s="9">
        <f t="shared" si="1"/>
        <v>0</v>
      </c>
      <c r="L22" s="5">
        <v>6.41</v>
      </c>
      <c r="M22" s="5">
        <v>3.58</v>
      </c>
      <c r="N22" s="3" t="s">
        <v>193</v>
      </c>
      <c r="O22" s="6">
        <v>0.9</v>
      </c>
      <c r="P22" s="3" t="s">
        <v>241</v>
      </c>
      <c r="Q22" s="3" t="s">
        <v>242</v>
      </c>
      <c r="R22" s="6">
        <v>0.041</v>
      </c>
      <c r="S22" s="3" t="s">
        <v>243</v>
      </c>
      <c r="T22" s="3" t="s">
        <v>244</v>
      </c>
      <c r="U22" s="3" t="s">
        <v>245</v>
      </c>
      <c r="V22" s="6">
        <v>1.525</v>
      </c>
      <c r="W22" s="6">
        <v>0.01</v>
      </c>
      <c r="X22" s="3" t="s">
        <v>246</v>
      </c>
      <c r="Y22" s="6">
        <v>0.042</v>
      </c>
      <c r="Z22" s="6">
        <v>0.103</v>
      </c>
      <c r="AA22" s="1"/>
      <c r="AB22" s="6">
        <v>0.429</v>
      </c>
    </row>
    <row r="23" ht="15.75" customHeight="1">
      <c r="A23" s="8">
        <v>46041.0</v>
      </c>
      <c r="B23" s="9" t="s">
        <v>191</v>
      </c>
      <c r="C23" s="5">
        <v>2.15</v>
      </c>
      <c r="D23" s="3" t="s">
        <v>183</v>
      </c>
      <c r="E23" s="3" t="s">
        <v>133</v>
      </c>
      <c r="F23" s="3" t="s">
        <v>184</v>
      </c>
      <c r="G23" s="3" t="s">
        <v>185</v>
      </c>
      <c r="H23" s="3" t="s">
        <v>192</v>
      </c>
      <c r="I23" s="3" t="s">
        <v>51</v>
      </c>
      <c r="J23" s="5">
        <v>1.67</v>
      </c>
      <c r="K23" s="9">
        <f t="shared" si="1"/>
        <v>-22.3255814</v>
      </c>
      <c r="L23" s="5">
        <v>2.26</v>
      </c>
      <c r="M23" s="5">
        <v>0.42</v>
      </c>
      <c r="N23" s="3" t="s">
        <v>193</v>
      </c>
      <c r="O23" s="1"/>
      <c r="P23" s="3" t="s">
        <v>194</v>
      </c>
      <c r="Q23" s="1"/>
      <c r="R23" s="6">
        <v>0.0</v>
      </c>
      <c r="S23" s="3" t="s">
        <v>195</v>
      </c>
      <c r="T23" s="1"/>
      <c r="U23" s="3" t="s">
        <v>196</v>
      </c>
      <c r="V23" s="6">
        <v>1.432</v>
      </c>
      <c r="W23" s="6">
        <v>0.004</v>
      </c>
      <c r="X23" s="3" t="s">
        <v>197</v>
      </c>
      <c r="Y23" s="6">
        <v>-0.65</v>
      </c>
      <c r="Z23" s="1"/>
      <c r="AA23" s="1"/>
      <c r="AB23" s="6">
        <v>-0.286</v>
      </c>
    </row>
    <row r="24" ht="15.75" customHeight="1">
      <c r="A24" s="8">
        <v>46041.0</v>
      </c>
      <c r="B24" s="9" t="s">
        <v>247</v>
      </c>
      <c r="C24" s="5">
        <v>95.28</v>
      </c>
      <c r="D24" s="3" t="s">
        <v>183</v>
      </c>
      <c r="E24" s="3" t="s">
        <v>133</v>
      </c>
      <c r="F24" s="3" t="s">
        <v>184</v>
      </c>
      <c r="G24" s="3" t="s">
        <v>185</v>
      </c>
      <c r="H24" s="3" t="s">
        <v>95</v>
      </c>
      <c r="I24" s="3" t="s">
        <v>51</v>
      </c>
      <c r="J24" s="5">
        <v>93.7</v>
      </c>
      <c r="K24" s="9">
        <f t="shared" si="1"/>
        <v>-1.658270361</v>
      </c>
      <c r="L24" s="5">
        <v>98.21</v>
      </c>
      <c r="M24" s="5">
        <v>35.92</v>
      </c>
      <c r="N24" s="1"/>
      <c r="O24" s="6">
        <v>0.0</v>
      </c>
      <c r="P24" s="3" t="s">
        <v>97</v>
      </c>
      <c r="Q24" s="1"/>
      <c r="R24" s="6">
        <v>0.005</v>
      </c>
      <c r="S24" s="1"/>
      <c r="T24" s="1"/>
      <c r="U24" s="1"/>
      <c r="V24" s="1"/>
      <c r="W24" s="1"/>
      <c r="X24" s="1"/>
      <c r="Y24" s="1"/>
      <c r="Z24" s="1"/>
      <c r="AA24" s="1"/>
      <c r="AB24" s="1"/>
    </row>
    <row r="25" ht="15.75" customHeight="1">
      <c r="A25" s="8">
        <v>46041.0</v>
      </c>
      <c r="B25" s="9" t="s">
        <v>248</v>
      </c>
      <c r="C25" s="5">
        <v>23.97</v>
      </c>
      <c r="D25" s="3" t="s">
        <v>183</v>
      </c>
      <c r="E25" s="3" t="s">
        <v>133</v>
      </c>
      <c r="F25" s="3" t="s">
        <v>184</v>
      </c>
      <c r="G25" s="3" t="s">
        <v>185</v>
      </c>
      <c r="H25" s="3" t="s">
        <v>98</v>
      </c>
      <c r="I25" s="3" t="s">
        <v>100</v>
      </c>
      <c r="J25" s="5">
        <v>18.6</v>
      </c>
      <c r="K25" s="9">
        <f t="shared" si="1"/>
        <v>-22.40300375</v>
      </c>
      <c r="L25" s="5">
        <v>26.94</v>
      </c>
      <c r="M25" s="5">
        <v>12.94</v>
      </c>
      <c r="N25" s="3" t="s">
        <v>101</v>
      </c>
      <c r="O25" s="6">
        <v>0.0</v>
      </c>
      <c r="P25" s="3" t="s">
        <v>102</v>
      </c>
      <c r="Q25" s="1"/>
      <c r="R25" s="6">
        <v>0.025</v>
      </c>
      <c r="S25" s="3" t="s">
        <v>103</v>
      </c>
      <c r="T25" s="3" t="s">
        <v>104</v>
      </c>
      <c r="U25" s="3" t="s">
        <v>105</v>
      </c>
      <c r="V25" s="6">
        <v>2.236</v>
      </c>
      <c r="W25" s="6">
        <v>0.01</v>
      </c>
      <c r="X25" s="3" t="s">
        <v>106</v>
      </c>
      <c r="Y25" s="6">
        <v>-0.002</v>
      </c>
      <c r="Z25" s="6">
        <v>0.005</v>
      </c>
      <c r="AA25" s="1"/>
      <c r="AB25" s="6">
        <v>-0.006</v>
      </c>
    </row>
    <row r="26" ht="15.75" customHeight="1">
      <c r="A26" s="8">
        <v>46041.0</v>
      </c>
      <c r="B26" s="9" t="s">
        <v>198</v>
      </c>
      <c r="C26" s="5">
        <v>12.72</v>
      </c>
      <c r="D26" s="3" t="s">
        <v>183</v>
      </c>
      <c r="E26" s="3" t="s">
        <v>133</v>
      </c>
      <c r="F26" s="3" t="s">
        <v>184</v>
      </c>
      <c r="G26" s="3" t="s">
        <v>185</v>
      </c>
      <c r="H26" s="3" t="s">
        <v>199</v>
      </c>
      <c r="I26" s="3" t="s">
        <v>51</v>
      </c>
      <c r="J26" s="5">
        <v>11.87</v>
      </c>
      <c r="K26" s="9">
        <f t="shared" si="1"/>
        <v>-6.682389937</v>
      </c>
      <c r="L26" s="5">
        <v>4.91</v>
      </c>
      <c r="M26" s="5">
        <v>14.43</v>
      </c>
      <c r="N26" s="3" t="s">
        <v>200</v>
      </c>
      <c r="O26" s="1"/>
      <c r="P26" s="3" t="s">
        <v>201</v>
      </c>
      <c r="Q26" s="3" t="s">
        <v>202</v>
      </c>
      <c r="R26" s="6">
        <v>0.0</v>
      </c>
      <c r="S26" s="3" t="s">
        <v>203</v>
      </c>
      <c r="T26" s="3" t="s">
        <v>204</v>
      </c>
      <c r="U26" s="3" t="s">
        <v>205</v>
      </c>
      <c r="V26" s="6">
        <v>0.024</v>
      </c>
      <c r="W26" s="6">
        <v>0.026</v>
      </c>
      <c r="X26" s="3" t="s">
        <v>206</v>
      </c>
      <c r="Y26" s="6">
        <v>0.352</v>
      </c>
      <c r="Z26" s="1"/>
      <c r="AA26" s="1"/>
      <c r="AB26" s="1"/>
    </row>
    <row r="27" ht="15.75" customHeight="1">
      <c r="A27" s="8">
        <v>46041.0</v>
      </c>
      <c r="B27" s="9" t="s">
        <v>207</v>
      </c>
      <c r="C27" s="5">
        <v>59.78</v>
      </c>
      <c r="D27" s="3" t="s">
        <v>183</v>
      </c>
      <c r="E27" s="3" t="s">
        <v>133</v>
      </c>
      <c r="F27" s="3" t="s">
        <v>184</v>
      </c>
      <c r="G27" s="3" t="s">
        <v>185</v>
      </c>
      <c r="H27" s="3" t="s">
        <v>208</v>
      </c>
      <c r="I27" s="3" t="s">
        <v>51</v>
      </c>
      <c r="J27" s="5">
        <v>51.81</v>
      </c>
      <c r="K27" s="9">
        <f t="shared" si="1"/>
        <v>-13.33221813</v>
      </c>
      <c r="L27" s="5">
        <v>65.79</v>
      </c>
      <c r="M27" s="5">
        <v>14.05</v>
      </c>
      <c r="N27" s="3" t="s">
        <v>209</v>
      </c>
      <c r="O27" s="6">
        <v>1.0</v>
      </c>
      <c r="P27" s="3" t="s">
        <v>210</v>
      </c>
      <c r="Q27" s="1"/>
      <c r="R27" s="6">
        <v>0.0</v>
      </c>
      <c r="S27" s="3" t="s">
        <v>211</v>
      </c>
      <c r="T27" s="1"/>
      <c r="U27" s="3" t="s">
        <v>212</v>
      </c>
      <c r="V27" s="6">
        <v>1.786</v>
      </c>
      <c r="W27" s="6">
        <v>0.011</v>
      </c>
      <c r="X27" s="3" t="s">
        <v>213</v>
      </c>
      <c r="Y27" s="6">
        <v>-0.2</v>
      </c>
      <c r="Z27" s="6">
        <v>0.094</v>
      </c>
      <c r="AA27" s="1"/>
      <c r="AB27" s="6">
        <v>-0.267</v>
      </c>
    </row>
    <row r="28" ht="15.75" customHeight="1">
      <c r="A28" s="8">
        <v>46041.0</v>
      </c>
      <c r="B28" s="9" t="s">
        <v>214</v>
      </c>
      <c r="C28" s="5">
        <v>3.42</v>
      </c>
      <c r="D28" s="3" t="s">
        <v>183</v>
      </c>
      <c r="E28" s="3" t="s">
        <v>133</v>
      </c>
      <c r="F28" s="3" t="s">
        <v>184</v>
      </c>
      <c r="G28" s="3" t="s">
        <v>185</v>
      </c>
      <c r="H28" s="3" t="s">
        <v>215</v>
      </c>
      <c r="I28" s="3" t="s">
        <v>51</v>
      </c>
      <c r="J28" s="5">
        <v>3.2</v>
      </c>
      <c r="K28" s="9">
        <f t="shared" si="1"/>
        <v>-6.432748538</v>
      </c>
      <c r="L28" s="5">
        <v>3.97</v>
      </c>
      <c r="M28" s="5">
        <v>1.4</v>
      </c>
      <c r="N28" s="3" t="s">
        <v>216</v>
      </c>
      <c r="O28" s="1"/>
      <c r="P28" s="3" t="s">
        <v>217</v>
      </c>
      <c r="Q28" s="3" t="s">
        <v>218</v>
      </c>
      <c r="R28" s="6">
        <v>0.0</v>
      </c>
      <c r="S28" s="3" t="s">
        <v>219</v>
      </c>
      <c r="T28" s="1"/>
      <c r="U28" s="3" t="s">
        <v>220</v>
      </c>
      <c r="V28" s="6">
        <v>0.298</v>
      </c>
      <c r="W28" s="6">
        <v>0.018</v>
      </c>
      <c r="X28" s="3" t="s">
        <v>221</v>
      </c>
      <c r="Y28" s="6">
        <v>0.427</v>
      </c>
      <c r="Z28" s="6">
        <v>0.008</v>
      </c>
      <c r="AA28" s="6">
        <v>-0.002</v>
      </c>
      <c r="AB28" s="6">
        <v>0.274</v>
      </c>
    </row>
    <row r="29" ht="15.75" customHeight="1">
      <c r="A29" s="8">
        <v>46041.0</v>
      </c>
      <c r="B29" s="9" t="s">
        <v>222</v>
      </c>
      <c r="C29" s="5">
        <v>6.84</v>
      </c>
      <c r="D29" s="3" t="s">
        <v>183</v>
      </c>
      <c r="E29" s="3" t="s">
        <v>133</v>
      </c>
      <c r="F29" s="3" t="s">
        <v>184</v>
      </c>
      <c r="G29" s="3" t="s">
        <v>185</v>
      </c>
      <c r="H29" s="3" t="s">
        <v>223</v>
      </c>
      <c r="I29" s="3" t="s">
        <v>51</v>
      </c>
      <c r="J29" s="5">
        <v>6.37</v>
      </c>
      <c r="K29" s="9">
        <f t="shared" si="1"/>
        <v>-6.871345029</v>
      </c>
      <c r="L29" s="5">
        <v>8.11</v>
      </c>
      <c r="M29" s="5">
        <v>3.24</v>
      </c>
      <c r="N29" s="3" t="s">
        <v>224</v>
      </c>
      <c r="O29" s="1"/>
      <c r="P29" s="3" t="s">
        <v>225</v>
      </c>
      <c r="Q29" s="3" t="s">
        <v>226</v>
      </c>
      <c r="R29" s="6">
        <v>0.0</v>
      </c>
      <c r="S29" s="3" t="s">
        <v>227</v>
      </c>
      <c r="T29" s="3" t="s">
        <v>228</v>
      </c>
      <c r="U29" s="3" t="s">
        <v>229</v>
      </c>
      <c r="V29" s="6">
        <v>0.033</v>
      </c>
      <c r="W29" s="6">
        <v>0.036</v>
      </c>
      <c r="X29" s="3" t="s">
        <v>230</v>
      </c>
      <c r="Y29" s="6">
        <v>0.2</v>
      </c>
      <c r="Z29" s="6">
        <v>0.285</v>
      </c>
      <c r="AA29" s="6">
        <v>0.164</v>
      </c>
      <c r="AB29" s="6">
        <v>0.144</v>
      </c>
    </row>
    <row r="30" ht="15.75" customHeight="1">
      <c r="A30" s="8">
        <v>46041.0</v>
      </c>
      <c r="B30" s="9" t="s">
        <v>152</v>
      </c>
      <c r="C30" s="5">
        <v>20.07</v>
      </c>
      <c r="D30" s="3" t="s">
        <v>183</v>
      </c>
      <c r="E30" s="3" t="s">
        <v>133</v>
      </c>
      <c r="F30" s="3" t="s">
        <v>184</v>
      </c>
      <c r="G30" s="3" t="s">
        <v>185</v>
      </c>
      <c r="H30" s="3" t="s">
        <v>153</v>
      </c>
      <c r="I30" s="3" t="s">
        <v>51</v>
      </c>
      <c r="J30" s="5">
        <v>18.36</v>
      </c>
      <c r="K30" s="9">
        <f t="shared" si="1"/>
        <v>-8.520179372</v>
      </c>
      <c r="L30" s="5">
        <v>22.56</v>
      </c>
      <c r="M30" s="5">
        <v>12.07</v>
      </c>
      <c r="N30" s="3" t="s">
        <v>154</v>
      </c>
      <c r="O30" s="6">
        <v>1.0</v>
      </c>
      <c r="P30" s="3" t="s">
        <v>155</v>
      </c>
      <c r="Q30" s="3" t="s">
        <v>156</v>
      </c>
      <c r="R30" s="6">
        <v>0.015</v>
      </c>
      <c r="S30" s="3" t="s">
        <v>45</v>
      </c>
      <c r="T30" s="3" t="s">
        <v>157</v>
      </c>
      <c r="U30" s="3" t="s">
        <v>158</v>
      </c>
      <c r="V30" s="6">
        <v>0.305</v>
      </c>
      <c r="W30" s="6">
        <v>0.017</v>
      </c>
      <c r="X30" s="3" t="s">
        <v>159</v>
      </c>
      <c r="Y30" s="6">
        <v>0.0</v>
      </c>
      <c r="Z30" s="6">
        <v>-0.067</v>
      </c>
      <c r="AA30" s="6">
        <v>-0.839</v>
      </c>
      <c r="AB30" s="6">
        <v>0.001</v>
      </c>
    </row>
    <row r="31" ht="15.75" customHeight="1">
      <c r="A31" s="8">
        <v>46041.0</v>
      </c>
      <c r="B31" s="9" t="s">
        <v>249</v>
      </c>
      <c r="C31" s="5">
        <v>4.16</v>
      </c>
      <c r="D31" s="3" t="s">
        <v>183</v>
      </c>
      <c r="E31" s="3" t="s">
        <v>133</v>
      </c>
      <c r="F31" s="3" t="s">
        <v>184</v>
      </c>
      <c r="G31" s="3" t="s">
        <v>185</v>
      </c>
      <c r="H31" s="3" t="s">
        <v>107</v>
      </c>
      <c r="I31" s="3" t="s">
        <v>51</v>
      </c>
      <c r="J31" s="5">
        <v>4.41</v>
      </c>
      <c r="K31" s="9">
        <f t="shared" si="1"/>
        <v>6.009615385</v>
      </c>
      <c r="L31" s="5">
        <v>4.85</v>
      </c>
      <c r="M31" s="5">
        <v>2.4</v>
      </c>
      <c r="N31" s="3" t="s">
        <v>109</v>
      </c>
      <c r="O31" s="6">
        <v>1.0</v>
      </c>
      <c r="P31" s="3" t="s">
        <v>110</v>
      </c>
      <c r="Q31" s="3" t="s">
        <v>111</v>
      </c>
      <c r="R31" s="6">
        <v>0.021</v>
      </c>
      <c r="S31" s="3" t="s">
        <v>112</v>
      </c>
      <c r="T31" s="3" t="s">
        <v>113</v>
      </c>
      <c r="U31" s="3" t="s">
        <v>114</v>
      </c>
      <c r="V31" s="6">
        <v>0.185</v>
      </c>
      <c r="W31" s="6">
        <v>0.024</v>
      </c>
      <c r="X31" s="3" t="s">
        <v>115</v>
      </c>
      <c r="Y31" s="6">
        <v>0.054</v>
      </c>
      <c r="Z31" s="6">
        <v>-0.146</v>
      </c>
      <c r="AA31" s="6">
        <v>-0.502</v>
      </c>
      <c r="AB31" s="6">
        <v>0.036</v>
      </c>
    </row>
    <row r="32" ht="15.75" customHeight="1">
      <c r="A32" s="8">
        <v>46020.0</v>
      </c>
      <c r="B32" s="9" t="s">
        <v>250</v>
      </c>
      <c r="C32" s="9">
        <v>12.96</v>
      </c>
      <c r="D32" s="9" t="s">
        <v>132</v>
      </c>
      <c r="E32" s="3" t="s">
        <v>143</v>
      </c>
      <c r="F32" s="9" t="s">
        <v>134</v>
      </c>
      <c r="G32" s="3" t="s">
        <v>135</v>
      </c>
      <c r="H32" s="3" t="s">
        <v>251</v>
      </c>
      <c r="I32" s="3" t="s">
        <v>252</v>
      </c>
      <c r="J32" s="5">
        <v>12.96</v>
      </c>
      <c r="K32" s="9">
        <f t="shared" si="1"/>
        <v>0</v>
      </c>
      <c r="L32" s="5">
        <v>17.7</v>
      </c>
      <c r="M32" s="5">
        <v>10.65</v>
      </c>
      <c r="N32" s="3" t="s">
        <v>101</v>
      </c>
      <c r="O32" s="6">
        <v>1.0</v>
      </c>
      <c r="P32" s="3" t="s">
        <v>253</v>
      </c>
      <c r="Q32" s="3" t="s">
        <v>254</v>
      </c>
      <c r="R32" s="6">
        <v>0.029</v>
      </c>
      <c r="S32" s="3" t="s">
        <v>255</v>
      </c>
      <c r="T32" s="3" t="s">
        <v>256</v>
      </c>
      <c r="U32" s="3" t="s">
        <v>257</v>
      </c>
      <c r="V32" s="6">
        <v>1.384</v>
      </c>
      <c r="W32" s="6">
        <v>0.003</v>
      </c>
      <c r="X32" s="3" t="s">
        <v>258</v>
      </c>
      <c r="Y32" s="6">
        <v>0.027</v>
      </c>
      <c r="Z32" s="6">
        <v>0.128</v>
      </c>
      <c r="AA32" s="6">
        <v>-0.148</v>
      </c>
      <c r="AB32" s="6">
        <v>0.035</v>
      </c>
    </row>
    <row r="33" ht="15.75" customHeight="1">
      <c r="A33" s="8">
        <v>46006.0</v>
      </c>
      <c r="B33" s="9" t="s">
        <v>259</v>
      </c>
      <c r="C33" s="5">
        <v>35.62</v>
      </c>
      <c r="D33" s="9" t="s">
        <v>132</v>
      </c>
      <c r="E33" s="3" t="s">
        <v>133</v>
      </c>
      <c r="F33" s="9" t="s">
        <v>134</v>
      </c>
      <c r="G33" s="3" t="s">
        <v>135</v>
      </c>
      <c r="H33" s="3" t="s">
        <v>260</v>
      </c>
      <c r="I33" s="3" t="s">
        <v>70</v>
      </c>
      <c r="J33" s="5">
        <v>35.62</v>
      </c>
      <c r="K33" s="9">
        <f t="shared" si="1"/>
        <v>0</v>
      </c>
      <c r="L33" s="5">
        <v>45.14</v>
      </c>
      <c r="M33" s="5">
        <v>30.88</v>
      </c>
      <c r="N33" s="3" t="s">
        <v>261</v>
      </c>
      <c r="O33" s="6">
        <v>1.0</v>
      </c>
      <c r="P33" s="3" t="s">
        <v>262</v>
      </c>
      <c r="Q33" s="3" t="s">
        <v>263</v>
      </c>
      <c r="R33" s="6">
        <v>0.029</v>
      </c>
      <c r="S33" s="3" t="s">
        <v>264</v>
      </c>
      <c r="T33" s="1"/>
      <c r="U33" s="3" t="s">
        <v>265</v>
      </c>
      <c r="V33" s="6">
        <v>0.107</v>
      </c>
      <c r="W33" s="6">
        <v>0.013</v>
      </c>
      <c r="X33" s="3" t="s">
        <v>266</v>
      </c>
      <c r="Y33" s="6">
        <v>0.591</v>
      </c>
      <c r="Z33" s="6">
        <v>-0.395</v>
      </c>
      <c r="AA33" s="1"/>
      <c r="AB33" s="6">
        <v>0.04</v>
      </c>
    </row>
    <row r="34" ht="15.75" customHeight="1">
      <c r="A34" s="8">
        <v>45999.0</v>
      </c>
      <c r="B34" s="9" t="s">
        <v>267</v>
      </c>
      <c r="C34" s="9">
        <v>2.03</v>
      </c>
      <c r="D34" s="9" t="s">
        <v>132</v>
      </c>
      <c r="E34" s="3" t="s">
        <v>133</v>
      </c>
      <c r="F34" s="9" t="s">
        <v>134</v>
      </c>
      <c r="G34" s="3" t="s">
        <v>135</v>
      </c>
      <c r="H34" s="3" t="s">
        <v>268</v>
      </c>
      <c r="I34" s="3" t="s">
        <v>118</v>
      </c>
      <c r="J34" s="5">
        <v>2.03</v>
      </c>
      <c r="K34" s="9">
        <f t="shared" si="1"/>
        <v>0</v>
      </c>
      <c r="L34" s="5">
        <v>2.46</v>
      </c>
      <c r="M34" s="5">
        <v>1.775</v>
      </c>
      <c r="N34" s="3" t="s">
        <v>269</v>
      </c>
      <c r="O34" s="6">
        <v>0.0</v>
      </c>
      <c r="P34" s="3" t="s">
        <v>270</v>
      </c>
      <c r="Q34" s="3" t="s">
        <v>271</v>
      </c>
      <c r="R34" s="6">
        <v>0.044</v>
      </c>
      <c r="S34" s="3" t="s">
        <v>64</v>
      </c>
      <c r="T34" s="3" t="s">
        <v>272</v>
      </c>
      <c r="U34" s="3" t="s">
        <v>273</v>
      </c>
      <c r="V34" s="6">
        <v>0.502</v>
      </c>
      <c r="W34" s="6">
        <v>0.01</v>
      </c>
      <c r="X34" s="3" t="s">
        <v>274</v>
      </c>
      <c r="Y34" s="6">
        <v>0.028</v>
      </c>
      <c r="Z34" s="6">
        <v>0.023</v>
      </c>
      <c r="AA34" s="6">
        <v>-0.578</v>
      </c>
      <c r="AB34" s="6">
        <v>0.007</v>
      </c>
    </row>
    <row r="35" ht="15.75" customHeight="1">
      <c r="A35" s="8">
        <v>45999.0</v>
      </c>
      <c r="B35" s="9" t="s">
        <v>275</v>
      </c>
      <c r="C35" s="9">
        <v>4.5</v>
      </c>
      <c r="D35" s="9" t="s">
        <v>132</v>
      </c>
      <c r="E35" s="3" t="s">
        <v>133</v>
      </c>
      <c r="F35" s="9" t="s">
        <v>134</v>
      </c>
      <c r="G35" s="3" t="s">
        <v>135</v>
      </c>
      <c r="H35" s="3" t="s">
        <v>276</v>
      </c>
      <c r="I35" s="3" t="s">
        <v>70</v>
      </c>
      <c r="J35" s="5">
        <v>4.5</v>
      </c>
      <c r="K35" s="9">
        <f t="shared" si="1"/>
        <v>0</v>
      </c>
      <c r="L35" s="5">
        <v>5.2</v>
      </c>
      <c r="M35" s="5">
        <v>3.57</v>
      </c>
      <c r="N35" s="3" t="s">
        <v>277</v>
      </c>
      <c r="O35" s="6">
        <v>1.0</v>
      </c>
      <c r="P35" s="3" t="s">
        <v>278</v>
      </c>
      <c r="Q35" s="3" t="s">
        <v>279</v>
      </c>
      <c r="R35" s="6">
        <v>0.04</v>
      </c>
      <c r="S35" s="3" t="s">
        <v>280</v>
      </c>
      <c r="T35" s="1"/>
      <c r="U35" s="3" t="s">
        <v>281</v>
      </c>
      <c r="V35" s="6">
        <v>0.089</v>
      </c>
      <c r="W35" s="1"/>
      <c r="X35" s="3" t="s">
        <v>282</v>
      </c>
      <c r="Y35" s="6">
        <v>0.062</v>
      </c>
      <c r="Z35" s="6">
        <v>0.047</v>
      </c>
      <c r="AA35" s="6">
        <v>0.083</v>
      </c>
      <c r="AB35" s="6">
        <v>0.216</v>
      </c>
    </row>
    <row r="36" ht="15.75" customHeight="1">
      <c r="A36" s="8">
        <v>45978.0</v>
      </c>
      <c r="B36" s="9" t="s">
        <v>283</v>
      </c>
      <c r="C36" s="9">
        <v>157.3</v>
      </c>
      <c r="D36" s="9" t="s">
        <v>132</v>
      </c>
      <c r="E36" s="3" t="s">
        <v>143</v>
      </c>
      <c r="F36" s="9" t="s">
        <v>134</v>
      </c>
      <c r="G36" s="3" t="s">
        <v>135</v>
      </c>
      <c r="H36" s="3" t="s">
        <v>284</v>
      </c>
      <c r="I36" s="3" t="s">
        <v>70</v>
      </c>
      <c r="J36" s="5">
        <v>157.3</v>
      </c>
      <c r="K36" s="9">
        <f t="shared" si="1"/>
        <v>0</v>
      </c>
      <c r="L36" s="5">
        <v>189.08</v>
      </c>
      <c r="M36" s="5">
        <v>138.08</v>
      </c>
      <c r="N36" s="3" t="s">
        <v>285</v>
      </c>
      <c r="O36" s="6">
        <v>1.0</v>
      </c>
      <c r="P36" s="3" t="s">
        <v>286</v>
      </c>
      <c r="Q36" s="3" t="s">
        <v>287</v>
      </c>
      <c r="R36" s="6">
        <v>0.031</v>
      </c>
      <c r="S36" s="3" t="s">
        <v>288</v>
      </c>
      <c r="T36" s="1"/>
      <c r="U36" s="3" t="s">
        <v>289</v>
      </c>
      <c r="V36" s="6">
        <v>2.758</v>
      </c>
      <c r="W36" s="1"/>
      <c r="X36" s="3" t="s">
        <v>290</v>
      </c>
      <c r="Y36" s="6">
        <v>0.354</v>
      </c>
      <c r="Z36" s="6">
        <v>0.389</v>
      </c>
      <c r="AA36" s="6">
        <v>0.082</v>
      </c>
      <c r="AB36" s="6">
        <v>0.133</v>
      </c>
    </row>
    <row r="37" ht="15.75" customHeight="1">
      <c r="A37" s="8">
        <v>45978.0</v>
      </c>
      <c r="B37" s="9" t="s">
        <v>291</v>
      </c>
      <c r="C37" s="9">
        <v>37.12</v>
      </c>
      <c r="D37" s="9" t="s">
        <v>132</v>
      </c>
      <c r="E37" s="3" t="s">
        <v>143</v>
      </c>
      <c r="F37" s="9" t="s">
        <v>134</v>
      </c>
      <c r="G37" s="3" t="s">
        <v>135</v>
      </c>
      <c r="H37" s="3" t="s">
        <v>292</v>
      </c>
      <c r="I37" s="3" t="s">
        <v>293</v>
      </c>
      <c r="J37" s="5">
        <v>37.12</v>
      </c>
      <c r="K37" s="9">
        <f t="shared" si="1"/>
        <v>0</v>
      </c>
      <c r="L37" s="5">
        <v>55.87</v>
      </c>
      <c r="M37" s="5">
        <v>14.93</v>
      </c>
      <c r="N37" s="3" t="s">
        <v>294</v>
      </c>
      <c r="O37" s="1"/>
      <c r="P37" s="3" t="s">
        <v>295</v>
      </c>
      <c r="Q37" s="3" t="s">
        <v>296</v>
      </c>
      <c r="R37" s="6">
        <v>0.0</v>
      </c>
      <c r="S37" s="3" t="s">
        <v>297</v>
      </c>
      <c r="T37" s="3" t="s">
        <v>298</v>
      </c>
      <c r="U37" s="3" t="s">
        <v>299</v>
      </c>
      <c r="V37" s="6">
        <v>0.792</v>
      </c>
      <c r="W37" s="6">
        <v>0.068</v>
      </c>
      <c r="X37" s="3" t="s">
        <v>300</v>
      </c>
      <c r="Y37" s="6">
        <v>0.065</v>
      </c>
      <c r="Z37" s="6">
        <v>0.488</v>
      </c>
      <c r="AA37" s="1"/>
      <c r="AB37" s="6">
        <v>0.081</v>
      </c>
    </row>
    <row r="38" ht="15.75" customHeight="1">
      <c r="A38" s="8">
        <v>45971.0</v>
      </c>
      <c r="B38" s="9" t="s">
        <v>301</v>
      </c>
      <c r="C38" s="3">
        <v>3.37</v>
      </c>
      <c r="D38" s="9" t="s">
        <v>132</v>
      </c>
      <c r="E38" s="3" t="s">
        <v>143</v>
      </c>
      <c r="F38" s="9" t="s">
        <v>134</v>
      </c>
      <c r="G38" s="3" t="s">
        <v>135</v>
      </c>
      <c r="H38" s="3" t="s">
        <v>302</v>
      </c>
      <c r="I38" s="3" t="s">
        <v>70</v>
      </c>
      <c r="J38" s="5">
        <v>3.37</v>
      </c>
      <c r="K38" s="9">
        <f t="shared" si="1"/>
        <v>0</v>
      </c>
      <c r="L38" s="5">
        <v>4.93</v>
      </c>
      <c r="M38" s="5">
        <v>1.085</v>
      </c>
      <c r="N38" s="3" t="s">
        <v>303</v>
      </c>
      <c r="O38" s="1"/>
      <c r="P38" s="3" t="s">
        <v>304</v>
      </c>
      <c r="Q38" s="3" t="s">
        <v>305</v>
      </c>
      <c r="R38" s="6">
        <v>0.0</v>
      </c>
      <c r="S38" s="3" t="s">
        <v>306</v>
      </c>
      <c r="T38" s="1"/>
      <c r="U38" s="3" t="s">
        <v>94</v>
      </c>
      <c r="V38" s="6">
        <v>3.416</v>
      </c>
      <c r="W38" s="1"/>
      <c r="X38" s="3" t="s">
        <v>307</v>
      </c>
      <c r="Y38" s="6">
        <v>0.075</v>
      </c>
      <c r="Z38" s="6">
        <v>0.215</v>
      </c>
      <c r="AA38" s="1"/>
      <c r="AB38" s="6">
        <v>0.144</v>
      </c>
    </row>
    <row r="39" ht="15.75" customHeight="1">
      <c r="A39" s="8">
        <v>45971.0</v>
      </c>
      <c r="B39" s="9" t="s">
        <v>308</v>
      </c>
      <c r="C39" s="3">
        <v>5.52</v>
      </c>
      <c r="D39" s="9" t="s">
        <v>132</v>
      </c>
      <c r="E39" s="3" t="s">
        <v>143</v>
      </c>
      <c r="F39" s="9" t="s">
        <v>134</v>
      </c>
      <c r="G39" s="3" t="s">
        <v>135</v>
      </c>
      <c r="H39" s="3" t="s">
        <v>309</v>
      </c>
      <c r="I39" s="3" t="s">
        <v>51</v>
      </c>
      <c r="J39" s="5">
        <v>5.52</v>
      </c>
      <c r="K39" s="9">
        <f t="shared" si="1"/>
        <v>0</v>
      </c>
      <c r="L39" s="5">
        <v>9.2</v>
      </c>
      <c r="M39" s="5">
        <v>2.07</v>
      </c>
      <c r="N39" s="3" t="s">
        <v>310</v>
      </c>
      <c r="O39" s="1"/>
      <c r="P39" s="3" t="s">
        <v>311</v>
      </c>
      <c r="Q39" s="1"/>
      <c r="R39" s="6">
        <v>0.0</v>
      </c>
      <c r="S39" s="1"/>
      <c r="T39" s="1"/>
      <c r="U39" s="3" t="s">
        <v>312</v>
      </c>
      <c r="V39" s="6">
        <v>0.043</v>
      </c>
      <c r="W39" s="6">
        <v>0.07</v>
      </c>
      <c r="X39" s="3" t="s">
        <v>313</v>
      </c>
      <c r="Y39" s="6">
        <v>-5.801</v>
      </c>
      <c r="Z39" s="1"/>
      <c r="AA39" s="1"/>
      <c r="AB39" s="6">
        <v>-0.492</v>
      </c>
    </row>
    <row r="40" ht="15.75" customHeight="1">
      <c r="A40" s="8">
        <v>45971.0</v>
      </c>
      <c r="B40" s="9" t="s">
        <v>314</v>
      </c>
      <c r="C40" s="3">
        <v>5.27</v>
      </c>
      <c r="D40" s="9" t="s">
        <v>132</v>
      </c>
      <c r="E40" s="3" t="s">
        <v>143</v>
      </c>
      <c r="F40" s="9" t="s">
        <v>134</v>
      </c>
      <c r="G40" s="3" t="s">
        <v>135</v>
      </c>
      <c r="H40" s="3" t="s">
        <v>315</v>
      </c>
      <c r="I40" s="3" t="s">
        <v>70</v>
      </c>
      <c r="J40" s="5">
        <v>5.27</v>
      </c>
      <c r="K40" s="9">
        <f t="shared" si="1"/>
        <v>0</v>
      </c>
      <c r="L40" s="5">
        <v>6.66</v>
      </c>
      <c r="M40" s="5">
        <v>5.03</v>
      </c>
      <c r="N40" s="3" t="s">
        <v>316</v>
      </c>
      <c r="O40" s="6">
        <v>1.0</v>
      </c>
      <c r="P40" s="3" t="s">
        <v>317</v>
      </c>
      <c r="Q40" s="3" t="s">
        <v>318</v>
      </c>
      <c r="R40" s="6">
        <v>0.037</v>
      </c>
      <c r="S40" s="3" t="s">
        <v>64</v>
      </c>
      <c r="T40" s="3" t="s">
        <v>319</v>
      </c>
      <c r="U40" s="3" t="s">
        <v>320</v>
      </c>
      <c r="V40" s="6">
        <v>0.68</v>
      </c>
      <c r="W40" s="6">
        <v>0.014</v>
      </c>
      <c r="X40" s="3" t="s">
        <v>321</v>
      </c>
      <c r="Y40" s="6">
        <v>0.213</v>
      </c>
      <c r="Z40" s="6">
        <v>0.173</v>
      </c>
      <c r="AA40" s="6">
        <v>0.193</v>
      </c>
      <c r="AB40" s="6">
        <v>0.142</v>
      </c>
    </row>
    <row r="41" ht="15.75" customHeight="1">
      <c r="A41" s="8">
        <v>45929.0</v>
      </c>
      <c r="B41" s="9" t="s">
        <v>308</v>
      </c>
      <c r="C41" s="9">
        <v>7.7</v>
      </c>
      <c r="D41" s="9" t="s">
        <v>183</v>
      </c>
      <c r="E41" s="3" t="s">
        <v>133</v>
      </c>
      <c r="F41" s="3" t="s">
        <v>184</v>
      </c>
      <c r="G41" s="3" t="s">
        <v>185</v>
      </c>
      <c r="H41" s="3" t="s">
        <v>309</v>
      </c>
      <c r="I41" s="3" t="s">
        <v>51</v>
      </c>
      <c r="J41" s="5">
        <v>6.8</v>
      </c>
      <c r="K41" s="9">
        <f t="shared" si="1"/>
        <v>-11.68831169</v>
      </c>
      <c r="L41" s="5">
        <v>9.2</v>
      </c>
      <c r="M41" s="5">
        <v>2.07</v>
      </c>
      <c r="N41" s="3" t="s">
        <v>322</v>
      </c>
      <c r="O41" s="1"/>
      <c r="P41" s="3" t="s">
        <v>311</v>
      </c>
      <c r="Q41" s="1"/>
      <c r="R41" s="6">
        <v>0.0</v>
      </c>
      <c r="S41" s="1"/>
      <c r="T41" s="1"/>
      <c r="U41" s="3" t="s">
        <v>312</v>
      </c>
      <c r="V41" s="6">
        <v>0.043</v>
      </c>
      <c r="W41" s="6">
        <v>0.07</v>
      </c>
      <c r="X41" s="3" t="s">
        <v>313</v>
      </c>
      <c r="Y41" s="6">
        <v>-5.801</v>
      </c>
      <c r="Z41" s="6">
        <v>3.755</v>
      </c>
      <c r="AA41" s="1"/>
      <c r="AB41" s="6">
        <v>-0.492</v>
      </c>
    </row>
    <row r="42" ht="15.75" customHeight="1">
      <c r="A42" s="8">
        <v>45929.0</v>
      </c>
      <c r="B42" s="9" t="s">
        <v>323</v>
      </c>
      <c r="C42" s="9">
        <v>26.79</v>
      </c>
      <c r="D42" s="9" t="s">
        <v>132</v>
      </c>
      <c r="E42" s="3" t="s">
        <v>133</v>
      </c>
      <c r="F42" s="9" t="s">
        <v>134</v>
      </c>
      <c r="G42" s="3" t="s">
        <v>185</v>
      </c>
      <c r="H42" s="3" t="s">
        <v>324</v>
      </c>
      <c r="I42" s="3" t="s">
        <v>325</v>
      </c>
      <c r="J42" s="5">
        <v>26.79</v>
      </c>
      <c r="K42" s="10">
        <f t="shared" si="1"/>
        <v>0</v>
      </c>
      <c r="L42" s="5">
        <v>33.23</v>
      </c>
      <c r="M42" s="5">
        <v>26.61</v>
      </c>
      <c r="N42" s="3" t="s">
        <v>326</v>
      </c>
      <c r="O42" s="6">
        <v>1.0</v>
      </c>
      <c r="P42" s="3" t="s">
        <v>327</v>
      </c>
      <c r="Q42" s="3" t="s">
        <v>328</v>
      </c>
      <c r="R42" s="6">
        <v>0.031</v>
      </c>
      <c r="S42" s="3" t="s">
        <v>45</v>
      </c>
      <c r="T42" s="3" t="s">
        <v>329</v>
      </c>
      <c r="U42" s="3" t="s">
        <v>330</v>
      </c>
      <c r="V42" s="6">
        <v>3.577</v>
      </c>
      <c r="W42" s="6">
        <v>0.006</v>
      </c>
      <c r="X42" s="3" t="s">
        <v>331</v>
      </c>
      <c r="Y42" s="6">
        <v>0.014</v>
      </c>
      <c r="Z42" s="6">
        <v>0.043</v>
      </c>
      <c r="AA42" s="6">
        <v>-0.146</v>
      </c>
      <c r="AB42" s="6">
        <v>0.188</v>
      </c>
    </row>
    <row r="43" ht="15.75" customHeight="1">
      <c r="A43" s="8">
        <v>45894.0</v>
      </c>
      <c r="B43" s="9" t="s">
        <v>291</v>
      </c>
      <c r="C43" s="9">
        <v>45.06</v>
      </c>
      <c r="D43" s="9" t="s">
        <v>183</v>
      </c>
      <c r="E43" s="3" t="s">
        <v>133</v>
      </c>
      <c r="F43" s="3" t="s">
        <v>184</v>
      </c>
      <c r="G43" s="3" t="s">
        <v>185</v>
      </c>
      <c r="H43" s="3" t="s">
        <v>292</v>
      </c>
      <c r="I43" s="3" t="s">
        <v>293</v>
      </c>
      <c r="J43" s="5">
        <v>46.64</v>
      </c>
      <c r="K43" s="10">
        <f t="shared" si="1"/>
        <v>3.506435863</v>
      </c>
      <c r="L43" s="5">
        <v>55.87</v>
      </c>
      <c r="M43" s="5">
        <v>14.93</v>
      </c>
      <c r="N43" s="3" t="s">
        <v>209</v>
      </c>
      <c r="O43" s="1"/>
      <c r="P43" s="3" t="s">
        <v>295</v>
      </c>
      <c r="Q43" s="3" t="s">
        <v>332</v>
      </c>
      <c r="R43" s="6">
        <v>0.0</v>
      </c>
      <c r="S43" s="3" t="s">
        <v>333</v>
      </c>
      <c r="T43" s="3" t="s">
        <v>334</v>
      </c>
      <c r="U43" s="3" t="s">
        <v>335</v>
      </c>
      <c r="V43" s="6">
        <v>0.844</v>
      </c>
      <c r="W43" s="6">
        <v>0.071</v>
      </c>
      <c r="X43" s="3" t="s">
        <v>300</v>
      </c>
      <c r="Y43" s="6">
        <v>0.065</v>
      </c>
      <c r="Z43" s="6">
        <v>0.488</v>
      </c>
      <c r="AA43" s="1"/>
      <c r="AB43" s="6">
        <v>0.08</v>
      </c>
    </row>
    <row r="44" ht="15.75" customHeight="1">
      <c r="A44" s="8">
        <v>45894.0</v>
      </c>
      <c r="B44" s="3" t="s">
        <v>336</v>
      </c>
      <c r="C44" s="9">
        <v>2.83</v>
      </c>
      <c r="D44" s="9" t="s">
        <v>132</v>
      </c>
      <c r="E44" s="3" t="s">
        <v>133</v>
      </c>
      <c r="F44" s="9" t="s">
        <v>134</v>
      </c>
      <c r="G44" s="3" t="s">
        <v>185</v>
      </c>
      <c r="H44" s="3" t="s">
        <v>337</v>
      </c>
      <c r="I44" s="3" t="s">
        <v>325</v>
      </c>
      <c r="J44" s="9">
        <v>2.83</v>
      </c>
      <c r="K44" s="9">
        <f t="shared" si="1"/>
        <v>0</v>
      </c>
      <c r="L44" s="5">
        <v>3.9</v>
      </c>
      <c r="M44" s="5">
        <v>2.72</v>
      </c>
      <c r="N44" s="3" t="s">
        <v>338</v>
      </c>
      <c r="O44" s="6">
        <v>1.0</v>
      </c>
      <c r="P44" s="3" t="s">
        <v>339</v>
      </c>
      <c r="Q44" s="3" t="s">
        <v>340</v>
      </c>
      <c r="R44" s="6">
        <v>0.054</v>
      </c>
      <c r="S44" s="3" t="s">
        <v>83</v>
      </c>
      <c r="T44" s="3" t="s">
        <v>341</v>
      </c>
      <c r="U44" s="3" t="s">
        <v>342</v>
      </c>
      <c r="V44" s="6">
        <v>6.422</v>
      </c>
      <c r="W44" s="6">
        <v>0.013</v>
      </c>
      <c r="X44" s="3" t="s">
        <v>343</v>
      </c>
      <c r="Y44" s="6">
        <v>0.028</v>
      </c>
      <c r="Z44" s="6">
        <v>0.069</v>
      </c>
      <c r="AA44" s="6">
        <v>0.067</v>
      </c>
      <c r="AB44" s="6">
        <v>0.386</v>
      </c>
    </row>
    <row r="45" ht="15.75" customHeight="1">
      <c r="A45" s="8">
        <v>45879.0</v>
      </c>
      <c r="B45" s="9" t="s">
        <v>301</v>
      </c>
      <c r="C45" s="9">
        <v>3.37</v>
      </c>
      <c r="D45" s="9" t="s">
        <v>183</v>
      </c>
      <c r="E45" s="3" t="s">
        <v>133</v>
      </c>
      <c r="F45" s="3" t="s">
        <v>184</v>
      </c>
      <c r="G45" s="3" t="s">
        <v>185</v>
      </c>
      <c r="H45" s="3" t="s">
        <v>302</v>
      </c>
      <c r="I45" s="3" t="s">
        <v>70</v>
      </c>
      <c r="J45" s="5">
        <v>3.87</v>
      </c>
      <c r="K45" s="11">
        <f t="shared" si="1"/>
        <v>14.83679525</v>
      </c>
      <c r="L45" s="5">
        <v>4.93</v>
      </c>
      <c r="M45" s="5">
        <v>1.085</v>
      </c>
      <c r="N45" s="3" t="s">
        <v>193</v>
      </c>
      <c r="O45" s="1"/>
      <c r="P45" s="3" t="s">
        <v>304</v>
      </c>
      <c r="Q45" s="3" t="s">
        <v>305</v>
      </c>
      <c r="R45" s="6">
        <v>0.0</v>
      </c>
      <c r="S45" s="3" t="s">
        <v>74</v>
      </c>
      <c r="T45" s="1"/>
      <c r="U45" s="3" t="s">
        <v>94</v>
      </c>
      <c r="V45" s="6">
        <v>3.416</v>
      </c>
      <c r="W45" s="1"/>
      <c r="X45" s="3" t="s">
        <v>307</v>
      </c>
      <c r="Y45" s="6">
        <v>0.075</v>
      </c>
      <c r="Z45" s="6">
        <v>0.215</v>
      </c>
      <c r="AA45" s="1"/>
      <c r="AB45" s="6">
        <v>0.144</v>
      </c>
    </row>
    <row r="46" ht="15.75" customHeight="1">
      <c r="A46" s="12">
        <v>45872.0</v>
      </c>
      <c r="B46" s="3" t="s">
        <v>344</v>
      </c>
      <c r="C46" s="9">
        <v>1.705</v>
      </c>
      <c r="D46" s="9" t="s">
        <v>132</v>
      </c>
      <c r="E46" s="3" t="s">
        <v>133</v>
      </c>
      <c r="F46" s="13" t="s">
        <v>134</v>
      </c>
      <c r="G46" s="3" t="s">
        <v>185</v>
      </c>
      <c r="H46" s="3" t="s">
        <v>345</v>
      </c>
      <c r="I46" s="3" t="s">
        <v>346</v>
      </c>
      <c r="J46" s="14">
        <v>1.705</v>
      </c>
      <c r="K46" s="10">
        <v>0.0</v>
      </c>
      <c r="L46" s="5">
        <v>4.75</v>
      </c>
      <c r="M46" s="5">
        <v>1.68</v>
      </c>
      <c r="N46" s="3" t="s">
        <v>347</v>
      </c>
      <c r="O46" s="1"/>
      <c r="P46" s="3" t="s">
        <v>348</v>
      </c>
      <c r="Q46" s="1"/>
      <c r="R46" s="6">
        <v>0.0</v>
      </c>
      <c r="S46" s="1"/>
      <c r="T46" s="1"/>
      <c r="U46" s="3" t="s">
        <v>349</v>
      </c>
      <c r="V46" s="6">
        <v>0.001</v>
      </c>
      <c r="W46" s="6">
        <v>0.139</v>
      </c>
      <c r="X46" s="3" t="s">
        <v>350</v>
      </c>
      <c r="Y46" s="6">
        <v>-0.472</v>
      </c>
      <c r="Z46" s="1"/>
      <c r="AA46" s="6">
        <v>2.157</v>
      </c>
      <c r="AB46" s="6">
        <v>-0.045</v>
      </c>
    </row>
    <row r="47" ht="15.75" customHeight="1">
      <c r="A47" s="15">
        <v>45786.0</v>
      </c>
      <c r="B47" s="3" t="s">
        <v>344</v>
      </c>
      <c r="C47" s="3">
        <v>3.58</v>
      </c>
      <c r="D47" s="3" t="s">
        <v>183</v>
      </c>
      <c r="E47" s="3" t="s">
        <v>133</v>
      </c>
      <c r="F47" s="3" t="s">
        <v>184</v>
      </c>
      <c r="G47" s="3" t="s">
        <v>185</v>
      </c>
      <c r="H47" s="3" t="s">
        <v>345</v>
      </c>
      <c r="I47" s="3" t="s">
        <v>346</v>
      </c>
      <c r="J47" s="5">
        <v>1.71</v>
      </c>
      <c r="K47" s="11">
        <f t="shared" ref="K47:K67" si="2">(J47/C47-1)*100</f>
        <v>-52.23463687</v>
      </c>
      <c r="L47" s="5">
        <v>4.75</v>
      </c>
      <c r="M47" s="5">
        <v>1.68</v>
      </c>
      <c r="N47" s="3" t="s">
        <v>347</v>
      </c>
      <c r="O47" s="1"/>
      <c r="P47" s="3" t="s">
        <v>348</v>
      </c>
      <c r="Q47" s="1"/>
      <c r="R47" s="6">
        <v>0.0</v>
      </c>
      <c r="S47" s="1"/>
      <c r="T47" s="1"/>
      <c r="U47" s="3" t="s">
        <v>349</v>
      </c>
      <c r="V47" s="6">
        <v>0.001</v>
      </c>
      <c r="W47" s="6">
        <v>0.139</v>
      </c>
      <c r="X47" s="3" t="s">
        <v>350</v>
      </c>
      <c r="Y47" s="6">
        <v>-0.472</v>
      </c>
      <c r="Z47" s="1"/>
      <c r="AA47" s="6">
        <v>2.157</v>
      </c>
      <c r="AB47" s="6">
        <v>-0.045</v>
      </c>
    </row>
    <row r="48" ht="15.75" customHeight="1">
      <c r="A48" s="15">
        <v>45786.0</v>
      </c>
      <c r="B48" s="3" t="s">
        <v>283</v>
      </c>
      <c r="C48" s="3">
        <v>169.66</v>
      </c>
      <c r="D48" s="3" t="s">
        <v>183</v>
      </c>
      <c r="E48" s="3" t="s">
        <v>133</v>
      </c>
      <c r="F48" s="3" t="s">
        <v>184</v>
      </c>
      <c r="G48" s="3" t="s">
        <v>185</v>
      </c>
      <c r="H48" s="3" t="s">
        <v>284</v>
      </c>
      <c r="I48" s="3" t="s">
        <v>70</v>
      </c>
      <c r="J48" s="5">
        <v>175.91</v>
      </c>
      <c r="K48" s="11">
        <f t="shared" si="2"/>
        <v>3.683838265</v>
      </c>
      <c r="L48" s="5">
        <v>189.08</v>
      </c>
      <c r="M48" s="5">
        <v>138.08</v>
      </c>
      <c r="N48" s="3" t="s">
        <v>351</v>
      </c>
      <c r="O48" s="6">
        <v>1.0</v>
      </c>
      <c r="P48" s="3" t="s">
        <v>286</v>
      </c>
      <c r="Q48" s="3" t="s">
        <v>287</v>
      </c>
      <c r="R48" s="6">
        <v>0.028</v>
      </c>
      <c r="S48" s="3" t="s">
        <v>352</v>
      </c>
      <c r="T48" s="1"/>
      <c r="U48" s="3" t="s">
        <v>289</v>
      </c>
      <c r="V48" s="6">
        <v>2.758</v>
      </c>
      <c r="W48" s="1"/>
      <c r="X48" s="3" t="s">
        <v>290</v>
      </c>
      <c r="Y48" s="6">
        <v>0.354</v>
      </c>
      <c r="Z48" s="6">
        <v>0.389</v>
      </c>
      <c r="AA48" s="6">
        <v>0.082</v>
      </c>
      <c r="AB48" s="6">
        <v>0.133</v>
      </c>
    </row>
    <row r="49" ht="15.75" customHeight="1">
      <c r="A49" s="15">
        <v>45786.0</v>
      </c>
      <c r="B49" s="3" t="s">
        <v>323</v>
      </c>
      <c r="C49" s="3">
        <v>32.68</v>
      </c>
      <c r="D49" s="3" t="s">
        <v>183</v>
      </c>
      <c r="E49" s="3" t="s">
        <v>133</v>
      </c>
      <c r="F49" s="3" t="s">
        <v>184</v>
      </c>
      <c r="G49" s="3" t="s">
        <v>185</v>
      </c>
      <c r="H49" s="3" t="s">
        <v>324</v>
      </c>
      <c r="I49" s="3" t="s">
        <v>325</v>
      </c>
      <c r="J49" s="5">
        <v>27.38</v>
      </c>
      <c r="K49" s="11">
        <f t="shared" si="2"/>
        <v>-16.21787026</v>
      </c>
      <c r="L49" s="5">
        <v>33.4</v>
      </c>
      <c r="M49" s="5">
        <v>27.08</v>
      </c>
      <c r="N49" s="3" t="s">
        <v>353</v>
      </c>
      <c r="O49" s="6">
        <v>1.0</v>
      </c>
      <c r="P49" s="3" t="s">
        <v>327</v>
      </c>
      <c r="Q49" s="3" t="s">
        <v>328</v>
      </c>
      <c r="R49" s="6">
        <v>0.031</v>
      </c>
      <c r="S49" s="3" t="s">
        <v>45</v>
      </c>
      <c r="T49" s="3" t="s">
        <v>354</v>
      </c>
      <c r="U49" s="3" t="s">
        <v>330</v>
      </c>
      <c r="V49" s="6">
        <v>3.577</v>
      </c>
      <c r="W49" s="6">
        <v>0.006</v>
      </c>
      <c r="X49" s="3" t="s">
        <v>331</v>
      </c>
      <c r="Y49" s="6">
        <v>0.014</v>
      </c>
      <c r="Z49" s="6">
        <v>0.043</v>
      </c>
      <c r="AA49" s="6">
        <v>-0.146</v>
      </c>
      <c r="AB49" s="6">
        <v>0.188</v>
      </c>
    </row>
    <row r="50" ht="15.75" customHeight="1">
      <c r="A50" s="15">
        <v>45786.0</v>
      </c>
      <c r="B50" s="3" t="s">
        <v>176</v>
      </c>
      <c r="C50" s="3">
        <v>3.06</v>
      </c>
      <c r="D50" s="3" t="s">
        <v>183</v>
      </c>
      <c r="E50" s="3" t="s">
        <v>133</v>
      </c>
      <c r="F50" s="3" t="s">
        <v>184</v>
      </c>
      <c r="G50" s="3" t="s">
        <v>185</v>
      </c>
      <c r="H50" s="3" t="s">
        <v>177</v>
      </c>
      <c r="I50" s="3" t="s">
        <v>118</v>
      </c>
      <c r="J50" s="5">
        <v>3.13</v>
      </c>
      <c r="K50" s="11">
        <f t="shared" si="2"/>
        <v>2.287581699</v>
      </c>
      <c r="L50" s="5">
        <v>3.54</v>
      </c>
      <c r="M50" s="5">
        <v>2.68</v>
      </c>
      <c r="N50" s="3" t="s">
        <v>101</v>
      </c>
      <c r="O50" s="6">
        <v>0.0</v>
      </c>
      <c r="P50" s="3" t="s">
        <v>178</v>
      </c>
      <c r="Q50" s="3" t="s">
        <v>46</v>
      </c>
      <c r="R50" s="6">
        <v>0.053</v>
      </c>
      <c r="S50" s="3" t="s">
        <v>179</v>
      </c>
      <c r="T50" s="1"/>
      <c r="U50" s="3" t="s">
        <v>180</v>
      </c>
      <c r="V50" s="6">
        <v>0.546</v>
      </c>
      <c r="W50" s="6">
        <v>0.002</v>
      </c>
      <c r="X50" s="3" t="s">
        <v>181</v>
      </c>
      <c r="Y50" s="6">
        <v>0.57</v>
      </c>
      <c r="Z50" s="6">
        <v>0.047</v>
      </c>
      <c r="AA50" s="6">
        <v>-0.295</v>
      </c>
      <c r="AB50" s="6">
        <v>0.054</v>
      </c>
    </row>
    <row r="51" ht="15.75" customHeight="1">
      <c r="A51" s="15">
        <v>45786.0</v>
      </c>
      <c r="B51" s="3" t="s">
        <v>160</v>
      </c>
      <c r="C51" s="3">
        <v>7.17</v>
      </c>
      <c r="D51" s="3" t="s">
        <v>183</v>
      </c>
      <c r="E51" s="3" t="s">
        <v>133</v>
      </c>
      <c r="F51" s="3" t="s">
        <v>184</v>
      </c>
      <c r="G51" s="3" t="s">
        <v>185</v>
      </c>
      <c r="H51" s="3" t="s">
        <v>161</v>
      </c>
      <c r="I51" s="3" t="s">
        <v>70</v>
      </c>
      <c r="J51" s="5">
        <v>7.38</v>
      </c>
      <c r="K51" s="9">
        <f t="shared" si="2"/>
        <v>2.928870293</v>
      </c>
      <c r="L51" s="5">
        <v>9.44</v>
      </c>
      <c r="M51" s="5">
        <v>5.2</v>
      </c>
      <c r="N51" s="3" t="s">
        <v>162</v>
      </c>
      <c r="O51" s="6">
        <v>1.0</v>
      </c>
      <c r="P51" s="3" t="s">
        <v>163</v>
      </c>
      <c r="Q51" s="3" t="s">
        <v>164</v>
      </c>
      <c r="R51" s="6">
        <v>0.041</v>
      </c>
      <c r="S51" s="3" t="s">
        <v>55</v>
      </c>
      <c r="T51" s="3" t="s">
        <v>165</v>
      </c>
      <c r="U51" s="3" t="s">
        <v>166</v>
      </c>
      <c r="V51" s="6">
        <v>2.139</v>
      </c>
      <c r="W51" s="1"/>
      <c r="X51" s="3" t="s">
        <v>167</v>
      </c>
      <c r="Y51" s="6">
        <v>0.076</v>
      </c>
      <c r="Z51" s="6">
        <v>0.218</v>
      </c>
      <c r="AA51" s="6">
        <v>-0.059</v>
      </c>
      <c r="AB51" s="6">
        <v>0.05</v>
      </c>
    </row>
    <row r="52" ht="15.75" customHeight="1">
      <c r="A52" s="15">
        <v>45786.0</v>
      </c>
      <c r="B52" s="3" t="s">
        <v>355</v>
      </c>
      <c r="C52" s="3">
        <v>3.64</v>
      </c>
      <c r="D52" s="3" t="s">
        <v>183</v>
      </c>
      <c r="E52" s="3" t="s">
        <v>133</v>
      </c>
      <c r="F52" s="3" t="s">
        <v>184</v>
      </c>
      <c r="G52" s="3" t="s">
        <v>185</v>
      </c>
      <c r="H52" s="3" t="s">
        <v>116</v>
      </c>
      <c r="I52" s="3" t="s">
        <v>118</v>
      </c>
      <c r="J52" s="5">
        <v>3.75</v>
      </c>
      <c r="K52" s="11">
        <f t="shared" si="2"/>
        <v>3.021978022</v>
      </c>
      <c r="L52" s="5">
        <v>4.03</v>
      </c>
      <c r="M52" s="5">
        <v>3.18</v>
      </c>
      <c r="N52" s="3" t="s">
        <v>119</v>
      </c>
      <c r="O52" s="6">
        <v>0.0</v>
      </c>
      <c r="P52" s="3" t="s">
        <v>120</v>
      </c>
      <c r="Q52" s="3" t="s">
        <v>121</v>
      </c>
      <c r="R52" s="6">
        <v>0.051</v>
      </c>
      <c r="S52" s="3" t="s">
        <v>122</v>
      </c>
      <c r="T52" s="1"/>
      <c r="U52" s="3" t="s">
        <v>123</v>
      </c>
      <c r="V52" s="6">
        <v>0.285</v>
      </c>
      <c r="W52" s="6">
        <v>0.003</v>
      </c>
      <c r="X52" s="3" t="s">
        <v>124</v>
      </c>
      <c r="Y52" s="6">
        <v>1.306</v>
      </c>
      <c r="Z52" s="6">
        <v>0.098</v>
      </c>
      <c r="AA52" s="6">
        <v>-0.211</v>
      </c>
      <c r="AB52" s="6">
        <v>0.096</v>
      </c>
    </row>
    <row r="53" ht="15.75" customHeight="1">
      <c r="A53" s="15">
        <v>45786.0</v>
      </c>
      <c r="B53" s="3" t="s">
        <v>231</v>
      </c>
      <c r="C53" s="3">
        <v>5.19</v>
      </c>
      <c r="D53" s="3" t="s">
        <v>183</v>
      </c>
      <c r="E53" s="3" t="s">
        <v>133</v>
      </c>
      <c r="F53" s="3" t="s">
        <v>184</v>
      </c>
      <c r="G53" s="3" t="s">
        <v>185</v>
      </c>
      <c r="H53" s="3" t="s">
        <v>232</v>
      </c>
      <c r="I53" s="3" t="s">
        <v>60</v>
      </c>
      <c r="J53" s="5">
        <v>4.58</v>
      </c>
      <c r="K53" s="9">
        <f t="shared" si="2"/>
        <v>-11.75337187</v>
      </c>
      <c r="L53" s="5">
        <v>5.33</v>
      </c>
      <c r="M53" s="5">
        <v>4.35</v>
      </c>
      <c r="N53" s="3" t="s">
        <v>233</v>
      </c>
      <c r="O53" s="6">
        <v>0.0</v>
      </c>
      <c r="P53" s="3" t="s">
        <v>234</v>
      </c>
      <c r="Q53" s="3" t="s">
        <v>235</v>
      </c>
      <c r="R53" s="6">
        <v>0.087</v>
      </c>
      <c r="S53" s="3" t="s">
        <v>236</v>
      </c>
      <c r="T53" s="1"/>
      <c r="U53" s="3" t="s">
        <v>237</v>
      </c>
      <c r="V53" s="6">
        <v>0.278</v>
      </c>
      <c r="W53" s="6">
        <v>0.024</v>
      </c>
      <c r="X53" s="3" t="s">
        <v>238</v>
      </c>
      <c r="Y53" s="6">
        <v>1.524</v>
      </c>
      <c r="Z53" s="6">
        <v>0.132</v>
      </c>
      <c r="AA53" s="6">
        <v>0.06</v>
      </c>
      <c r="AB53" s="6">
        <v>0.038</v>
      </c>
    </row>
    <row r="54" ht="15.75" customHeight="1">
      <c r="A54" s="15">
        <v>45786.0</v>
      </c>
      <c r="B54" s="3" t="s">
        <v>336</v>
      </c>
      <c r="C54" s="3">
        <v>3.5</v>
      </c>
      <c r="D54" s="3" t="s">
        <v>183</v>
      </c>
      <c r="E54" s="3" t="s">
        <v>133</v>
      </c>
      <c r="F54" s="3" t="s">
        <v>184</v>
      </c>
      <c r="G54" s="3" t="s">
        <v>185</v>
      </c>
      <c r="H54" s="3" t="s">
        <v>337</v>
      </c>
      <c r="I54" s="3" t="s">
        <v>325</v>
      </c>
      <c r="J54" s="5">
        <v>3.53</v>
      </c>
      <c r="K54" s="11">
        <f t="shared" si="2"/>
        <v>0.8571428571</v>
      </c>
      <c r="L54" s="5">
        <v>3.9</v>
      </c>
      <c r="M54" s="5">
        <v>2.72</v>
      </c>
      <c r="N54" s="3" t="s">
        <v>338</v>
      </c>
      <c r="O54" s="6">
        <v>1.0</v>
      </c>
      <c r="P54" s="3" t="s">
        <v>339</v>
      </c>
      <c r="Q54" s="3" t="s">
        <v>340</v>
      </c>
      <c r="R54" s="6">
        <v>0.054</v>
      </c>
      <c r="S54" s="3" t="s">
        <v>83</v>
      </c>
      <c r="T54" s="3" t="s">
        <v>341</v>
      </c>
      <c r="U54" s="3" t="s">
        <v>342</v>
      </c>
      <c r="V54" s="6">
        <v>6.422</v>
      </c>
      <c r="W54" s="6">
        <v>0.013</v>
      </c>
      <c r="X54" s="3" t="s">
        <v>343</v>
      </c>
      <c r="Y54" s="6">
        <v>0.028</v>
      </c>
      <c r="Z54" s="6">
        <v>0.069</v>
      </c>
      <c r="AA54" s="6">
        <v>0.067</v>
      </c>
      <c r="AB54" s="6">
        <v>0.386</v>
      </c>
    </row>
    <row r="55" ht="15.75" customHeight="1">
      <c r="A55" s="15">
        <v>45786.0</v>
      </c>
      <c r="B55" s="3" t="s">
        <v>267</v>
      </c>
      <c r="C55" s="3">
        <v>2.3</v>
      </c>
      <c r="D55" s="3" t="s">
        <v>183</v>
      </c>
      <c r="E55" s="3" t="s">
        <v>133</v>
      </c>
      <c r="F55" s="3" t="s">
        <v>184</v>
      </c>
      <c r="G55" s="3" t="s">
        <v>185</v>
      </c>
      <c r="H55" s="3" t="s">
        <v>268</v>
      </c>
      <c r="I55" s="3" t="s">
        <v>118</v>
      </c>
      <c r="J55" s="5">
        <v>2.03</v>
      </c>
      <c r="K55" s="11">
        <f t="shared" si="2"/>
        <v>-11.73913043</v>
      </c>
      <c r="L55" s="5">
        <v>2.46</v>
      </c>
      <c r="M55" s="5">
        <v>1.775</v>
      </c>
      <c r="N55" s="3" t="s">
        <v>269</v>
      </c>
      <c r="O55" s="6">
        <v>0.0</v>
      </c>
      <c r="P55" s="3" t="s">
        <v>270</v>
      </c>
      <c r="Q55" s="3" t="s">
        <v>271</v>
      </c>
      <c r="R55" s="6">
        <v>0.044</v>
      </c>
      <c r="S55" s="3" t="s">
        <v>64</v>
      </c>
      <c r="T55" s="3" t="s">
        <v>272</v>
      </c>
      <c r="U55" s="3" t="s">
        <v>273</v>
      </c>
      <c r="V55" s="6">
        <v>0.502</v>
      </c>
      <c r="W55" s="6">
        <v>0.01</v>
      </c>
      <c r="X55" s="3" t="s">
        <v>274</v>
      </c>
      <c r="Y55" s="6">
        <v>0.028</v>
      </c>
      <c r="Z55" s="6">
        <v>0.023</v>
      </c>
      <c r="AA55" s="6">
        <v>-0.578</v>
      </c>
      <c r="AB55" s="6">
        <v>0.007</v>
      </c>
    </row>
    <row r="56" ht="15.75" customHeight="1">
      <c r="A56" s="15">
        <v>45786.0</v>
      </c>
      <c r="B56" s="3" t="s">
        <v>239</v>
      </c>
      <c r="C56" s="3">
        <v>4.34</v>
      </c>
      <c r="D56" s="3" t="s">
        <v>183</v>
      </c>
      <c r="E56" s="3" t="s">
        <v>133</v>
      </c>
      <c r="F56" s="3" t="s">
        <v>184</v>
      </c>
      <c r="G56" s="3" t="s">
        <v>185</v>
      </c>
      <c r="H56" s="3" t="s">
        <v>240</v>
      </c>
      <c r="I56" s="3" t="s">
        <v>60</v>
      </c>
      <c r="J56" s="5">
        <v>5.16</v>
      </c>
      <c r="K56" s="9">
        <f t="shared" si="2"/>
        <v>18.89400922</v>
      </c>
      <c r="L56" s="5">
        <v>6.41</v>
      </c>
      <c r="M56" s="5">
        <v>3.58</v>
      </c>
      <c r="N56" s="3" t="s">
        <v>193</v>
      </c>
      <c r="O56" s="6">
        <v>0.9</v>
      </c>
      <c r="P56" s="3" t="s">
        <v>241</v>
      </c>
      <c r="Q56" s="3" t="s">
        <v>242</v>
      </c>
      <c r="R56" s="6">
        <v>0.041</v>
      </c>
      <c r="S56" s="3" t="s">
        <v>243</v>
      </c>
      <c r="T56" s="3" t="s">
        <v>244</v>
      </c>
      <c r="U56" s="3" t="s">
        <v>245</v>
      </c>
      <c r="V56" s="6">
        <v>1.525</v>
      </c>
      <c r="W56" s="6">
        <v>0.01</v>
      </c>
      <c r="X56" s="3" t="s">
        <v>246</v>
      </c>
      <c r="Y56" s="6">
        <v>0.042</v>
      </c>
      <c r="Z56" s="6">
        <v>0.103</v>
      </c>
      <c r="AA56" s="1"/>
      <c r="AB56" s="6">
        <v>0.429</v>
      </c>
    </row>
    <row r="57" ht="15.75" customHeight="1">
      <c r="A57" s="15">
        <v>45770.0</v>
      </c>
      <c r="B57" s="3" t="s">
        <v>356</v>
      </c>
      <c r="C57" s="3">
        <v>2.64</v>
      </c>
      <c r="D57" s="3" t="s">
        <v>132</v>
      </c>
      <c r="E57" s="3" t="s">
        <v>357</v>
      </c>
      <c r="F57" s="3" t="s">
        <v>134</v>
      </c>
      <c r="G57" s="3" t="s">
        <v>185</v>
      </c>
      <c r="H57" s="3" t="s">
        <v>358</v>
      </c>
      <c r="I57" s="3" t="s">
        <v>51</v>
      </c>
      <c r="J57" s="5">
        <v>2.46</v>
      </c>
      <c r="K57" s="11">
        <f t="shared" si="2"/>
        <v>-6.818181818</v>
      </c>
      <c r="L57" s="5">
        <v>2.77</v>
      </c>
      <c r="M57" s="5">
        <v>0.985</v>
      </c>
      <c r="N57" s="3" t="s">
        <v>316</v>
      </c>
      <c r="O57" s="1"/>
      <c r="P57" s="3" t="s">
        <v>359</v>
      </c>
      <c r="Q57" s="1"/>
      <c r="R57" s="6">
        <v>0.0</v>
      </c>
      <c r="S57" s="3" t="s">
        <v>360</v>
      </c>
      <c r="T57" s="1"/>
      <c r="U57" s="3" t="s">
        <v>361</v>
      </c>
      <c r="V57" s="6">
        <v>0.006</v>
      </c>
      <c r="W57" s="6">
        <v>0.331</v>
      </c>
      <c r="X57" s="3" t="s">
        <v>362</v>
      </c>
      <c r="Y57" s="6">
        <v>-0.209</v>
      </c>
      <c r="Z57" s="6">
        <v>2.723</v>
      </c>
      <c r="AA57" s="1"/>
      <c r="AB57" s="6">
        <v>-0.007</v>
      </c>
    </row>
    <row r="58" ht="15.75" customHeight="1">
      <c r="A58" s="15">
        <v>45758.0</v>
      </c>
      <c r="B58" s="3" t="s">
        <v>363</v>
      </c>
      <c r="C58" s="3">
        <v>1.245</v>
      </c>
      <c r="D58" s="3" t="s">
        <v>132</v>
      </c>
      <c r="E58" s="3" t="s">
        <v>143</v>
      </c>
      <c r="F58" s="3" t="s">
        <v>134</v>
      </c>
      <c r="G58" s="3" t="s">
        <v>135</v>
      </c>
      <c r="H58" s="3" t="s">
        <v>364</v>
      </c>
      <c r="I58" s="3" t="s">
        <v>346</v>
      </c>
      <c r="J58" s="5">
        <v>1.36</v>
      </c>
      <c r="K58" s="11">
        <f t="shared" si="2"/>
        <v>9.236947791</v>
      </c>
      <c r="L58" s="5">
        <v>1.515</v>
      </c>
      <c r="M58" s="5">
        <v>1.04</v>
      </c>
      <c r="N58" s="3" t="s">
        <v>365</v>
      </c>
      <c r="O58" s="6">
        <v>1.0</v>
      </c>
      <c r="P58" s="3" t="s">
        <v>366</v>
      </c>
      <c r="Q58" s="3" t="s">
        <v>367</v>
      </c>
      <c r="R58" s="6">
        <v>0.037</v>
      </c>
      <c r="S58" s="3" t="s">
        <v>255</v>
      </c>
      <c r="T58" s="1"/>
      <c r="U58" s="3" t="s">
        <v>368</v>
      </c>
      <c r="V58" s="6">
        <v>0.194</v>
      </c>
      <c r="W58" s="6">
        <v>0.008</v>
      </c>
      <c r="X58" s="3" t="s">
        <v>369</v>
      </c>
      <c r="Y58" s="6">
        <v>0.049</v>
      </c>
      <c r="Z58" s="6">
        <v>0.048</v>
      </c>
      <c r="AA58" s="1"/>
      <c r="AB58" s="6">
        <v>0.026</v>
      </c>
    </row>
    <row r="59" ht="15.75" customHeight="1">
      <c r="A59" s="15">
        <v>45758.0</v>
      </c>
      <c r="B59" s="3" t="s">
        <v>370</v>
      </c>
      <c r="C59" s="3">
        <v>45.15</v>
      </c>
      <c r="D59" s="3" t="s">
        <v>132</v>
      </c>
      <c r="E59" s="3" t="s">
        <v>143</v>
      </c>
      <c r="F59" s="3" t="s">
        <v>134</v>
      </c>
      <c r="G59" s="3" t="s">
        <v>135</v>
      </c>
      <c r="H59" s="3" t="s">
        <v>371</v>
      </c>
      <c r="I59" s="3" t="s">
        <v>60</v>
      </c>
      <c r="J59" s="5">
        <v>50.67</v>
      </c>
      <c r="K59" s="11">
        <f t="shared" si="2"/>
        <v>12.22591362</v>
      </c>
      <c r="L59" s="5">
        <v>55.65</v>
      </c>
      <c r="M59" s="5">
        <v>34.71</v>
      </c>
      <c r="N59" s="3" t="s">
        <v>372</v>
      </c>
      <c r="O59" s="6">
        <v>1.0</v>
      </c>
      <c r="P59" s="3" t="s">
        <v>373</v>
      </c>
      <c r="Q59" s="3" t="s">
        <v>374</v>
      </c>
      <c r="R59" s="6">
        <v>0.012</v>
      </c>
      <c r="S59" s="3" t="s">
        <v>112</v>
      </c>
      <c r="T59" s="1"/>
      <c r="U59" s="3" t="s">
        <v>375</v>
      </c>
      <c r="V59" s="6">
        <v>1.224</v>
      </c>
      <c r="W59" s="6">
        <v>0.02</v>
      </c>
      <c r="X59" s="3" t="s">
        <v>376</v>
      </c>
      <c r="Y59" s="6">
        <v>0.076</v>
      </c>
      <c r="Z59" s="6">
        <v>0.299</v>
      </c>
      <c r="AA59" s="6">
        <v>-0.124</v>
      </c>
      <c r="AB59" s="6">
        <v>0.182</v>
      </c>
    </row>
    <row r="60" ht="15.75" customHeight="1">
      <c r="A60" s="15">
        <v>45737.0</v>
      </c>
      <c r="B60" s="3" t="s">
        <v>377</v>
      </c>
      <c r="C60" s="3">
        <v>37.54</v>
      </c>
      <c r="D60" s="3" t="s">
        <v>132</v>
      </c>
      <c r="E60" s="3" t="s">
        <v>143</v>
      </c>
      <c r="F60" s="3" t="s">
        <v>134</v>
      </c>
      <c r="G60" s="3" t="s">
        <v>135</v>
      </c>
      <c r="H60" s="3" t="s">
        <v>378</v>
      </c>
      <c r="I60" s="3" t="s">
        <v>60</v>
      </c>
      <c r="J60" s="5">
        <v>40.61</v>
      </c>
      <c r="K60" s="11">
        <f t="shared" si="2"/>
        <v>8.177943527</v>
      </c>
      <c r="L60" s="5">
        <v>43.23</v>
      </c>
      <c r="M60" s="5">
        <v>24.42</v>
      </c>
      <c r="N60" s="3" t="s">
        <v>379</v>
      </c>
      <c r="O60" s="6">
        <v>0.0</v>
      </c>
      <c r="P60" s="3" t="s">
        <v>380</v>
      </c>
      <c r="Q60" s="3" t="s">
        <v>381</v>
      </c>
      <c r="R60" s="6">
        <v>0.021</v>
      </c>
      <c r="S60" s="3" t="s">
        <v>75</v>
      </c>
      <c r="T60" s="3" t="s">
        <v>382</v>
      </c>
      <c r="U60" s="3" t="s">
        <v>383</v>
      </c>
      <c r="V60" s="6">
        <v>0.907</v>
      </c>
      <c r="W60" s="6">
        <v>0.015</v>
      </c>
      <c r="X60" s="3" t="s">
        <v>384</v>
      </c>
      <c r="Y60" s="6">
        <v>0.18</v>
      </c>
      <c r="Z60" s="6">
        <v>0.092</v>
      </c>
      <c r="AA60" s="6">
        <v>0.345</v>
      </c>
      <c r="AB60" s="6">
        <v>0.273</v>
      </c>
    </row>
    <row r="61" ht="15.75" customHeight="1">
      <c r="A61" s="15">
        <v>45730.0</v>
      </c>
      <c r="B61" s="3" t="s">
        <v>385</v>
      </c>
      <c r="C61" s="3">
        <v>18.73</v>
      </c>
      <c r="D61" s="3" t="s">
        <v>132</v>
      </c>
      <c r="E61" s="3" t="s">
        <v>143</v>
      </c>
      <c r="F61" s="3" t="s">
        <v>134</v>
      </c>
      <c r="G61" s="3" t="s">
        <v>135</v>
      </c>
      <c r="H61" s="3" t="s">
        <v>386</v>
      </c>
      <c r="I61" s="3" t="s">
        <v>70</v>
      </c>
      <c r="J61" s="5">
        <v>20.59</v>
      </c>
      <c r="K61" s="11">
        <f t="shared" si="2"/>
        <v>9.930592632</v>
      </c>
      <c r="L61" s="5">
        <v>22.14</v>
      </c>
      <c r="M61" s="5">
        <v>15.01</v>
      </c>
      <c r="N61" s="3" t="s">
        <v>387</v>
      </c>
      <c r="O61" s="6">
        <v>1.0</v>
      </c>
      <c r="P61" s="3" t="s">
        <v>388</v>
      </c>
      <c r="Q61" s="3" t="s">
        <v>389</v>
      </c>
      <c r="R61" s="6">
        <v>0.041</v>
      </c>
      <c r="S61" s="3" t="s">
        <v>255</v>
      </c>
      <c r="T61" s="3" t="s">
        <v>390</v>
      </c>
      <c r="U61" s="3" t="s">
        <v>391</v>
      </c>
      <c r="V61" s="6">
        <v>0.174</v>
      </c>
      <c r="W61" s="1"/>
      <c r="X61" s="3" t="s">
        <v>392</v>
      </c>
      <c r="Y61" s="6">
        <v>0.09</v>
      </c>
      <c r="Z61" s="6">
        <v>-0.025</v>
      </c>
      <c r="AA61" s="6">
        <v>-0.035</v>
      </c>
      <c r="AB61" s="6">
        <v>0.085</v>
      </c>
    </row>
    <row r="62" ht="15.75" customHeight="1">
      <c r="A62" s="15">
        <v>45723.0</v>
      </c>
      <c r="B62" s="3" t="s">
        <v>393</v>
      </c>
      <c r="C62" s="3">
        <v>253.25</v>
      </c>
      <c r="D62" s="3" t="s">
        <v>132</v>
      </c>
      <c r="E62" s="3" t="s">
        <v>143</v>
      </c>
      <c r="F62" s="3" t="s">
        <v>134</v>
      </c>
      <c r="G62" s="3" t="s">
        <v>135</v>
      </c>
      <c r="H62" s="3" t="s">
        <v>394</v>
      </c>
      <c r="I62" s="3" t="s">
        <v>41</v>
      </c>
      <c r="J62" s="5">
        <v>317.69</v>
      </c>
      <c r="K62" s="11">
        <f t="shared" si="2"/>
        <v>25.44521224</v>
      </c>
      <c r="L62" s="5">
        <v>325.0</v>
      </c>
      <c r="M62" s="5">
        <v>120.92</v>
      </c>
      <c r="N62" s="3" t="s">
        <v>395</v>
      </c>
      <c r="O62" s="6">
        <v>1.0</v>
      </c>
      <c r="P62" s="3" t="s">
        <v>396</v>
      </c>
      <c r="Q62" s="3" t="s">
        <v>397</v>
      </c>
      <c r="R62" s="6">
        <v>0.001</v>
      </c>
      <c r="S62" s="3" t="s">
        <v>398</v>
      </c>
      <c r="T62" s="3" t="s">
        <v>399</v>
      </c>
      <c r="U62" s="3" t="s">
        <v>400</v>
      </c>
      <c r="V62" s="6">
        <v>0.008</v>
      </c>
      <c r="W62" s="6">
        <v>0.07</v>
      </c>
      <c r="X62" s="3" t="s">
        <v>401</v>
      </c>
      <c r="Y62" s="6">
        <v>0.515</v>
      </c>
      <c r="Z62" s="6">
        <v>0.347</v>
      </c>
      <c r="AA62" s="6">
        <v>0.389</v>
      </c>
      <c r="AB62" s="6">
        <v>0.515</v>
      </c>
    </row>
    <row r="63" ht="15.75" customHeight="1">
      <c r="A63" s="15">
        <v>45723.0</v>
      </c>
      <c r="B63" s="3" t="s">
        <v>402</v>
      </c>
      <c r="C63" s="3">
        <v>22.85</v>
      </c>
      <c r="D63" s="3" t="s">
        <v>132</v>
      </c>
      <c r="E63" s="3" t="s">
        <v>143</v>
      </c>
      <c r="F63" s="3" t="s">
        <v>134</v>
      </c>
      <c r="G63" s="3" t="s">
        <v>135</v>
      </c>
      <c r="H63" s="3" t="s">
        <v>403</v>
      </c>
      <c r="I63" s="3" t="s">
        <v>70</v>
      </c>
      <c r="J63" s="5">
        <v>20.98</v>
      </c>
      <c r="K63" s="11">
        <f t="shared" si="2"/>
        <v>-8.18380744</v>
      </c>
      <c r="L63" s="5">
        <v>26.68</v>
      </c>
      <c r="M63" s="5">
        <v>13.59</v>
      </c>
      <c r="N63" s="3" t="s">
        <v>404</v>
      </c>
      <c r="O63" s="6">
        <v>0.72</v>
      </c>
      <c r="P63" s="3" t="s">
        <v>405</v>
      </c>
      <c r="Q63" s="3" t="s">
        <v>406</v>
      </c>
      <c r="R63" s="6">
        <v>0.028</v>
      </c>
      <c r="S63" s="3" t="s">
        <v>407</v>
      </c>
      <c r="T63" s="3" t="s">
        <v>408</v>
      </c>
      <c r="U63" s="3" t="s">
        <v>409</v>
      </c>
      <c r="V63" s="6">
        <v>0.12</v>
      </c>
      <c r="W63" s="6">
        <v>0.042</v>
      </c>
      <c r="X63" s="3" t="s">
        <v>410</v>
      </c>
      <c r="Y63" s="6">
        <v>2.565</v>
      </c>
      <c r="Z63" s="6">
        <v>0.146</v>
      </c>
      <c r="AA63" s="6">
        <v>0.076</v>
      </c>
      <c r="AB63" s="6">
        <v>0.202</v>
      </c>
    </row>
    <row r="64" ht="15.75" customHeight="1">
      <c r="A64" s="15">
        <v>45716.0</v>
      </c>
      <c r="B64" s="3" t="s">
        <v>411</v>
      </c>
      <c r="C64" s="3">
        <v>1.305</v>
      </c>
      <c r="D64" s="3" t="s">
        <v>132</v>
      </c>
      <c r="E64" s="3" t="s">
        <v>143</v>
      </c>
      <c r="F64" s="3" t="s">
        <v>134</v>
      </c>
      <c r="G64" s="3" t="s">
        <v>135</v>
      </c>
      <c r="H64" s="3" t="s">
        <v>412</v>
      </c>
      <c r="I64" s="3" t="s">
        <v>41</v>
      </c>
      <c r="J64" s="5">
        <v>0.75</v>
      </c>
      <c r="K64" s="11">
        <f t="shared" si="2"/>
        <v>-42.52873563</v>
      </c>
      <c r="L64" s="5">
        <v>1.36</v>
      </c>
      <c r="M64" s="5">
        <v>0.695</v>
      </c>
      <c r="N64" s="3" t="s">
        <v>413</v>
      </c>
      <c r="O64" s="6">
        <v>1.0</v>
      </c>
      <c r="P64" s="3" t="s">
        <v>414</v>
      </c>
      <c r="Q64" s="1"/>
      <c r="R64" s="6">
        <v>0.0</v>
      </c>
      <c r="S64" s="3" t="s">
        <v>415</v>
      </c>
      <c r="T64" s="3" t="s">
        <v>55</v>
      </c>
      <c r="U64" s="3" t="s">
        <v>416</v>
      </c>
      <c r="V64" s="6">
        <v>1.362</v>
      </c>
      <c r="W64" s="6">
        <v>0.013</v>
      </c>
      <c r="X64" s="3" t="s">
        <v>417</v>
      </c>
      <c r="Y64" s="6">
        <v>-0.03</v>
      </c>
      <c r="Z64" s="6">
        <v>-0.028</v>
      </c>
      <c r="AA64" s="1"/>
      <c r="AB64" s="6">
        <v>-0.044</v>
      </c>
    </row>
    <row r="65" ht="15.75" customHeight="1">
      <c r="A65" s="15">
        <v>45716.0</v>
      </c>
      <c r="B65" s="3" t="s">
        <v>189</v>
      </c>
      <c r="C65" s="3">
        <v>10.56</v>
      </c>
      <c r="D65" s="3" t="s">
        <v>132</v>
      </c>
      <c r="E65" s="3" t="s">
        <v>143</v>
      </c>
      <c r="F65" s="3" t="s">
        <v>134</v>
      </c>
      <c r="G65" s="3" t="s">
        <v>135</v>
      </c>
      <c r="H65" s="3" t="s">
        <v>78</v>
      </c>
      <c r="I65" s="3" t="s">
        <v>80</v>
      </c>
      <c r="J65" s="5">
        <v>9.81</v>
      </c>
      <c r="K65" s="11">
        <f t="shared" si="2"/>
        <v>-7.102272727</v>
      </c>
      <c r="L65" s="5">
        <v>11.94</v>
      </c>
      <c r="M65" s="5">
        <v>9.54</v>
      </c>
      <c r="N65" s="3" t="s">
        <v>418</v>
      </c>
      <c r="O65" s="6">
        <v>1.0</v>
      </c>
      <c r="P65" s="3" t="s">
        <v>82</v>
      </c>
      <c r="Q65" s="3" t="s">
        <v>419</v>
      </c>
      <c r="R65" s="6">
        <v>0.059</v>
      </c>
      <c r="S65" s="3" t="s">
        <v>45</v>
      </c>
      <c r="T65" s="3" t="s">
        <v>420</v>
      </c>
      <c r="U65" s="3" t="s">
        <v>421</v>
      </c>
      <c r="V65" s="6">
        <v>0.534</v>
      </c>
      <c r="W65" s="6">
        <v>0.009</v>
      </c>
      <c r="X65" s="3" t="s">
        <v>422</v>
      </c>
      <c r="Y65" s="6">
        <v>0.016</v>
      </c>
      <c r="Z65" s="6">
        <v>0.075</v>
      </c>
      <c r="AA65" s="1"/>
      <c r="AB65" s="6">
        <v>0.043</v>
      </c>
    </row>
    <row r="66" ht="15.75" customHeight="1">
      <c r="A66" s="15">
        <v>45716.0</v>
      </c>
      <c r="B66" s="3" t="s">
        <v>423</v>
      </c>
      <c r="C66" s="3">
        <v>14.0</v>
      </c>
      <c r="D66" s="3" t="s">
        <v>132</v>
      </c>
      <c r="E66" s="3" t="s">
        <v>143</v>
      </c>
      <c r="F66" s="3" t="s">
        <v>134</v>
      </c>
      <c r="G66" s="3" t="s">
        <v>135</v>
      </c>
      <c r="H66" s="3" t="s">
        <v>424</v>
      </c>
      <c r="I66" s="3" t="s">
        <v>100</v>
      </c>
      <c r="J66" s="5">
        <v>15.27</v>
      </c>
      <c r="K66" s="11">
        <f t="shared" si="2"/>
        <v>9.071428571</v>
      </c>
      <c r="L66" s="5">
        <v>17.97</v>
      </c>
      <c r="M66" s="5">
        <v>12.06</v>
      </c>
      <c r="N66" s="3" t="s">
        <v>425</v>
      </c>
      <c r="O66" s="6">
        <v>1.0</v>
      </c>
      <c r="P66" s="3" t="s">
        <v>426</v>
      </c>
      <c r="Q66" s="3" t="s">
        <v>427</v>
      </c>
      <c r="R66" s="6">
        <v>0.045</v>
      </c>
      <c r="S66" s="3" t="s">
        <v>103</v>
      </c>
      <c r="T66" s="3" t="s">
        <v>390</v>
      </c>
      <c r="U66" s="3" t="s">
        <v>428</v>
      </c>
      <c r="V66" s="6">
        <v>0.856</v>
      </c>
      <c r="W66" s="6">
        <v>0.011</v>
      </c>
      <c r="X66" s="3" t="s">
        <v>429</v>
      </c>
      <c r="Y66" s="6">
        <v>0.057</v>
      </c>
      <c r="Z66" s="6">
        <v>0.04</v>
      </c>
      <c r="AA66" s="6">
        <v>-0.072</v>
      </c>
      <c r="AB66" s="6">
        <v>0.171</v>
      </c>
    </row>
    <row r="67" ht="15.75" customHeight="1">
      <c r="A67" s="15">
        <v>45709.0</v>
      </c>
      <c r="B67" s="3" t="s">
        <v>430</v>
      </c>
      <c r="C67" s="3">
        <v>28.34</v>
      </c>
      <c r="D67" s="3" t="s">
        <v>132</v>
      </c>
      <c r="E67" s="3" t="s">
        <v>133</v>
      </c>
      <c r="F67" s="3" t="s">
        <v>134</v>
      </c>
      <c r="G67" s="3" t="s">
        <v>135</v>
      </c>
      <c r="H67" s="3" t="s">
        <v>431</v>
      </c>
      <c r="I67" s="3" t="s">
        <v>70</v>
      </c>
      <c r="J67" s="5">
        <v>33.99</v>
      </c>
      <c r="K67" s="11">
        <f t="shared" si="2"/>
        <v>19.93648553</v>
      </c>
      <c r="L67" s="5">
        <v>36.12</v>
      </c>
      <c r="M67" s="5">
        <v>27.21</v>
      </c>
      <c r="N67" s="3" t="s">
        <v>432</v>
      </c>
      <c r="O67" s="6">
        <v>1.0</v>
      </c>
      <c r="P67" s="3" t="s">
        <v>433</v>
      </c>
      <c r="Q67" s="3" t="s">
        <v>434</v>
      </c>
      <c r="R67" s="6">
        <v>0.025</v>
      </c>
      <c r="S67" s="3" t="s">
        <v>435</v>
      </c>
      <c r="T67" s="3" t="s">
        <v>436</v>
      </c>
      <c r="U67" s="3" t="s">
        <v>437</v>
      </c>
      <c r="V67" s="6">
        <v>0.56</v>
      </c>
      <c r="W67" s="6">
        <v>0.01</v>
      </c>
      <c r="X67" s="3" t="s">
        <v>438</v>
      </c>
      <c r="Y67" s="6">
        <v>0.134</v>
      </c>
      <c r="Z67" s="6">
        <v>0.478</v>
      </c>
      <c r="AA67" s="6">
        <v>0.104</v>
      </c>
      <c r="AB67" s="6">
        <v>0.079</v>
      </c>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5.75" customHeight="1">
      <c r="A69" s="1"/>
      <c r="B69" s="1"/>
      <c r="C69" s="5"/>
      <c r="D69" s="1"/>
      <c r="E69" s="1"/>
      <c r="F69" s="1"/>
      <c r="G69" s="1"/>
      <c r="H69" s="1"/>
      <c r="I69" s="1"/>
      <c r="J69" s="1"/>
      <c r="K69" s="1"/>
      <c r="L69" s="1"/>
      <c r="M69" s="1"/>
      <c r="N69" s="1"/>
      <c r="O69" s="1"/>
      <c r="P69" s="1"/>
      <c r="Q69" s="1"/>
      <c r="R69" s="1"/>
      <c r="S69" s="1"/>
      <c r="T69" s="1"/>
      <c r="U69" s="1"/>
      <c r="V69" s="1"/>
      <c r="W69" s="1"/>
      <c r="X69" s="1"/>
      <c r="Y69" s="1"/>
      <c r="Z69" s="1"/>
      <c r="AA69" s="1"/>
      <c r="AB69" s="1"/>
    </row>
    <row r="70" ht="15.75" customHeight="1">
      <c r="A70" s="1"/>
      <c r="B70" s="1"/>
      <c r="C70" s="5"/>
      <c r="D70" s="1"/>
      <c r="E70" s="1"/>
      <c r="F70" s="1"/>
      <c r="G70" s="1"/>
      <c r="H70" s="1"/>
      <c r="I70" s="1"/>
      <c r="J70" s="1"/>
      <c r="K70" s="1"/>
      <c r="L70" s="1"/>
      <c r="M70" s="1"/>
      <c r="N70" s="1"/>
      <c r="O70" s="1"/>
      <c r="P70" s="1"/>
      <c r="Q70" s="1"/>
      <c r="R70" s="1"/>
      <c r="S70" s="1"/>
      <c r="T70" s="1"/>
      <c r="U70" s="1"/>
      <c r="V70" s="1"/>
      <c r="W70" s="1"/>
      <c r="X70" s="1"/>
      <c r="Y70" s="1"/>
      <c r="Z70" s="1"/>
      <c r="AA70" s="1"/>
      <c r="AB70" s="1"/>
    </row>
    <row r="71" ht="15.75" customHeight="1">
      <c r="A71" s="1"/>
      <c r="B71" s="1"/>
      <c r="C71" s="5"/>
      <c r="D71" s="1"/>
      <c r="E71" s="1"/>
      <c r="F71" s="1"/>
      <c r="G71" s="1"/>
      <c r="H71" s="1"/>
      <c r="I71" s="1"/>
      <c r="J71" s="1"/>
      <c r="K71" s="1"/>
      <c r="L71" s="1"/>
      <c r="M71" s="1"/>
      <c r="N71" s="1"/>
      <c r="O71" s="1"/>
      <c r="P71" s="1"/>
      <c r="Q71" s="1"/>
      <c r="R71" s="1"/>
      <c r="S71" s="1"/>
      <c r="T71" s="1"/>
      <c r="U71" s="1"/>
      <c r="V71" s="1"/>
      <c r="W71" s="1"/>
      <c r="X71" s="1"/>
      <c r="Y71" s="1"/>
      <c r="Z71" s="1"/>
      <c r="AA71" s="1"/>
      <c r="AB71" s="1"/>
    </row>
    <row r="72" ht="15.75" customHeight="1">
      <c r="A72" s="1"/>
      <c r="B72" s="1"/>
      <c r="C72" s="5"/>
      <c r="D72" s="1"/>
      <c r="E72" s="1"/>
      <c r="F72" s="1"/>
      <c r="G72" s="1"/>
      <c r="H72" s="1"/>
      <c r="I72" s="1"/>
      <c r="J72" s="1"/>
      <c r="K72" s="1"/>
      <c r="L72" s="1"/>
      <c r="M72" s="1"/>
      <c r="N72" s="1"/>
      <c r="O72" s="1"/>
      <c r="P72" s="1"/>
      <c r="Q72" s="1"/>
      <c r="R72" s="1"/>
      <c r="S72" s="1"/>
      <c r="T72" s="1"/>
      <c r="U72" s="1"/>
      <c r="V72" s="1"/>
      <c r="W72" s="1"/>
      <c r="X72" s="1"/>
      <c r="Y72" s="1"/>
      <c r="Z72" s="1"/>
      <c r="AA72" s="1"/>
      <c r="AB72" s="1"/>
    </row>
    <row r="73" ht="15.75" customHeight="1">
      <c r="A73" s="1"/>
      <c r="B73" s="1"/>
      <c r="C73" s="5"/>
      <c r="D73" s="1"/>
      <c r="E73" s="5"/>
      <c r="F73" s="5"/>
      <c r="G73" s="1"/>
      <c r="H73" s="6"/>
      <c r="I73" s="1"/>
      <c r="J73" s="1"/>
      <c r="K73" s="6"/>
      <c r="L73" s="1"/>
      <c r="M73" s="1"/>
      <c r="N73" s="1"/>
      <c r="O73" s="6"/>
      <c r="P73" s="6"/>
      <c r="Q73" s="1"/>
      <c r="R73" s="6"/>
      <c r="S73" s="6"/>
      <c r="T73" s="6"/>
      <c r="U73" s="6"/>
      <c r="V73" s="1"/>
      <c r="W73" s="1"/>
      <c r="X73" s="1"/>
      <c r="Y73" s="1"/>
      <c r="Z73" s="1"/>
      <c r="AA73" s="1"/>
      <c r="AB73" s="1"/>
    </row>
    <row r="74" ht="15.75" customHeight="1">
      <c r="A74" s="1"/>
      <c r="B74" s="1"/>
      <c r="C74" s="5"/>
      <c r="D74" s="1"/>
      <c r="E74" s="5"/>
      <c r="F74" s="5"/>
      <c r="G74" s="1"/>
      <c r="H74" s="6"/>
      <c r="I74" s="1"/>
      <c r="J74" s="1"/>
      <c r="K74" s="6"/>
      <c r="L74" s="1"/>
      <c r="M74" s="1"/>
      <c r="N74" s="1"/>
      <c r="O74" s="6"/>
      <c r="P74" s="6"/>
      <c r="Q74" s="1"/>
      <c r="R74" s="6"/>
      <c r="S74" s="6"/>
      <c r="T74" s="6"/>
      <c r="U74" s="6"/>
      <c r="V74" s="1"/>
      <c r="W74" s="1"/>
      <c r="X74" s="1"/>
      <c r="Y74" s="1"/>
      <c r="Z74" s="1"/>
      <c r="AA74" s="1"/>
      <c r="AB74" s="1"/>
    </row>
    <row r="75" ht="15.75" customHeight="1">
      <c r="A75" s="1"/>
      <c r="B75" s="1"/>
      <c r="C75" s="5"/>
      <c r="D75" s="1"/>
      <c r="E75" s="5"/>
      <c r="F75" s="5"/>
      <c r="G75" s="1"/>
      <c r="H75" s="6"/>
      <c r="I75" s="1"/>
      <c r="J75" s="1"/>
      <c r="K75" s="6"/>
      <c r="L75" s="1"/>
      <c r="M75" s="1"/>
      <c r="N75" s="1"/>
      <c r="O75" s="6"/>
      <c r="P75" s="1"/>
      <c r="Q75" s="1"/>
      <c r="R75" s="6"/>
      <c r="S75" s="6"/>
      <c r="T75" s="6"/>
      <c r="U75" s="6"/>
      <c r="V75" s="1"/>
      <c r="W75" s="1"/>
      <c r="X75" s="1"/>
      <c r="Y75" s="1"/>
      <c r="Z75" s="1"/>
      <c r="AA75" s="1"/>
      <c r="AB75" s="1"/>
    </row>
    <row r="76" ht="15.75" customHeight="1">
      <c r="A76" s="1"/>
      <c r="B76" s="1"/>
      <c r="C76" s="5"/>
      <c r="D76" s="1"/>
      <c r="E76" s="5"/>
      <c r="F76" s="5"/>
      <c r="G76" s="1"/>
      <c r="H76" s="6"/>
      <c r="I76" s="1"/>
      <c r="J76" s="1"/>
      <c r="K76" s="6"/>
      <c r="L76" s="1"/>
      <c r="M76" s="1"/>
      <c r="N76" s="1"/>
      <c r="O76" s="6"/>
      <c r="P76" s="6"/>
      <c r="Q76" s="1"/>
      <c r="R76" s="6"/>
      <c r="S76" s="6"/>
      <c r="T76" s="6"/>
      <c r="U76" s="6"/>
      <c r="V76" s="1"/>
      <c r="W76" s="1"/>
      <c r="X76" s="1"/>
      <c r="Y76" s="1"/>
      <c r="Z76" s="1"/>
      <c r="AA76" s="1"/>
      <c r="AB76" s="1"/>
    </row>
    <row r="77" ht="15.75" customHeight="1">
      <c r="A77" s="1"/>
      <c r="B77" s="1"/>
      <c r="C77" s="5"/>
      <c r="D77" s="1"/>
      <c r="E77" s="5"/>
      <c r="F77" s="5"/>
      <c r="G77" s="1"/>
      <c r="H77" s="6"/>
      <c r="I77" s="1"/>
      <c r="J77" s="1"/>
      <c r="K77" s="6"/>
      <c r="L77" s="1"/>
      <c r="M77" s="1"/>
      <c r="N77" s="1"/>
      <c r="O77" s="6"/>
      <c r="P77" s="6"/>
      <c r="Q77" s="1"/>
      <c r="R77" s="6"/>
      <c r="S77" s="6"/>
      <c r="T77" s="6"/>
      <c r="U77" s="6"/>
      <c r="V77" s="1"/>
      <c r="W77" s="1"/>
      <c r="X77" s="1"/>
      <c r="Y77" s="1"/>
      <c r="Z77" s="1"/>
      <c r="AA77" s="1"/>
      <c r="AB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18.71"/>
    <col customWidth="1" min="3" max="8" width="8.71"/>
    <col customWidth="1" min="9" max="9" width="21.57"/>
    <col customWidth="1" min="10" max="11" width="20.43"/>
    <col customWidth="1" min="12" max="12" width="24.43"/>
    <col customWidth="1" min="13" max="26" width="8.71"/>
  </cols>
  <sheetData>
    <row r="1">
      <c r="A1" s="4" t="s">
        <v>439</v>
      </c>
      <c r="B1" s="4" t="s">
        <v>440</v>
      </c>
      <c r="C1" s="4" t="s">
        <v>441</v>
      </c>
      <c r="D1" s="4" t="s">
        <v>442</v>
      </c>
      <c r="E1" s="4" t="s">
        <v>443</v>
      </c>
      <c r="F1" s="4" t="s">
        <v>444</v>
      </c>
      <c r="G1" s="4" t="s">
        <v>445</v>
      </c>
      <c r="H1" s="4" t="s">
        <v>446</v>
      </c>
      <c r="I1" s="4" t="s">
        <v>447</v>
      </c>
      <c r="J1" s="4" t="s">
        <v>448</v>
      </c>
      <c r="K1" s="4" t="s">
        <v>449</v>
      </c>
      <c r="L1" s="4" t="s">
        <v>450</v>
      </c>
    </row>
    <row r="2">
      <c r="A2" s="3">
        <v>13.76325952727222</v>
      </c>
      <c r="B2" s="3">
        <v>2818.133</v>
      </c>
      <c r="C2" s="3">
        <f>COUNTA(Trades!$A3:A1048576)</f>
        <v>397</v>
      </c>
      <c r="D2" s="3">
        <f>COUNTIF(Trades!$J3:J912,"&gt;0")</f>
        <v>210</v>
      </c>
      <c r="E2" s="5">
        <f>AVERAGEIF(Trades!$J3:J912,"&gt;0")*100</f>
        <v>44.92158612</v>
      </c>
      <c r="F2" s="3">
        <f>C2-D2</f>
        <v>187</v>
      </c>
      <c r="G2" s="5">
        <f>AVERAGEIF(Trades!$J3:J912,"&lt;0")*100</f>
        <v>-14.05533423</v>
      </c>
      <c r="H2" s="3">
        <v>-20.95</v>
      </c>
      <c r="I2" s="3">
        <v>-6.504027154204806</v>
      </c>
      <c r="J2" s="3">
        <v>-12.49690544627062</v>
      </c>
      <c r="K2" s="3">
        <v>-6.260859576365929</v>
      </c>
      <c r="L2" s="3">
        <v>3.5355651</v>
      </c>
    </row>
    <row r="3">
      <c r="A3" s="1"/>
      <c r="B3" s="1"/>
      <c r="I3" s="1"/>
      <c r="J3" s="1"/>
      <c r="K3" s="1"/>
      <c r="L3" s="1"/>
    </row>
    <row r="4">
      <c r="A4" s="1"/>
      <c r="B4" s="1"/>
      <c r="I4" s="1"/>
      <c r="J4" s="6"/>
      <c r="K4" s="1"/>
      <c r="L4" s="1"/>
    </row>
    <row r="5">
      <c r="A5" s="1"/>
      <c r="B5" s="1"/>
      <c r="I5" s="1"/>
      <c r="J5" s="6"/>
      <c r="K5" s="1"/>
      <c r="L5" s="1"/>
    </row>
    <row r="6">
      <c r="A6" s="1"/>
      <c r="B6" s="1"/>
      <c r="I6" s="1"/>
      <c r="J6" s="6"/>
      <c r="K6" s="1"/>
      <c r="L6" s="1"/>
    </row>
    <row r="7">
      <c r="A7" s="1"/>
      <c r="B7" s="1"/>
      <c r="I7" s="1"/>
      <c r="J7" s="1"/>
      <c r="K7" s="1"/>
      <c r="L7" s="1"/>
    </row>
    <row r="8">
      <c r="A8" s="1"/>
      <c r="B8" s="1"/>
      <c r="I8" s="1"/>
      <c r="J8" s="1"/>
      <c r="K8" s="1"/>
      <c r="L8" s="1"/>
    </row>
    <row r="9">
      <c r="A9" s="1"/>
      <c r="B9" s="1"/>
      <c r="I9" s="1"/>
      <c r="J9" s="1"/>
      <c r="K9" s="1"/>
      <c r="L9" s="1"/>
    </row>
    <row r="10">
      <c r="A10" s="1"/>
      <c r="B10" s="1"/>
      <c r="I10" s="1"/>
      <c r="J10" s="1"/>
      <c r="K10" s="1"/>
      <c r="L10" s="1"/>
    </row>
    <row r="11">
      <c r="A11" s="1"/>
      <c r="B11" s="1"/>
      <c r="I11" s="1"/>
      <c r="J11" s="1"/>
      <c r="K11" s="1"/>
      <c r="L11" s="1"/>
    </row>
    <row r="12">
      <c r="A12" s="1"/>
      <c r="B12" s="1"/>
      <c r="I12" s="1"/>
      <c r="J12" s="1"/>
      <c r="K12" s="1"/>
      <c r="L12" s="1"/>
    </row>
    <row r="13">
      <c r="A13" s="1"/>
      <c r="B13" s="1"/>
      <c r="I13" s="1"/>
      <c r="J13" s="1"/>
      <c r="K13" s="1"/>
      <c r="L13" s="1"/>
    </row>
    <row r="14">
      <c r="A14" s="1"/>
      <c r="B14" s="1"/>
      <c r="I14" s="1"/>
      <c r="J14" s="1"/>
      <c r="K14" s="1"/>
      <c r="L14" s="1"/>
    </row>
    <row r="15">
      <c r="A15" s="1"/>
      <c r="B15" s="1"/>
      <c r="I15" s="1"/>
      <c r="J15" s="1"/>
      <c r="K15" s="1"/>
      <c r="L15" s="1"/>
    </row>
    <row r="16">
      <c r="A16" s="1"/>
      <c r="B16" s="1"/>
      <c r="I16" s="1"/>
      <c r="J16" s="1"/>
      <c r="K16" s="1"/>
      <c r="L16" s="1"/>
    </row>
    <row r="17">
      <c r="A17" s="1"/>
      <c r="B17" s="1"/>
      <c r="I17" s="1"/>
      <c r="J17" s="1"/>
      <c r="K17" s="1"/>
      <c r="L17" s="1"/>
    </row>
    <row r="18">
      <c r="A18" s="1"/>
      <c r="B18" s="1"/>
      <c r="I18" s="11"/>
      <c r="J18" s="11"/>
      <c r="K18" s="11"/>
      <c r="L18" s="1"/>
    </row>
    <row r="19">
      <c r="A19" s="1"/>
      <c r="B19" s="1"/>
      <c r="I19" s="1"/>
      <c r="J19" s="1"/>
      <c r="K19" s="1"/>
      <c r="L19" s="1"/>
    </row>
    <row r="20">
      <c r="A20" s="1"/>
      <c r="B20" s="1"/>
      <c r="I20" s="1"/>
      <c r="J20" s="1"/>
      <c r="K20" s="1"/>
      <c r="L20" s="1"/>
    </row>
    <row r="21" ht="15.75" customHeight="1">
      <c r="A21" s="1"/>
      <c r="B21" s="1"/>
      <c r="I21" s="1"/>
      <c r="J21" s="1"/>
      <c r="K21" s="1"/>
      <c r="L21" s="1"/>
    </row>
    <row r="22" ht="15.75" customHeight="1">
      <c r="A22" s="1"/>
      <c r="B22" s="1"/>
      <c r="I22" s="1"/>
      <c r="J22" s="1"/>
      <c r="K22" s="1"/>
      <c r="L22" s="1"/>
    </row>
    <row r="23" ht="15.75" customHeight="1">
      <c r="A23" s="1"/>
      <c r="B23" s="1"/>
      <c r="I23" s="1"/>
      <c r="J23" s="1"/>
      <c r="K23" s="1"/>
      <c r="L23" s="1"/>
    </row>
    <row r="24" ht="15.75" customHeight="1">
      <c r="A24" s="1"/>
      <c r="B24" s="1"/>
      <c r="I24" s="1"/>
      <c r="J24" s="1"/>
      <c r="K24" s="1"/>
      <c r="L24" s="1"/>
    </row>
    <row r="25" ht="15.75" customHeight="1">
      <c r="A25" s="1"/>
      <c r="B25" s="1"/>
      <c r="I25" s="1"/>
      <c r="J25" s="1"/>
      <c r="K25" s="1"/>
      <c r="L25" s="1"/>
    </row>
    <row r="26" ht="15.75" customHeight="1">
      <c r="A26" s="1"/>
      <c r="B26" s="1"/>
      <c r="I26" s="1"/>
      <c r="J26" s="1"/>
      <c r="K26" s="1"/>
      <c r="L26" s="1"/>
    </row>
    <row r="27" ht="15.75" customHeight="1">
      <c r="A27" s="1"/>
      <c r="B27" s="1"/>
      <c r="I27" s="1"/>
      <c r="J27" s="1"/>
      <c r="K27" s="1"/>
      <c r="L27" s="1"/>
    </row>
    <row r="28" ht="15.75" customHeight="1">
      <c r="A28" s="1"/>
      <c r="B28" s="1"/>
      <c r="I28" s="1"/>
      <c r="J28" s="1"/>
      <c r="K28" s="1"/>
      <c r="L28" s="1"/>
    </row>
    <row r="29" ht="15.75" customHeight="1">
      <c r="A29" s="1"/>
      <c r="B29" s="1"/>
      <c r="I29" s="1"/>
      <c r="J29" s="1"/>
      <c r="K29" s="1"/>
      <c r="L29" s="1"/>
    </row>
    <row r="30" ht="15.75" customHeight="1">
      <c r="A30" s="1"/>
      <c r="B30" s="1"/>
      <c r="I30" s="1"/>
      <c r="J30" s="1"/>
      <c r="K30" s="1"/>
      <c r="L30" s="1"/>
    </row>
    <row r="31" ht="15.75" customHeight="1">
      <c r="A31" s="1"/>
      <c r="B31" s="1"/>
      <c r="I31" s="1"/>
      <c r="J31" s="1"/>
      <c r="K31" s="1"/>
      <c r="L31" s="1"/>
    </row>
    <row r="32" ht="15.75" customHeight="1">
      <c r="A32" s="1"/>
      <c r="B32" s="1"/>
      <c r="I32" s="1"/>
      <c r="J32" s="1"/>
      <c r="K32" s="1"/>
      <c r="L32" s="1"/>
    </row>
    <row r="33" ht="15.75" customHeight="1">
      <c r="A33" s="1"/>
      <c r="B33" s="1"/>
      <c r="I33" s="1"/>
      <c r="J33" s="1"/>
      <c r="K33" s="1"/>
      <c r="L33" s="1"/>
    </row>
    <row r="34" ht="15.75" customHeight="1">
      <c r="A34" s="1"/>
      <c r="B34" s="1"/>
      <c r="I34" s="1"/>
      <c r="J34" s="1"/>
      <c r="K34" s="1"/>
      <c r="L34" s="1"/>
    </row>
    <row r="35" ht="15.75" customHeight="1">
      <c r="A35" s="1"/>
      <c r="B35" s="1"/>
      <c r="I35" s="1"/>
      <c r="J35" s="1"/>
      <c r="K35" s="1"/>
      <c r="L35" s="1"/>
    </row>
    <row r="36" ht="15.75" customHeight="1">
      <c r="A36" s="1"/>
      <c r="B36" s="1"/>
      <c r="I36" s="1"/>
      <c r="J36" s="1"/>
      <c r="K36" s="1"/>
      <c r="L36" s="1"/>
    </row>
    <row r="37" ht="15.75" customHeight="1">
      <c r="A37" s="1"/>
      <c r="B37" s="1"/>
      <c r="I37" s="1"/>
      <c r="J37" s="1"/>
      <c r="K37" s="1"/>
      <c r="L37" s="1"/>
    </row>
    <row r="38" ht="15.75" customHeight="1">
      <c r="A38" s="1"/>
      <c r="B38" s="1"/>
      <c r="I38" s="1"/>
      <c r="J38" s="1"/>
      <c r="K38" s="1"/>
      <c r="L38" s="1"/>
    </row>
    <row r="39" ht="15.75" customHeight="1">
      <c r="A39" s="1"/>
      <c r="B39" s="1"/>
      <c r="I39" s="1"/>
      <c r="J39" s="1"/>
      <c r="K39" s="1"/>
      <c r="L39" s="1"/>
    </row>
    <row r="40" ht="15.75" customHeight="1">
      <c r="A40" s="1"/>
      <c r="B40" s="1"/>
      <c r="I40" s="1"/>
      <c r="J40" s="1"/>
      <c r="K40" s="1"/>
      <c r="L40" s="1"/>
    </row>
    <row r="41" ht="15.75" customHeight="1">
      <c r="A41" s="1"/>
      <c r="B41" s="1"/>
      <c r="I41" s="1"/>
      <c r="J41" s="1"/>
      <c r="K41" s="1"/>
      <c r="L41" s="1"/>
    </row>
    <row r="42" ht="15.75" customHeight="1">
      <c r="A42" s="1"/>
      <c r="B42" s="1"/>
      <c r="I42" s="1"/>
      <c r="J42" s="1"/>
      <c r="K42" s="1"/>
      <c r="L42" s="1"/>
    </row>
    <row r="43" ht="15.75" customHeight="1">
      <c r="A43" s="1"/>
      <c r="B43" s="1"/>
      <c r="I43" s="1"/>
      <c r="J43" s="1"/>
      <c r="K43" s="1"/>
      <c r="L43" s="1"/>
    </row>
    <row r="44" ht="15.75" customHeight="1">
      <c r="A44" s="1"/>
      <c r="B44" s="1"/>
      <c r="I44" s="1"/>
      <c r="J44" s="1"/>
      <c r="K44" s="1"/>
      <c r="L44" s="1"/>
    </row>
    <row r="45" ht="15.75" customHeight="1">
      <c r="A45" s="1"/>
      <c r="B45" s="1"/>
      <c r="I45" s="1"/>
      <c r="J45" s="1"/>
      <c r="K45" s="1"/>
      <c r="L45" s="1"/>
    </row>
    <row r="46" ht="15.75" customHeight="1">
      <c r="A46" s="1"/>
      <c r="B46" s="1"/>
      <c r="I46" s="1"/>
      <c r="J46" s="1"/>
      <c r="K46" s="1"/>
      <c r="L46" s="1"/>
    </row>
    <row r="47" ht="15.75" customHeight="1">
      <c r="A47" s="1"/>
      <c r="B47" s="1"/>
      <c r="I47" s="1"/>
      <c r="J47" s="1"/>
      <c r="K47" s="1"/>
      <c r="L47" s="1"/>
    </row>
    <row r="48" ht="15.75" customHeight="1">
      <c r="A48" s="1"/>
      <c r="B48" s="1"/>
      <c r="I48" s="1"/>
      <c r="J48" s="1"/>
      <c r="K48" s="1"/>
      <c r="L48" s="1"/>
    </row>
    <row r="49" ht="15.75" customHeight="1">
      <c r="A49" s="1"/>
      <c r="B49" s="1"/>
      <c r="I49" s="1"/>
      <c r="J49" s="1"/>
      <c r="K49" s="1"/>
      <c r="L49" s="1"/>
    </row>
    <row r="50" ht="15.75" customHeight="1">
      <c r="A50" s="1"/>
      <c r="B50" s="1"/>
      <c r="I50" s="1"/>
      <c r="J50" s="1"/>
      <c r="K50" s="1"/>
      <c r="L50" s="1"/>
    </row>
    <row r="51" ht="15.75" customHeight="1">
      <c r="A51" s="1"/>
      <c r="B51" s="1"/>
      <c r="I51" s="1"/>
      <c r="J51" s="1"/>
      <c r="K51" s="1"/>
      <c r="L51" s="1"/>
    </row>
    <row r="52" ht="15.75" customHeight="1">
      <c r="A52" s="1"/>
      <c r="B52" s="1"/>
      <c r="I52" s="1"/>
      <c r="J52" s="1"/>
      <c r="K52" s="1"/>
      <c r="L52" s="1"/>
    </row>
    <row r="53" ht="15.75" customHeight="1">
      <c r="A53" s="1"/>
      <c r="B53" s="1"/>
      <c r="I53" s="1"/>
      <c r="J53" s="1"/>
      <c r="K53" s="1"/>
      <c r="L53" s="1"/>
    </row>
    <row r="54" ht="15.75" customHeight="1">
      <c r="A54" s="1"/>
      <c r="B54" s="1"/>
      <c r="I54" s="1"/>
      <c r="J54" s="1"/>
      <c r="K54" s="1"/>
      <c r="L54" s="1"/>
    </row>
    <row r="55" ht="15.75" customHeight="1">
      <c r="A55" s="1"/>
      <c r="B55" s="1"/>
      <c r="I55" s="1"/>
      <c r="J55" s="1"/>
      <c r="K55" s="1"/>
      <c r="L55" s="1"/>
    </row>
    <row r="56" ht="15.75" customHeight="1">
      <c r="A56" s="1"/>
      <c r="B56" s="1"/>
      <c r="I56" s="1"/>
      <c r="J56" s="1"/>
      <c r="K56" s="1"/>
      <c r="L56" s="1"/>
    </row>
    <row r="57" ht="15.75" customHeight="1">
      <c r="A57" s="1"/>
      <c r="B57" s="1"/>
      <c r="I57" s="1"/>
      <c r="J57" s="1"/>
      <c r="K57" s="1"/>
      <c r="L57" s="1"/>
    </row>
    <row r="58" ht="15.75" customHeight="1">
      <c r="A58" s="1"/>
      <c r="B58" s="1"/>
      <c r="I58" s="1"/>
      <c r="J58" s="1"/>
      <c r="K58" s="1"/>
      <c r="L58" s="1"/>
    </row>
    <row r="59" ht="15.75" customHeight="1">
      <c r="A59" s="1"/>
      <c r="B59" s="1"/>
      <c r="I59" s="1"/>
      <c r="J59" s="1"/>
      <c r="K59" s="1"/>
      <c r="L59" s="1"/>
    </row>
    <row r="60" ht="15.75" customHeight="1">
      <c r="A60" s="1"/>
      <c r="B60" s="1"/>
      <c r="I60" s="1"/>
      <c r="J60" s="1"/>
      <c r="K60" s="1"/>
      <c r="L60" s="1"/>
    </row>
    <row r="61" ht="15.75" customHeight="1">
      <c r="A61" s="1"/>
      <c r="B61" s="1"/>
      <c r="I61" s="1"/>
      <c r="J61" s="1"/>
      <c r="K61" s="1"/>
      <c r="L61" s="1"/>
    </row>
    <row r="62" ht="15.75" customHeight="1">
      <c r="A62" s="1"/>
      <c r="B62" s="1"/>
      <c r="I62" s="1"/>
      <c r="J62" s="1"/>
      <c r="K62" s="1"/>
      <c r="L62" s="1"/>
    </row>
    <row r="63" ht="15.75" customHeight="1">
      <c r="A63" s="1"/>
      <c r="B63" s="1"/>
      <c r="I63" s="1"/>
      <c r="J63" s="1"/>
      <c r="K63" s="1"/>
      <c r="L63" s="1"/>
    </row>
    <row r="64" ht="15.75" customHeight="1">
      <c r="A64" s="1"/>
      <c r="B64" s="1"/>
      <c r="I64" s="1"/>
      <c r="J64" s="1"/>
      <c r="K64" s="1"/>
      <c r="L64" s="1"/>
    </row>
    <row r="65" ht="15.75" customHeight="1">
      <c r="A65" s="1"/>
      <c r="B65" s="1"/>
      <c r="I65" s="1"/>
      <c r="J65" s="1"/>
      <c r="K65" s="1"/>
      <c r="L65" s="1"/>
    </row>
    <row r="66" ht="15.75" customHeight="1">
      <c r="A66" s="1"/>
      <c r="B66" s="1"/>
      <c r="I66" s="1"/>
      <c r="J66" s="1"/>
      <c r="K66" s="1"/>
      <c r="L66" s="1"/>
    </row>
    <row r="67" ht="15.75" customHeight="1">
      <c r="A67" s="1"/>
      <c r="B67" s="1"/>
      <c r="I67" s="1"/>
      <c r="J67" s="1"/>
      <c r="K67" s="1"/>
      <c r="L67" s="1"/>
    </row>
    <row r="68" ht="15.75" customHeight="1">
      <c r="A68" s="1"/>
      <c r="B68" s="1"/>
      <c r="I68" s="1"/>
      <c r="J68" s="1"/>
      <c r="K68" s="1"/>
      <c r="L68" s="1"/>
    </row>
    <row r="69" ht="15.75" customHeight="1">
      <c r="A69" s="1"/>
      <c r="B69" s="1"/>
      <c r="I69" s="1"/>
      <c r="J69" s="1"/>
      <c r="K69" s="1"/>
      <c r="L69" s="1"/>
    </row>
    <row r="70" ht="15.75" customHeight="1">
      <c r="A70" s="1"/>
      <c r="B70" s="1"/>
      <c r="I70" s="1"/>
      <c r="J70" s="1"/>
      <c r="K70" s="1"/>
      <c r="L70" s="1"/>
    </row>
    <row r="71" ht="15.75" customHeight="1">
      <c r="A71" s="1"/>
      <c r="B71" s="1"/>
      <c r="I71" s="1"/>
      <c r="J71" s="1"/>
      <c r="K71" s="1"/>
      <c r="L71" s="1"/>
    </row>
    <row r="72" ht="15.75" customHeight="1">
      <c r="A72" s="1"/>
      <c r="B72" s="1"/>
      <c r="I72" s="1"/>
      <c r="J72" s="1"/>
      <c r="K72" s="1"/>
      <c r="L72" s="1"/>
    </row>
    <row r="73" ht="15.75" customHeight="1">
      <c r="A73" s="1"/>
      <c r="B73" s="1"/>
      <c r="I73" s="1"/>
      <c r="J73" s="1"/>
      <c r="K73" s="1"/>
      <c r="L73" s="1"/>
    </row>
    <row r="74" ht="15.75" customHeight="1">
      <c r="A74" s="1"/>
      <c r="B74" s="1"/>
      <c r="I74" s="1"/>
      <c r="J74" s="1"/>
      <c r="K74" s="1"/>
      <c r="L74" s="1"/>
    </row>
    <row r="75" ht="15.75" customHeight="1">
      <c r="A75" s="1"/>
      <c r="B75" s="1"/>
      <c r="I75" s="1"/>
      <c r="J75" s="1"/>
      <c r="K75" s="1"/>
      <c r="L75" s="1"/>
    </row>
    <row r="76" ht="15.75" customHeight="1">
      <c r="A76" s="1"/>
      <c r="B76" s="1"/>
      <c r="I76" s="1"/>
      <c r="J76" s="1"/>
      <c r="K76" s="1"/>
      <c r="L76" s="1"/>
    </row>
    <row r="77" ht="15.75" customHeight="1">
      <c r="A77" s="1"/>
      <c r="B77" s="1"/>
      <c r="I77" s="1"/>
      <c r="J77" s="1"/>
      <c r="K77" s="1"/>
      <c r="L77" s="1"/>
    </row>
    <row r="78" ht="15.75" customHeight="1">
      <c r="A78" s="1"/>
      <c r="B78" s="1"/>
      <c r="I78" s="1"/>
      <c r="J78" s="1"/>
      <c r="K78" s="1"/>
      <c r="L78" s="1"/>
    </row>
    <row r="79" ht="15.75" customHeight="1">
      <c r="A79" s="1"/>
      <c r="B79" s="1"/>
      <c r="I79" s="1"/>
      <c r="J79" s="1"/>
      <c r="K79" s="1"/>
      <c r="L79" s="1"/>
    </row>
    <row r="80" ht="15.75" customHeight="1">
      <c r="A80" s="1"/>
      <c r="B80" s="1"/>
      <c r="I80" s="1"/>
      <c r="J80" s="1"/>
      <c r="K80" s="1"/>
      <c r="L80" s="1"/>
    </row>
    <row r="81" ht="15.75" customHeight="1">
      <c r="A81" s="1"/>
      <c r="B81" s="1"/>
      <c r="I81" s="1"/>
      <c r="J81" s="1"/>
      <c r="K81" s="1"/>
      <c r="L81" s="1"/>
    </row>
    <row r="82" ht="15.75" customHeight="1">
      <c r="A82" s="1"/>
      <c r="B82" s="1"/>
      <c r="I82" s="1"/>
      <c r="J82" s="1"/>
      <c r="K82" s="1"/>
      <c r="L82" s="1"/>
    </row>
    <row r="83" ht="15.75" customHeight="1">
      <c r="A83" s="1"/>
      <c r="B83" s="1"/>
      <c r="I83" s="1"/>
      <c r="J83" s="1"/>
      <c r="K83" s="1"/>
      <c r="L83" s="1"/>
    </row>
    <row r="84" ht="15.75" customHeight="1">
      <c r="A84" s="1"/>
      <c r="B84" s="1"/>
      <c r="I84" s="1"/>
      <c r="J84" s="1"/>
      <c r="K84" s="1"/>
      <c r="L84" s="1"/>
    </row>
    <row r="85" ht="15.75" customHeight="1">
      <c r="A85" s="1"/>
      <c r="B85" s="1"/>
      <c r="I85" s="1"/>
      <c r="J85" s="1"/>
      <c r="K85" s="1"/>
      <c r="L85" s="1"/>
    </row>
    <row r="86" ht="15.75" customHeight="1">
      <c r="A86" s="1"/>
      <c r="B86" s="1"/>
      <c r="I86" s="1"/>
      <c r="J86" s="1"/>
      <c r="K86" s="1"/>
      <c r="L86" s="1"/>
    </row>
    <row r="87" ht="15.75" customHeight="1">
      <c r="A87" s="1"/>
      <c r="B87" s="1"/>
      <c r="I87" s="1"/>
      <c r="J87" s="1"/>
      <c r="K87" s="1"/>
      <c r="L87" s="1"/>
    </row>
    <row r="88" ht="15.75" customHeight="1">
      <c r="A88" s="1"/>
      <c r="B88" s="1"/>
      <c r="I88" s="1"/>
      <c r="J88" s="1"/>
      <c r="K88" s="1"/>
      <c r="L88" s="1"/>
    </row>
    <row r="89" ht="15.75" customHeight="1">
      <c r="A89" s="1"/>
      <c r="B89" s="1"/>
      <c r="I89" s="1"/>
      <c r="J89" s="1"/>
      <c r="K89" s="1"/>
      <c r="L89" s="1"/>
    </row>
    <row r="90" ht="15.75" customHeight="1">
      <c r="A90" s="1"/>
      <c r="B90" s="1"/>
      <c r="I90" s="1"/>
      <c r="J90" s="1"/>
      <c r="K90" s="1"/>
      <c r="L90" s="1"/>
    </row>
    <row r="91" ht="15.75" customHeight="1">
      <c r="A91" s="1"/>
      <c r="B91" s="1"/>
      <c r="I91" s="1"/>
      <c r="J91" s="1"/>
      <c r="K91" s="1"/>
      <c r="L91" s="1"/>
    </row>
    <row r="92" ht="15.75" customHeight="1">
      <c r="A92" s="1"/>
      <c r="B92" s="1"/>
      <c r="I92" s="1"/>
      <c r="J92" s="1"/>
      <c r="K92" s="1"/>
      <c r="L92" s="1"/>
    </row>
    <row r="93" ht="15.75" customHeight="1">
      <c r="A93" s="1"/>
      <c r="B93" s="1"/>
      <c r="I93" s="1"/>
      <c r="J93" s="1"/>
      <c r="K93" s="1"/>
      <c r="L93" s="1"/>
    </row>
    <row r="94" ht="15.75" customHeight="1">
      <c r="A94" s="1"/>
      <c r="B94" s="1"/>
      <c r="I94" s="1"/>
      <c r="J94" s="1"/>
      <c r="K94" s="1"/>
      <c r="L94" s="1"/>
    </row>
    <row r="95" ht="15.75" customHeight="1">
      <c r="A95" s="1"/>
      <c r="B95" s="1"/>
      <c r="I95" s="1"/>
      <c r="J95" s="1"/>
      <c r="K95" s="1"/>
      <c r="L95" s="1"/>
    </row>
    <row r="96" ht="15.75" customHeight="1">
      <c r="A96" s="1"/>
      <c r="B96" s="1"/>
      <c r="I96" s="1"/>
      <c r="J96" s="1"/>
      <c r="K96" s="1"/>
      <c r="L96" s="1"/>
    </row>
    <row r="97" ht="15.75" customHeight="1">
      <c r="A97" s="1"/>
      <c r="B97" s="1"/>
      <c r="I97" s="1"/>
      <c r="J97" s="1"/>
      <c r="K97" s="1"/>
      <c r="L97" s="1"/>
    </row>
    <row r="98" ht="15.75" customHeight="1">
      <c r="A98" s="1"/>
      <c r="B98" s="1"/>
      <c r="I98" s="1"/>
      <c r="J98" s="1"/>
      <c r="K98" s="1"/>
      <c r="L98" s="1"/>
    </row>
    <row r="99" ht="15.75" customHeight="1">
      <c r="A99" s="1"/>
      <c r="B99" s="1"/>
      <c r="I99" s="1"/>
      <c r="J99" s="1"/>
      <c r="K99" s="1"/>
      <c r="L99" s="1"/>
    </row>
    <row r="100" ht="15.75" customHeight="1">
      <c r="A100" s="1"/>
      <c r="B100" s="1"/>
      <c r="I100" s="1"/>
      <c r="J100" s="1"/>
      <c r="K100" s="1"/>
      <c r="L100" s="1"/>
    </row>
    <row r="101" ht="15.75" customHeight="1">
      <c r="A101" s="1"/>
      <c r="B101" s="1"/>
      <c r="I101" s="1"/>
      <c r="J101" s="1"/>
      <c r="K101" s="1"/>
      <c r="L101" s="1"/>
    </row>
    <row r="102" ht="15.75" customHeight="1">
      <c r="A102" s="1"/>
      <c r="B102" s="1"/>
      <c r="I102" s="1"/>
      <c r="J102" s="1"/>
      <c r="K102" s="1"/>
      <c r="L102" s="1"/>
    </row>
    <row r="103" ht="15.75" customHeight="1">
      <c r="A103" s="1"/>
      <c r="B103" s="1"/>
      <c r="I103" s="1"/>
      <c r="J103" s="1"/>
      <c r="K103" s="1"/>
      <c r="L103" s="1"/>
    </row>
    <row r="104" ht="15.75" customHeight="1">
      <c r="A104" s="1"/>
      <c r="B104" s="1"/>
      <c r="I104" s="1"/>
      <c r="J104" s="1"/>
      <c r="K104" s="1"/>
      <c r="L104" s="1"/>
    </row>
    <row r="105" ht="15.75" customHeight="1">
      <c r="A105" s="1"/>
      <c r="B105" s="1"/>
      <c r="I105" s="1"/>
      <c r="J105" s="1"/>
      <c r="K105" s="1"/>
      <c r="L105" s="1"/>
    </row>
    <row r="106" ht="15.75" customHeight="1">
      <c r="A106" s="1"/>
      <c r="B106" s="1"/>
      <c r="I106" s="1"/>
      <c r="J106" s="1"/>
      <c r="K106" s="1"/>
      <c r="L106" s="1"/>
    </row>
    <row r="107" ht="15.75" customHeight="1">
      <c r="A107" s="1"/>
      <c r="B107" s="1"/>
      <c r="I107" s="1"/>
      <c r="J107" s="1"/>
      <c r="K107" s="1"/>
      <c r="L107" s="1"/>
    </row>
    <row r="108" ht="15.75" customHeight="1">
      <c r="A108" s="1"/>
      <c r="B108" s="1"/>
      <c r="I108" s="1"/>
      <c r="J108" s="1"/>
      <c r="K108" s="1"/>
      <c r="L108" s="1"/>
    </row>
    <row r="109" ht="15.75" customHeight="1">
      <c r="A109" s="1"/>
      <c r="B109" s="1"/>
      <c r="I109" s="1"/>
      <c r="J109" s="1"/>
      <c r="K109" s="1"/>
      <c r="L109" s="1"/>
    </row>
    <row r="110" ht="15.75" customHeight="1">
      <c r="A110" s="1"/>
      <c r="B110" s="1"/>
      <c r="I110" s="1"/>
      <c r="J110" s="1"/>
      <c r="K110" s="1"/>
      <c r="L110" s="1"/>
    </row>
    <row r="111" ht="15.75" customHeight="1">
      <c r="A111" s="1"/>
      <c r="B111" s="1"/>
      <c r="I111" s="1"/>
      <c r="J111" s="1"/>
      <c r="K111" s="1"/>
      <c r="L111" s="1"/>
    </row>
    <row r="112" ht="15.75" customHeight="1">
      <c r="A112" s="1"/>
      <c r="B112" s="1"/>
      <c r="I112" s="1"/>
      <c r="J112" s="1"/>
      <c r="K112" s="1"/>
      <c r="L112" s="1"/>
    </row>
    <row r="113" ht="15.75" customHeight="1">
      <c r="A113" s="1"/>
      <c r="B113" s="1"/>
      <c r="I113" s="1"/>
      <c r="J113" s="1"/>
      <c r="K113" s="1"/>
      <c r="L113" s="1"/>
    </row>
    <row r="114" ht="15.75" customHeight="1">
      <c r="A114" s="1"/>
      <c r="B114" s="1"/>
      <c r="I114" s="1"/>
      <c r="J114" s="1"/>
      <c r="K114" s="1"/>
      <c r="L114" s="1"/>
    </row>
    <row r="115" ht="15.75" customHeight="1">
      <c r="A115" s="1"/>
      <c r="B115" s="1"/>
      <c r="I115" s="1"/>
      <c r="J115" s="1"/>
      <c r="K115" s="1"/>
      <c r="L115" s="1"/>
    </row>
    <row r="116" ht="15.75" customHeight="1">
      <c r="A116" s="1"/>
      <c r="B116" s="1"/>
      <c r="I116" s="1"/>
      <c r="J116" s="1"/>
      <c r="K116" s="1"/>
      <c r="L116" s="1"/>
    </row>
    <row r="117" ht="15.75" customHeight="1">
      <c r="A117" s="1"/>
      <c r="B117" s="1"/>
      <c r="I117" s="1"/>
      <c r="J117" s="1"/>
      <c r="K117" s="1"/>
      <c r="L117" s="1"/>
    </row>
    <row r="118" ht="15.75" customHeight="1">
      <c r="A118" s="1"/>
      <c r="B118" s="1"/>
      <c r="I118" s="1"/>
      <c r="J118" s="1"/>
      <c r="K118" s="1"/>
      <c r="L118" s="1"/>
    </row>
    <row r="119" ht="15.75" customHeight="1">
      <c r="A119" s="1"/>
      <c r="B119" s="1"/>
      <c r="I119" s="1"/>
      <c r="J119" s="1"/>
      <c r="K119" s="1"/>
      <c r="L119" s="1"/>
    </row>
    <row r="120" ht="15.75" customHeight="1">
      <c r="A120" s="1"/>
      <c r="B120" s="1"/>
      <c r="I120" s="1"/>
      <c r="J120" s="1"/>
      <c r="K120" s="1"/>
      <c r="L120" s="1"/>
    </row>
    <row r="121" ht="15.75" customHeight="1">
      <c r="A121" s="1"/>
      <c r="B121" s="1"/>
      <c r="I121" s="1"/>
      <c r="J121" s="1"/>
      <c r="K121" s="1"/>
      <c r="L121" s="1"/>
    </row>
    <row r="122" ht="15.75" customHeight="1">
      <c r="A122" s="1"/>
      <c r="B122" s="1"/>
      <c r="I122" s="1"/>
      <c r="J122" s="1"/>
      <c r="K122" s="1"/>
      <c r="L122" s="1"/>
    </row>
    <row r="123" ht="15.75" customHeight="1">
      <c r="A123" s="1"/>
      <c r="B123" s="1"/>
      <c r="I123" s="1"/>
      <c r="J123" s="1"/>
      <c r="K123" s="1"/>
      <c r="L123" s="1"/>
    </row>
    <row r="124" ht="15.75" customHeight="1">
      <c r="A124" s="1"/>
      <c r="B124" s="1"/>
      <c r="I124" s="1"/>
      <c r="J124" s="1"/>
      <c r="K124" s="1"/>
      <c r="L124" s="1"/>
    </row>
    <row r="125" ht="15.75" customHeight="1">
      <c r="A125" s="1"/>
      <c r="B125" s="1"/>
      <c r="I125" s="1"/>
      <c r="J125" s="1"/>
      <c r="K125" s="1"/>
      <c r="L125" s="1"/>
    </row>
    <row r="126" ht="15.75" customHeight="1">
      <c r="A126" s="1"/>
      <c r="B126" s="1"/>
      <c r="I126" s="1"/>
      <c r="J126" s="1"/>
      <c r="K126" s="1"/>
      <c r="L126" s="1"/>
    </row>
    <row r="127" ht="15.75" customHeight="1">
      <c r="A127" s="1"/>
      <c r="B127" s="1"/>
      <c r="I127" s="1"/>
      <c r="J127" s="1"/>
      <c r="K127" s="1"/>
      <c r="L127" s="1"/>
    </row>
    <row r="128" ht="15.75" customHeight="1">
      <c r="A128" s="1"/>
      <c r="B128" s="1"/>
      <c r="I128" s="1"/>
      <c r="J128" s="1"/>
      <c r="K128" s="1"/>
      <c r="L128" s="1"/>
    </row>
    <row r="129" ht="15.75" customHeight="1">
      <c r="A129" s="1"/>
      <c r="B129" s="1"/>
      <c r="I129" s="1"/>
      <c r="J129" s="1"/>
      <c r="K129" s="1"/>
      <c r="L129" s="1"/>
    </row>
    <row r="130" ht="15.75" customHeight="1">
      <c r="A130" s="1"/>
      <c r="B130" s="1"/>
      <c r="I130" s="1"/>
      <c r="J130" s="1"/>
      <c r="K130" s="1"/>
      <c r="L130" s="1"/>
    </row>
    <row r="131" ht="15.75" customHeight="1">
      <c r="A131" s="1"/>
      <c r="B131" s="1"/>
      <c r="I131" s="1"/>
      <c r="J131" s="1"/>
      <c r="K131" s="1"/>
      <c r="L131" s="1"/>
    </row>
    <row r="132" ht="15.75" customHeight="1">
      <c r="A132" s="1"/>
      <c r="B132" s="1"/>
      <c r="I132" s="1"/>
      <c r="J132" s="1"/>
      <c r="K132" s="1"/>
      <c r="L132" s="1"/>
    </row>
    <row r="133" ht="15.75" customHeight="1">
      <c r="A133" s="1"/>
      <c r="B133" s="1"/>
      <c r="I133" s="1"/>
      <c r="J133" s="1"/>
      <c r="K133" s="1"/>
      <c r="L133" s="1"/>
    </row>
    <row r="134" ht="15.75" customHeight="1">
      <c r="A134" s="1"/>
      <c r="B134" s="1"/>
      <c r="I134" s="1"/>
      <c r="J134" s="1"/>
      <c r="K134" s="1"/>
      <c r="L134" s="1"/>
    </row>
    <row r="135" ht="15.75" customHeight="1">
      <c r="A135" s="1"/>
      <c r="B135" s="1"/>
      <c r="I135" s="1"/>
      <c r="J135" s="1"/>
      <c r="K135" s="1"/>
      <c r="L135" s="1"/>
    </row>
    <row r="136" ht="15.75" customHeight="1">
      <c r="A136" s="1"/>
      <c r="B136" s="1"/>
      <c r="I136" s="1"/>
      <c r="J136" s="1"/>
      <c r="K136" s="1"/>
      <c r="L136" s="1"/>
    </row>
    <row r="137" ht="15.75" customHeight="1">
      <c r="A137" s="1"/>
      <c r="B137" s="1"/>
      <c r="I137" s="1"/>
      <c r="J137" s="1"/>
      <c r="K137" s="1"/>
      <c r="L137" s="1"/>
    </row>
    <row r="138" ht="15.75" customHeight="1">
      <c r="A138" s="1"/>
      <c r="B138" s="1"/>
      <c r="I138" s="1"/>
      <c r="J138" s="1"/>
      <c r="K138" s="1"/>
      <c r="L138" s="1"/>
    </row>
    <row r="139" ht="15.75" customHeight="1">
      <c r="A139" s="1"/>
      <c r="B139" s="1"/>
      <c r="I139" s="1"/>
      <c r="J139" s="1"/>
      <c r="K139" s="1"/>
      <c r="L139" s="1"/>
    </row>
    <row r="140" ht="15.75" customHeight="1">
      <c r="A140" s="1"/>
      <c r="B140" s="1"/>
      <c r="I140" s="1"/>
      <c r="J140" s="1"/>
      <c r="K140" s="1"/>
      <c r="L140" s="1"/>
    </row>
    <row r="141" ht="15.75" customHeight="1">
      <c r="A141" s="1"/>
      <c r="B141" s="1"/>
      <c r="I141" s="1"/>
      <c r="J141" s="1"/>
      <c r="K141" s="1"/>
      <c r="L141" s="1"/>
    </row>
    <row r="142" ht="15.75" customHeight="1">
      <c r="A142" s="1"/>
      <c r="B142" s="1"/>
      <c r="I142" s="1"/>
      <c r="J142" s="1"/>
      <c r="K142" s="1"/>
      <c r="L142" s="1"/>
    </row>
    <row r="143" ht="15.75" customHeight="1">
      <c r="A143" s="1"/>
      <c r="B143" s="1"/>
      <c r="I143" s="1"/>
      <c r="J143" s="1"/>
      <c r="K143" s="1"/>
      <c r="L143" s="1"/>
    </row>
    <row r="144" ht="15.75" customHeight="1">
      <c r="A144" s="1"/>
      <c r="B144" s="1"/>
      <c r="I144" s="1"/>
      <c r="J144" s="1"/>
      <c r="K144" s="1"/>
      <c r="L144" s="1"/>
    </row>
    <row r="145" ht="15.75" customHeight="1">
      <c r="A145" s="1"/>
      <c r="B145" s="1"/>
      <c r="I145" s="1"/>
      <c r="J145" s="1"/>
      <c r="K145" s="1"/>
      <c r="L145" s="1"/>
    </row>
    <row r="146" ht="15.75" customHeight="1">
      <c r="A146" s="1"/>
      <c r="B146" s="1"/>
      <c r="I146" s="1"/>
      <c r="J146" s="1"/>
      <c r="K146" s="1"/>
      <c r="L146" s="1"/>
    </row>
    <row r="147" ht="15.75" customHeight="1">
      <c r="A147" s="1"/>
      <c r="B147" s="1"/>
      <c r="I147" s="1"/>
      <c r="J147" s="1"/>
      <c r="K147" s="1"/>
      <c r="L147" s="1"/>
    </row>
    <row r="148" ht="15.75" customHeight="1">
      <c r="A148" s="1"/>
      <c r="B148" s="1"/>
      <c r="I148" s="1"/>
      <c r="J148" s="1"/>
      <c r="K148" s="1"/>
      <c r="L148" s="1"/>
    </row>
    <row r="149" ht="15.75" customHeight="1">
      <c r="A149" s="1"/>
      <c r="B149" s="1"/>
      <c r="I149" s="1"/>
      <c r="J149" s="1"/>
      <c r="K149" s="1"/>
      <c r="L149" s="1"/>
    </row>
    <row r="150" ht="15.75" customHeight="1">
      <c r="A150" s="1"/>
      <c r="B150" s="1"/>
      <c r="I150" s="1"/>
      <c r="J150" s="1"/>
      <c r="K150" s="1"/>
      <c r="L150" s="1"/>
    </row>
    <row r="151" ht="15.75" customHeight="1">
      <c r="A151" s="1"/>
      <c r="B151" s="1"/>
      <c r="I151" s="1"/>
      <c r="J151" s="1"/>
      <c r="K151" s="1"/>
      <c r="L151" s="1"/>
    </row>
    <row r="152" ht="15.75" customHeight="1">
      <c r="A152" s="1"/>
      <c r="B152" s="1"/>
      <c r="I152" s="1"/>
      <c r="J152" s="1"/>
      <c r="K152" s="1"/>
      <c r="L152" s="1"/>
    </row>
    <row r="153" ht="15.75" customHeight="1">
      <c r="A153" s="1"/>
      <c r="B153" s="1"/>
      <c r="I153" s="1"/>
      <c r="J153" s="1"/>
      <c r="K153" s="1"/>
      <c r="L153" s="1"/>
    </row>
    <row r="154" ht="15.75" customHeight="1">
      <c r="A154" s="1"/>
      <c r="B154" s="1"/>
      <c r="I154" s="1"/>
      <c r="J154" s="1"/>
      <c r="K154" s="1"/>
      <c r="L154" s="1"/>
    </row>
    <row r="155" ht="15.75" customHeight="1">
      <c r="A155" s="1"/>
      <c r="B155" s="1"/>
      <c r="I155" s="1"/>
      <c r="J155" s="1"/>
      <c r="K155" s="1"/>
      <c r="L155" s="1"/>
    </row>
    <row r="156" ht="15.75" customHeight="1">
      <c r="A156" s="1"/>
      <c r="B156" s="1"/>
      <c r="I156" s="1"/>
      <c r="J156" s="1"/>
      <c r="K156" s="1"/>
      <c r="L156" s="1"/>
    </row>
    <row r="157" ht="15.75" customHeight="1">
      <c r="A157" s="1"/>
      <c r="B157" s="1"/>
      <c r="I157" s="1"/>
      <c r="J157" s="1"/>
      <c r="K157" s="1"/>
      <c r="L157" s="1"/>
    </row>
    <row r="158" ht="15.75" customHeight="1">
      <c r="A158" s="1"/>
      <c r="B158" s="1"/>
      <c r="I158" s="1"/>
      <c r="J158" s="1"/>
      <c r="K158" s="1"/>
      <c r="L158" s="1"/>
    </row>
    <row r="159" ht="15.75" customHeight="1">
      <c r="A159" s="1"/>
      <c r="B159" s="1"/>
      <c r="I159" s="1"/>
      <c r="J159" s="1"/>
      <c r="K159" s="1"/>
      <c r="L159" s="1"/>
    </row>
    <row r="160" ht="15.75" customHeight="1">
      <c r="A160" s="1"/>
      <c r="B160" s="1"/>
      <c r="I160" s="1"/>
      <c r="J160" s="1"/>
      <c r="K160" s="1"/>
      <c r="L160" s="1"/>
    </row>
    <row r="161" ht="15.75" customHeight="1">
      <c r="A161" s="1"/>
      <c r="B161" s="1"/>
      <c r="I161" s="1"/>
      <c r="J161" s="1"/>
      <c r="K161" s="1"/>
      <c r="L161" s="1"/>
    </row>
    <row r="162" ht="15.75" customHeight="1">
      <c r="A162" s="1"/>
      <c r="B162" s="1"/>
      <c r="I162" s="1"/>
      <c r="J162" s="1"/>
      <c r="K162" s="1"/>
      <c r="L162" s="1"/>
    </row>
    <row r="163" ht="15.75" customHeight="1">
      <c r="A163" s="1"/>
      <c r="B163" s="1"/>
      <c r="I163" s="1"/>
      <c r="J163" s="1"/>
      <c r="K163" s="1"/>
      <c r="L163" s="1"/>
    </row>
    <row r="164" ht="15.75" customHeight="1">
      <c r="A164" s="1"/>
      <c r="B164" s="1"/>
      <c r="I164" s="1"/>
      <c r="J164" s="1"/>
      <c r="K164" s="1"/>
      <c r="L164" s="1"/>
    </row>
    <row r="165" ht="15.75" customHeight="1">
      <c r="A165" s="1"/>
      <c r="B165" s="1"/>
      <c r="I165" s="1"/>
      <c r="J165" s="1"/>
      <c r="K165" s="1"/>
      <c r="L165" s="1"/>
    </row>
    <row r="166" ht="15.75" customHeight="1">
      <c r="A166" s="1"/>
      <c r="B166" s="1"/>
      <c r="I166" s="1"/>
      <c r="J166" s="1"/>
      <c r="K166" s="1"/>
      <c r="L166" s="1"/>
    </row>
    <row r="167" ht="15.75" customHeight="1">
      <c r="A167" s="1"/>
      <c r="B167" s="1"/>
      <c r="I167" s="1"/>
      <c r="J167" s="1"/>
      <c r="K167" s="1"/>
      <c r="L167" s="1"/>
    </row>
    <row r="168" ht="15.75" customHeight="1">
      <c r="A168" s="1"/>
      <c r="B168" s="1"/>
      <c r="I168" s="1"/>
      <c r="J168" s="1"/>
      <c r="K168" s="1"/>
      <c r="L168" s="1"/>
    </row>
    <row r="169" ht="15.75" customHeight="1">
      <c r="A169" s="1"/>
      <c r="B169" s="1"/>
      <c r="I169" s="1"/>
      <c r="J169" s="1"/>
      <c r="K169" s="1"/>
      <c r="L169" s="1"/>
    </row>
    <row r="170" ht="15.75" customHeight="1">
      <c r="A170" s="1"/>
      <c r="B170" s="1"/>
      <c r="I170" s="1"/>
      <c r="J170" s="1"/>
      <c r="K170" s="1"/>
      <c r="L170" s="1"/>
    </row>
    <row r="171" ht="15.75" customHeight="1">
      <c r="A171" s="1"/>
      <c r="B171" s="1"/>
      <c r="I171" s="1"/>
      <c r="J171" s="1"/>
      <c r="K171" s="1"/>
      <c r="L171" s="1"/>
    </row>
    <row r="172" ht="15.75" customHeight="1">
      <c r="A172" s="1"/>
      <c r="B172" s="1"/>
      <c r="I172" s="1"/>
      <c r="J172" s="1"/>
      <c r="K172" s="1"/>
      <c r="L172" s="1"/>
    </row>
    <row r="173" ht="15.75" customHeight="1">
      <c r="A173" s="1"/>
      <c r="B173" s="1"/>
      <c r="I173" s="1"/>
      <c r="J173" s="1"/>
      <c r="K173" s="1"/>
      <c r="L173" s="1"/>
    </row>
    <row r="174" ht="15.75" customHeight="1">
      <c r="A174" s="1"/>
      <c r="B174" s="1"/>
      <c r="I174" s="1"/>
      <c r="J174" s="1"/>
      <c r="K174" s="1"/>
      <c r="L174" s="1"/>
    </row>
    <row r="175" ht="15.75" customHeight="1">
      <c r="A175" s="1"/>
      <c r="B175" s="1"/>
      <c r="I175" s="1"/>
      <c r="J175" s="1"/>
      <c r="K175" s="1"/>
      <c r="L175" s="1"/>
    </row>
    <row r="176" ht="15.75" customHeight="1">
      <c r="A176" s="1"/>
      <c r="B176" s="1"/>
      <c r="I176" s="1"/>
      <c r="J176" s="1"/>
      <c r="K176" s="1"/>
      <c r="L176" s="1"/>
    </row>
    <row r="177" ht="15.75" customHeight="1">
      <c r="A177" s="1"/>
      <c r="B177" s="1"/>
      <c r="I177" s="1"/>
      <c r="J177" s="1"/>
      <c r="K177" s="1"/>
      <c r="L177" s="1"/>
    </row>
    <row r="178" ht="15.75" customHeight="1">
      <c r="A178" s="1"/>
      <c r="B178" s="1"/>
      <c r="I178" s="1"/>
      <c r="J178" s="1"/>
      <c r="K178" s="1"/>
      <c r="L178" s="1"/>
    </row>
    <row r="179" ht="15.75" customHeight="1">
      <c r="A179" s="1"/>
      <c r="B179" s="1"/>
      <c r="I179" s="1"/>
      <c r="J179" s="1"/>
      <c r="K179" s="1"/>
      <c r="L179" s="1"/>
    </row>
    <row r="180" ht="15.75" customHeight="1">
      <c r="A180" s="1"/>
      <c r="B180" s="1"/>
      <c r="I180" s="1"/>
      <c r="J180" s="1"/>
      <c r="K180" s="1"/>
      <c r="L180" s="1"/>
    </row>
    <row r="181" ht="15.75" customHeight="1">
      <c r="A181" s="1"/>
      <c r="B181" s="1"/>
      <c r="I181" s="1"/>
      <c r="J181" s="1"/>
      <c r="K181" s="1"/>
      <c r="L181" s="1"/>
    </row>
    <row r="182" ht="15.75" customHeight="1">
      <c r="A182" s="1"/>
      <c r="B182" s="1"/>
      <c r="I182" s="1"/>
      <c r="J182" s="1"/>
      <c r="K182" s="1"/>
      <c r="L182" s="1"/>
    </row>
    <row r="183" ht="15.75" customHeight="1">
      <c r="A183" s="1"/>
      <c r="B183" s="1"/>
      <c r="I183" s="1"/>
      <c r="J183" s="1"/>
      <c r="K183" s="1"/>
      <c r="L183" s="1"/>
    </row>
    <row r="184" ht="15.75" customHeight="1">
      <c r="A184" s="1"/>
      <c r="B184" s="1"/>
      <c r="I184" s="1"/>
      <c r="J184" s="1"/>
      <c r="K184" s="1"/>
      <c r="L184" s="1"/>
    </row>
    <row r="185" ht="15.75" customHeight="1">
      <c r="A185" s="1"/>
      <c r="B185" s="1"/>
      <c r="I185" s="1"/>
      <c r="J185" s="1"/>
      <c r="K185" s="1"/>
      <c r="L185" s="1"/>
    </row>
    <row r="186" ht="15.75" customHeight="1">
      <c r="A186" s="1"/>
      <c r="B186" s="1"/>
      <c r="I186" s="1"/>
      <c r="J186" s="1"/>
      <c r="K186" s="1"/>
      <c r="L186" s="1"/>
    </row>
    <row r="187" ht="15.75" customHeight="1">
      <c r="A187" s="1"/>
      <c r="B187" s="1"/>
      <c r="I187" s="1"/>
      <c r="J187" s="1"/>
      <c r="K187" s="1"/>
      <c r="L187" s="1"/>
    </row>
    <row r="188" ht="15.75" customHeight="1">
      <c r="A188" s="1"/>
      <c r="B188" s="1"/>
      <c r="I188" s="1"/>
      <c r="J188" s="1"/>
      <c r="K188" s="1"/>
      <c r="L188" s="1"/>
    </row>
    <row r="189" ht="15.75" customHeight="1">
      <c r="A189" s="1"/>
      <c r="B189" s="1"/>
      <c r="I189" s="1"/>
      <c r="J189" s="1"/>
      <c r="K189" s="1"/>
      <c r="L189" s="1"/>
    </row>
    <row r="190" ht="15.75" customHeight="1">
      <c r="A190" s="1"/>
      <c r="B190" s="1"/>
      <c r="I190" s="1"/>
      <c r="J190" s="1"/>
      <c r="K190" s="1"/>
      <c r="L190" s="1"/>
    </row>
    <row r="191" ht="15.75" customHeight="1">
      <c r="A191" s="1"/>
      <c r="B191" s="1"/>
      <c r="I191" s="1"/>
      <c r="J191" s="1"/>
      <c r="K191" s="1"/>
      <c r="L191" s="1"/>
    </row>
    <row r="192" ht="15.75" customHeight="1">
      <c r="A192" s="1"/>
      <c r="B192" s="1"/>
      <c r="I192" s="1"/>
      <c r="J192" s="1"/>
      <c r="K192" s="1"/>
      <c r="L192" s="1"/>
    </row>
    <row r="193" ht="15.75" customHeight="1">
      <c r="A193" s="1"/>
      <c r="B193" s="1"/>
      <c r="I193" s="1"/>
      <c r="J193" s="1"/>
      <c r="K193" s="1"/>
      <c r="L193" s="1"/>
    </row>
    <row r="194" ht="15.75" customHeight="1">
      <c r="A194" s="1"/>
      <c r="B194" s="1"/>
      <c r="I194" s="1"/>
      <c r="J194" s="1"/>
      <c r="K194" s="1"/>
      <c r="L194" s="1"/>
    </row>
    <row r="195" ht="15.75" customHeight="1">
      <c r="A195" s="1"/>
      <c r="B195" s="1"/>
      <c r="I195" s="1"/>
      <c r="J195" s="1"/>
      <c r="K195" s="1"/>
      <c r="L195" s="1"/>
    </row>
    <row r="196" ht="15.75" customHeight="1">
      <c r="A196" s="1"/>
      <c r="B196" s="1"/>
      <c r="I196" s="1"/>
      <c r="J196" s="1"/>
      <c r="K196" s="1"/>
      <c r="L196" s="1"/>
    </row>
    <row r="197" ht="15.75" customHeight="1">
      <c r="A197" s="1"/>
      <c r="B197" s="1"/>
      <c r="I197" s="1"/>
      <c r="J197" s="1"/>
      <c r="K197" s="1"/>
      <c r="L197" s="1"/>
    </row>
    <row r="198" ht="15.75" customHeight="1">
      <c r="A198" s="1"/>
      <c r="B198" s="1"/>
      <c r="I198" s="1"/>
      <c r="J198" s="1"/>
      <c r="K198" s="1"/>
      <c r="L198" s="1"/>
    </row>
    <row r="199" ht="15.75" customHeight="1">
      <c r="A199" s="1"/>
      <c r="B199" s="1"/>
      <c r="I199" s="1"/>
      <c r="J199" s="1"/>
      <c r="K199" s="1"/>
      <c r="L199" s="1"/>
    </row>
    <row r="200" ht="15.75" customHeight="1">
      <c r="A200" s="1"/>
      <c r="B200" s="1"/>
      <c r="I200" s="1"/>
      <c r="J200" s="1"/>
      <c r="K200" s="1"/>
      <c r="L200" s="1"/>
    </row>
    <row r="201" ht="15.75" customHeight="1">
      <c r="A201" s="1"/>
      <c r="B201" s="1"/>
      <c r="I201" s="1"/>
      <c r="J201" s="1"/>
      <c r="K201" s="1"/>
      <c r="L201" s="1"/>
    </row>
    <row r="202" ht="15.75" customHeight="1">
      <c r="A202" s="1"/>
      <c r="B202" s="1"/>
      <c r="I202" s="1"/>
      <c r="J202" s="1"/>
      <c r="K202" s="1"/>
      <c r="L202" s="1"/>
    </row>
    <row r="203" ht="15.75" customHeight="1">
      <c r="A203" s="1"/>
      <c r="B203" s="1"/>
      <c r="I203" s="1"/>
      <c r="J203" s="1"/>
      <c r="K203" s="1"/>
      <c r="L203" s="1"/>
    </row>
    <row r="204" ht="15.75" customHeight="1">
      <c r="A204" s="1"/>
      <c r="B204" s="1"/>
      <c r="I204" s="1"/>
      <c r="J204" s="1"/>
      <c r="K204" s="1"/>
      <c r="L204" s="1"/>
    </row>
    <row r="205" ht="15.75" customHeight="1">
      <c r="A205" s="1"/>
      <c r="B205" s="1"/>
      <c r="I205" s="1"/>
      <c r="J205" s="1"/>
      <c r="K205" s="1"/>
      <c r="L205" s="1"/>
    </row>
    <row r="206" ht="15.75" customHeight="1">
      <c r="A206" s="1"/>
      <c r="B206" s="1"/>
      <c r="I206" s="1"/>
      <c r="J206" s="1"/>
      <c r="K206" s="1"/>
      <c r="L206" s="1"/>
    </row>
    <row r="207" ht="15.75" customHeight="1">
      <c r="A207" s="1"/>
      <c r="B207" s="1"/>
      <c r="I207" s="1"/>
      <c r="J207" s="1"/>
      <c r="K207" s="1"/>
      <c r="L207" s="1"/>
    </row>
    <row r="208" ht="15.75" customHeight="1">
      <c r="A208" s="1"/>
      <c r="B208" s="1"/>
      <c r="I208" s="1"/>
      <c r="J208" s="1"/>
      <c r="K208" s="1"/>
      <c r="L208" s="1"/>
    </row>
    <row r="209" ht="15.75" customHeight="1">
      <c r="A209" s="1"/>
      <c r="B209" s="1"/>
      <c r="I209" s="1"/>
      <c r="J209" s="1"/>
      <c r="K209" s="1"/>
      <c r="L209" s="1"/>
    </row>
    <row r="210" ht="15.75" customHeight="1">
      <c r="A210" s="1"/>
      <c r="B210" s="1"/>
      <c r="I210" s="1"/>
      <c r="J210" s="1"/>
      <c r="K210" s="1"/>
      <c r="L210" s="1"/>
    </row>
    <row r="211" ht="15.75" customHeight="1">
      <c r="A211" s="1"/>
      <c r="B211" s="1"/>
      <c r="I211" s="1"/>
      <c r="J211" s="1"/>
      <c r="K211" s="1"/>
      <c r="L211" s="1"/>
    </row>
    <row r="212" ht="15.75" customHeight="1">
      <c r="A212" s="1"/>
      <c r="B212" s="1"/>
      <c r="I212" s="1"/>
      <c r="J212" s="1"/>
      <c r="K212" s="1"/>
      <c r="L212" s="1"/>
    </row>
    <row r="213" ht="15.75" customHeight="1">
      <c r="A213" s="1"/>
      <c r="B213" s="1"/>
      <c r="I213" s="1"/>
      <c r="J213" s="1"/>
      <c r="K213" s="1"/>
      <c r="L213" s="1"/>
    </row>
    <row r="214" ht="15.75" customHeight="1">
      <c r="A214" s="1"/>
      <c r="B214" s="1"/>
      <c r="I214" s="1"/>
      <c r="J214" s="1"/>
      <c r="K214" s="1"/>
      <c r="L214" s="1"/>
    </row>
    <row r="215" ht="15.75" customHeight="1">
      <c r="A215" s="1"/>
      <c r="B215" s="1"/>
      <c r="I215" s="1"/>
      <c r="J215" s="1"/>
      <c r="K215" s="1"/>
      <c r="L215" s="1"/>
    </row>
    <row r="216" ht="15.75" customHeight="1">
      <c r="A216" s="1"/>
      <c r="B216" s="1"/>
      <c r="I216" s="1"/>
      <c r="J216" s="1"/>
      <c r="K216" s="1"/>
      <c r="L216" s="1"/>
    </row>
    <row r="217" ht="15.75" customHeight="1">
      <c r="A217" s="1"/>
      <c r="B217" s="1"/>
      <c r="I217" s="1"/>
      <c r="J217" s="1"/>
      <c r="K217" s="1"/>
      <c r="L217" s="1"/>
    </row>
    <row r="218" ht="15.75" customHeight="1">
      <c r="A218" s="1"/>
      <c r="B218" s="1"/>
      <c r="I218" s="1"/>
      <c r="J218" s="1"/>
      <c r="K218" s="1"/>
      <c r="L218" s="1"/>
    </row>
    <row r="219" ht="15.75" customHeight="1">
      <c r="A219" s="1"/>
      <c r="B219" s="1"/>
      <c r="I219" s="1"/>
      <c r="J219" s="1"/>
      <c r="K219" s="1"/>
      <c r="L219" s="1"/>
    </row>
    <row r="220" ht="15.75" customHeight="1">
      <c r="A220" s="1"/>
      <c r="B220" s="1"/>
      <c r="I220" s="1"/>
      <c r="J220" s="1"/>
      <c r="K220" s="1"/>
      <c r="L220" s="1"/>
    </row>
    <row r="221" ht="15.75" customHeight="1">
      <c r="A221" s="1"/>
      <c r="B221" s="1"/>
      <c r="I221" s="1"/>
      <c r="J221" s="1"/>
      <c r="K221" s="1"/>
      <c r="L221" s="1"/>
    </row>
    <row r="222" ht="15.75" customHeight="1">
      <c r="A222" s="1"/>
      <c r="B222" s="1"/>
      <c r="I222" s="1"/>
      <c r="J222" s="1"/>
      <c r="K222" s="1"/>
      <c r="L222" s="1"/>
    </row>
    <row r="223" ht="15.75" customHeight="1">
      <c r="A223" s="1"/>
      <c r="B223" s="1"/>
      <c r="I223" s="1"/>
      <c r="J223" s="1"/>
      <c r="K223" s="1"/>
      <c r="L223" s="1"/>
    </row>
    <row r="224" ht="15.75" customHeight="1">
      <c r="A224" s="1"/>
      <c r="B224" s="1"/>
      <c r="I224" s="1"/>
      <c r="J224" s="1"/>
      <c r="K224" s="1"/>
      <c r="L224" s="1"/>
    </row>
    <row r="225" ht="15.75" customHeight="1">
      <c r="A225" s="1"/>
      <c r="B225" s="1"/>
      <c r="I225" s="1"/>
      <c r="J225" s="1"/>
      <c r="K225" s="1"/>
      <c r="L225" s="1"/>
    </row>
    <row r="226" ht="15.75" customHeight="1">
      <c r="A226" s="1"/>
      <c r="B226" s="1"/>
      <c r="I226" s="1"/>
      <c r="J226" s="1"/>
      <c r="K226" s="1"/>
      <c r="L226" s="1"/>
    </row>
    <row r="227" ht="15.75" customHeight="1">
      <c r="A227" s="1"/>
      <c r="B227" s="1"/>
      <c r="I227" s="1"/>
      <c r="J227" s="1"/>
      <c r="K227" s="1"/>
      <c r="L227" s="1"/>
    </row>
    <row r="228" ht="15.75" customHeight="1">
      <c r="A228" s="1"/>
      <c r="B228" s="1"/>
      <c r="I228" s="1"/>
      <c r="J228" s="1"/>
      <c r="K228" s="1"/>
      <c r="L228" s="1"/>
    </row>
    <row r="229" ht="15.75" customHeight="1">
      <c r="A229" s="1"/>
      <c r="B229" s="1"/>
      <c r="I229" s="1"/>
      <c r="J229" s="1"/>
      <c r="K229" s="1"/>
      <c r="L229" s="1"/>
    </row>
    <row r="230" ht="15.75" customHeight="1">
      <c r="A230" s="1"/>
      <c r="B230" s="1"/>
      <c r="I230" s="1"/>
      <c r="J230" s="1"/>
      <c r="K230" s="1"/>
      <c r="L230" s="1"/>
    </row>
    <row r="231" ht="15.75" customHeight="1">
      <c r="A231" s="1"/>
      <c r="B231" s="1"/>
      <c r="I231" s="1"/>
      <c r="J231" s="1"/>
      <c r="K231" s="1"/>
      <c r="L231" s="1"/>
    </row>
    <row r="232" ht="15.75" customHeight="1">
      <c r="A232" s="1"/>
      <c r="B232" s="1"/>
      <c r="I232" s="1"/>
      <c r="J232" s="1"/>
      <c r="K232" s="1"/>
      <c r="L232" s="1"/>
    </row>
    <row r="233" ht="15.75" customHeight="1">
      <c r="A233" s="1"/>
      <c r="B233" s="1"/>
      <c r="I233" s="1"/>
      <c r="J233" s="1"/>
      <c r="K233" s="1"/>
      <c r="L233" s="1"/>
    </row>
    <row r="234" ht="15.75" customHeight="1">
      <c r="A234" s="1"/>
      <c r="B234" s="1"/>
      <c r="I234" s="1"/>
      <c r="J234" s="1"/>
      <c r="K234" s="1"/>
      <c r="L234" s="1"/>
    </row>
    <row r="235" ht="15.75" customHeight="1">
      <c r="A235" s="1"/>
      <c r="B235" s="1"/>
      <c r="I235" s="1"/>
      <c r="J235" s="1"/>
      <c r="K235" s="1"/>
      <c r="L235" s="1"/>
    </row>
    <row r="236" ht="15.75" customHeight="1">
      <c r="A236" s="1"/>
      <c r="B236" s="1"/>
      <c r="I236" s="1"/>
      <c r="J236" s="1"/>
      <c r="K236" s="1"/>
      <c r="L236" s="1"/>
    </row>
    <row r="237" ht="15.75" customHeight="1">
      <c r="A237" s="1"/>
      <c r="B237" s="1"/>
      <c r="I237" s="1"/>
      <c r="J237" s="1"/>
      <c r="K237" s="1"/>
      <c r="L237" s="1"/>
    </row>
    <row r="238" ht="15.75" customHeight="1">
      <c r="A238" s="1"/>
      <c r="B238" s="1"/>
      <c r="I238" s="1"/>
      <c r="J238" s="1"/>
      <c r="K238" s="1"/>
      <c r="L238" s="1"/>
    </row>
    <row r="239" ht="15.75" customHeight="1">
      <c r="A239" s="1"/>
      <c r="B239" s="1"/>
      <c r="I239" s="1"/>
      <c r="J239" s="1"/>
      <c r="K239" s="1"/>
      <c r="L239" s="1"/>
    </row>
    <row r="240" ht="15.75" customHeight="1">
      <c r="A240" s="1"/>
      <c r="B240" s="1"/>
      <c r="I240" s="1"/>
      <c r="J240" s="1"/>
      <c r="K240" s="1"/>
      <c r="L240" s="1"/>
    </row>
    <row r="241" ht="15.75" customHeight="1">
      <c r="A241" s="1"/>
      <c r="B241" s="1"/>
      <c r="I241" s="1"/>
      <c r="J241" s="1"/>
      <c r="K241" s="1"/>
      <c r="L241" s="1"/>
    </row>
    <row r="242" ht="15.75" customHeight="1">
      <c r="A242" s="1"/>
      <c r="B242" s="1"/>
      <c r="I242" s="1"/>
      <c r="J242" s="1"/>
      <c r="K242" s="1"/>
      <c r="L242" s="1"/>
    </row>
    <row r="243" ht="15.75" customHeight="1">
      <c r="A243" s="1"/>
      <c r="B243" s="1"/>
      <c r="I243" s="1"/>
      <c r="J243" s="1"/>
      <c r="K243" s="1"/>
      <c r="L243" s="1"/>
    </row>
    <row r="244" ht="15.75" customHeight="1">
      <c r="A244" s="1"/>
      <c r="B244" s="1"/>
      <c r="I244" s="1"/>
      <c r="J244" s="1"/>
      <c r="K244" s="1"/>
      <c r="L244" s="1"/>
    </row>
    <row r="245" ht="15.75" customHeight="1">
      <c r="A245" s="1"/>
      <c r="B245" s="1"/>
      <c r="I245" s="1"/>
      <c r="J245" s="1"/>
      <c r="K245" s="1"/>
      <c r="L245" s="1"/>
    </row>
    <row r="246" ht="15.75" customHeight="1">
      <c r="A246" s="1"/>
      <c r="B246" s="1"/>
      <c r="I246" s="1"/>
      <c r="J246" s="1"/>
      <c r="K246" s="1"/>
      <c r="L246" s="1"/>
    </row>
    <row r="247" ht="15.75" customHeight="1">
      <c r="A247" s="1"/>
      <c r="B247" s="1"/>
      <c r="I247" s="1"/>
      <c r="J247" s="1"/>
      <c r="K247" s="1"/>
      <c r="L247" s="1"/>
    </row>
    <row r="248" ht="15.75" customHeight="1">
      <c r="A248" s="1"/>
      <c r="B248" s="1"/>
      <c r="I248" s="1"/>
      <c r="J248" s="1"/>
      <c r="K248" s="1"/>
      <c r="L248" s="1"/>
    </row>
    <row r="249" ht="15.75" customHeight="1">
      <c r="A249" s="1"/>
      <c r="B249" s="1"/>
      <c r="I249" s="1"/>
      <c r="J249" s="1"/>
      <c r="K249" s="1"/>
      <c r="L249" s="1"/>
    </row>
    <row r="250" ht="15.75" customHeight="1">
      <c r="A250" s="1"/>
      <c r="B250" s="1"/>
      <c r="I250" s="1"/>
      <c r="J250" s="1"/>
      <c r="K250" s="1"/>
      <c r="L250" s="1"/>
    </row>
    <row r="251" ht="15.75" customHeight="1">
      <c r="A251" s="1"/>
      <c r="B251" s="1"/>
      <c r="I251" s="1"/>
      <c r="J251" s="1"/>
      <c r="K251" s="1"/>
      <c r="L251" s="1"/>
    </row>
    <row r="252" ht="15.75" customHeight="1">
      <c r="A252" s="1"/>
      <c r="B252" s="1"/>
      <c r="I252" s="1"/>
      <c r="J252" s="1"/>
      <c r="K252" s="1"/>
      <c r="L252" s="1"/>
    </row>
    <row r="253" ht="15.75" customHeight="1">
      <c r="A253" s="1"/>
      <c r="B253" s="1"/>
      <c r="I253" s="1"/>
      <c r="J253" s="1"/>
      <c r="K253" s="1"/>
      <c r="L253" s="1"/>
    </row>
    <row r="254" ht="15.75" customHeight="1">
      <c r="A254" s="1"/>
      <c r="B254" s="1"/>
      <c r="I254" s="1"/>
      <c r="J254" s="1"/>
      <c r="K254" s="1"/>
      <c r="L254" s="1"/>
    </row>
    <row r="255" ht="15.75" customHeight="1">
      <c r="A255" s="1"/>
      <c r="B255" s="1"/>
      <c r="I255" s="1"/>
      <c r="J255" s="1"/>
      <c r="K255" s="1"/>
      <c r="L255" s="1"/>
    </row>
    <row r="256" ht="15.75" customHeight="1">
      <c r="A256" s="1"/>
      <c r="B256" s="1"/>
      <c r="I256" s="1"/>
      <c r="J256" s="1"/>
      <c r="K256" s="1"/>
      <c r="L256" s="1"/>
    </row>
    <row r="257" ht="15.75" customHeight="1">
      <c r="A257" s="1"/>
      <c r="B257" s="1"/>
      <c r="I257" s="1"/>
      <c r="J257" s="1"/>
      <c r="K257" s="1"/>
      <c r="L257" s="1"/>
    </row>
    <row r="258" ht="15.75" customHeight="1">
      <c r="A258" s="1"/>
      <c r="B258" s="1"/>
      <c r="I258" s="1"/>
      <c r="J258" s="1"/>
      <c r="K258" s="1"/>
      <c r="L258" s="1"/>
    </row>
    <row r="259" ht="15.75" customHeight="1">
      <c r="A259" s="1"/>
      <c r="B259" s="1"/>
      <c r="I259" s="1"/>
      <c r="J259" s="1"/>
      <c r="K259" s="1"/>
      <c r="L259" s="1"/>
    </row>
    <row r="260" ht="15.75" customHeight="1">
      <c r="A260" s="1"/>
      <c r="B260" s="1"/>
      <c r="I260" s="1"/>
      <c r="J260" s="1"/>
      <c r="K260" s="1"/>
      <c r="L260" s="1"/>
    </row>
    <row r="261" ht="15.75" customHeight="1">
      <c r="A261" s="1"/>
      <c r="B261" s="1"/>
      <c r="I261" s="1"/>
      <c r="J261" s="1"/>
      <c r="K261" s="1"/>
      <c r="L261" s="1"/>
    </row>
    <row r="262" ht="15.75" customHeight="1">
      <c r="A262" s="1"/>
      <c r="B262" s="1"/>
      <c r="I262" s="1"/>
      <c r="J262" s="1"/>
      <c r="K262" s="1"/>
      <c r="L262" s="1"/>
    </row>
    <row r="263" ht="15.75" customHeight="1">
      <c r="A263" s="1"/>
      <c r="B263" s="1"/>
      <c r="I263" s="1"/>
      <c r="J263" s="1"/>
      <c r="K263" s="1"/>
      <c r="L263" s="1"/>
    </row>
    <row r="264" ht="15.75" customHeight="1">
      <c r="A264" s="1"/>
      <c r="B264" s="1"/>
      <c r="I264" s="1"/>
      <c r="J264" s="1"/>
      <c r="K264" s="1"/>
      <c r="L264" s="1"/>
    </row>
    <row r="265" ht="15.75" customHeight="1">
      <c r="A265" s="1"/>
      <c r="B265" s="1"/>
      <c r="I265" s="1"/>
      <c r="J265" s="1"/>
      <c r="K265" s="1"/>
      <c r="L265" s="1"/>
    </row>
    <row r="266" ht="15.75" customHeight="1">
      <c r="A266" s="1"/>
      <c r="B266" s="1"/>
      <c r="I266" s="1"/>
      <c r="J266" s="1"/>
      <c r="K266" s="1"/>
      <c r="L266" s="1"/>
    </row>
    <row r="267" ht="15.75" customHeight="1">
      <c r="A267" s="1"/>
      <c r="B267" s="1"/>
      <c r="I267" s="1"/>
      <c r="J267" s="1"/>
      <c r="K267" s="1"/>
      <c r="L267" s="1"/>
    </row>
    <row r="268" ht="15.75" customHeight="1">
      <c r="A268" s="1"/>
      <c r="B268" s="1"/>
      <c r="I268" s="1"/>
      <c r="J268" s="1"/>
      <c r="K268" s="1"/>
      <c r="L268" s="1"/>
    </row>
    <row r="269" ht="15.75" customHeight="1">
      <c r="A269" s="1"/>
      <c r="B269" s="1"/>
      <c r="I269" s="1"/>
      <c r="J269" s="1"/>
      <c r="K269" s="1"/>
      <c r="L269" s="1"/>
    </row>
    <row r="270" ht="15.75" customHeight="1">
      <c r="A270" s="1"/>
      <c r="B270" s="1"/>
      <c r="I270" s="1"/>
      <c r="J270" s="1"/>
      <c r="K270" s="1"/>
      <c r="L270" s="1"/>
    </row>
    <row r="271" ht="15.75" customHeight="1">
      <c r="A271" s="1"/>
      <c r="B271" s="1"/>
      <c r="I271" s="1"/>
      <c r="J271" s="1"/>
      <c r="K271" s="1"/>
      <c r="L271" s="1"/>
    </row>
    <row r="272" ht="15.75" customHeight="1">
      <c r="A272" s="1"/>
      <c r="B272" s="1"/>
      <c r="I272" s="1"/>
      <c r="J272" s="1"/>
      <c r="K272" s="1"/>
      <c r="L272" s="1"/>
    </row>
    <row r="273" ht="15.75" customHeight="1">
      <c r="A273" s="1"/>
      <c r="B273" s="1"/>
      <c r="I273" s="1"/>
      <c r="J273" s="1"/>
      <c r="K273" s="1"/>
      <c r="L273" s="1"/>
    </row>
    <row r="274" ht="15.75" customHeight="1">
      <c r="A274" s="1"/>
      <c r="B274" s="1"/>
      <c r="I274" s="1"/>
      <c r="J274" s="1"/>
      <c r="K274" s="1"/>
      <c r="L274" s="1"/>
    </row>
    <row r="275" ht="15.75" customHeight="1">
      <c r="A275" s="1"/>
      <c r="B275" s="1"/>
      <c r="I275" s="1"/>
      <c r="J275" s="1"/>
      <c r="K275" s="1"/>
      <c r="L275" s="1"/>
    </row>
    <row r="276" ht="15.75" customHeight="1">
      <c r="A276" s="1"/>
      <c r="B276" s="1"/>
      <c r="I276" s="1"/>
      <c r="J276" s="1"/>
      <c r="K276" s="1"/>
      <c r="L276" s="1"/>
    </row>
    <row r="277" ht="15.75" customHeight="1">
      <c r="A277" s="1"/>
      <c r="B277" s="1"/>
      <c r="I277" s="1"/>
      <c r="J277" s="1"/>
      <c r="K277" s="1"/>
      <c r="L277" s="1"/>
    </row>
    <row r="278" ht="15.75" customHeight="1">
      <c r="A278" s="1"/>
      <c r="B278" s="1"/>
      <c r="I278" s="1"/>
      <c r="J278" s="1"/>
      <c r="K278" s="1"/>
      <c r="L278" s="1"/>
    </row>
    <row r="279" ht="15.75" customHeight="1">
      <c r="A279" s="1"/>
      <c r="B279" s="1"/>
      <c r="I279" s="1"/>
      <c r="J279" s="1"/>
      <c r="K279" s="1"/>
      <c r="L279" s="1"/>
    </row>
    <row r="280" ht="15.75" customHeight="1">
      <c r="A280" s="1"/>
      <c r="B280" s="1"/>
      <c r="I280" s="1"/>
      <c r="J280" s="1"/>
      <c r="K280" s="1"/>
      <c r="L280" s="1"/>
    </row>
    <row r="281" ht="15.75" customHeight="1">
      <c r="A281" s="1"/>
      <c r="B281" s="1"/>
      <c r="I281" s="1"/>
      <c r="J281" s="1"/>
      <c r="K281" s="1"/>
      <c r="L281" s="1"/>
    </row>
    <row r="282" ht="15.75" customHeight="1">
      <c r="A282" s="1"/>
      <c r="B282" s="1"/>
      <c r="I282" s="1"/>
      <c r="J282" s="1"/>
      <c r="K282" s="1"/>
      <c r="L282" s="1"/>
    </row>
    <row r="283" ht="15.75" customHeight="1">
      <c r="A283" s="1"/>
      <c r="B283" s="1"/>
      <c r="I283" s="1"/>
      <c r="J283" s="1"/>
      <c r="K283" s="1"/>
      <c r="L283" s="1"/>
    </row>
    <row r="284" ht="15.75" customHeight="1">
      <c r="A284" s="1"/>
      <c r="B284" s="1"/>
      <c r="I284" s="1"/>
      <c r="J284" s="1"/>
      <c r="K284" s="1"/>
      <c r="L284" s="1"/>
    </row>
    <row r="285" ht="15.75" customHeight="1">
      <c r="A285" s="1"/>
      <c r="B285" s="1"/>
      <c r="I285" s="1"/>
      <c r="J285" s="1"/>
      <c r="K285" s="1"/>
      <c r="L285" s="1"/>
    </row>
    <row r="286" ht="15.75" customHeight="1">
      <c r="A286" s="1"/>
      <c r="B286" s="1"/>
      <c r="I286" s="1"/>
      <c r="J286" s="1"/>
      <c r="K286" s="1"/>
      <c r="L286" s="1"/>
    </row>
    <row r="287" ht="15.75" customHeight="1">
      <c r="A287" s="1"/>
      <c r="B287" s="1"/>
      <c r="I287" s="1"/>
      <c r="J287" s="1"/>
      <c r="K287" s="1"/>
      <c r="L287" s="1"/>
    </row>
    <row r="288" ht="15.75" customHeight="1">
      <c r="A288" s="1"/>
      <c r="B288" s="1"/>
      <c r="I288" s="1"/>
      <c r="J288" s="1"/>
      <c r="K288" s="1"/>
      <c r="L288" s="1"/>
    </row>
    <row r="289" ht="15.75" customHeight="1">
      <c r="A289" s="1"/>
      <c r="B289" s="1"/>
      <c r="I289" s="1"/>
      <c r="J289" s="1"/>
      <c r="K289" s="1"/>
      <c r="L289" s="1"/>
    </row>
    <row r="290" ht="15.75" customHeight="1">
      <c r="A290" s="1"/>
      <c r="B290" s="1"/>
      <c r="I290" s="1"/>
      <c r="J290" s="1"/>
      <c r="K290" s="1"/>
      <c r="L290" s="1"/>
    </row>
    <row r="291" ht="15.75" customHeight="1">
      <c r="A291" s="1"/>
      <c r="B291" s="1"/>
      <c r="I291" s="1"/>
      <c r="J291" s="1"/>
      <c r="K291" s="1"/>
      <c r="L291" s="1"/>
    </row>
    <row r="292" ht="15.75" customHeight="1">
      <c r="A292" s="1"/>
      <c r="B292" s="1"/>
      <c r="I292" s="1"/>
      <c r="J292" s="1"/>
      <c r="K292" s="1"/>
      <c r="L292" s="1"/>
    </row>
    <row r="293" ht="15.75" customHeight="1">
      <c r="A293" s="1"/>
      <c r="B293" s="1"/>
      <c r="I293" s="1"/>
      <c r="J293" s="1"/>
      <c r="K293" s="1"/>
      <c r="L293" s="1"/>
    </row>
    <row r="294" ht="15.75" customHeight="1">
      <c r="A294" s="1"/>
      <c r="B294" s="1"/>
      <c r="I294" s="1"/>
      <c r="J294" s="1"/>
      <c r="K294" s="1"/>
      <c r="L294" s="1"/>
    </row>
    <row r="295" ht="15.75" customHeight="1">
      <c r="A295" s="1"/>
      <c r="B295" s="1"/>
      <c r="I295" s="1"/>
      <c r="J295" s="1"/>
      <c r="K295" s="1"/>
      <c r="L295" s="1"/>
    </row>
    <row r="296" ht="15.75" customHeight="1">
      <c r="A296" s="1"/>
      <c r="B296" s="1"/>
      <c r="I296" s="1"/>
      <c r="J296" s="1"/>
      <c r="K296" s="1"/>
      <c r="L296" s="1"/>
    </row>
    <row r="297" ht="15.75" customHeight="1">
      <c r="A297" s="1"/>
      <c r="B297" s="1"/>
      <c r="I297" s="1"/>
      <c r="J297" s="1"/>
      <c r="K297" s="1"/>
      <c r="L297" s="1"/>
    </row>
    <row r="298" ht="15.75" customHeight="1">
      <c r="A298" s="1"/>
      <c r="B298" s="1"/>
      <c r="I298" s="1"/>
      <c r="J298" s="1"/>
      <c r="K298" s="1"/>
      <c r="L298" s="1"/>
    </row>
    <row r="299" ht="15.75" customHeight="1">
      <c r="A299" s="1"/>
      <c r="B299" s="1"/>
      <c r="I299" s="1"/>
      <c r="J299" s="1"/>
      <c r="K299" s="1"/>
      <c r="L299" s="1"/>
    </row>
    <row r="300" ht="15.75" customHeight="1">
      <c r="A300" s="1"/>
      <c r="B300" s="1"/>
      <c r="I300" s="1"/>
      <c r="J300" s="1"/>
      <c r="K300" s="1"/>
      <c r="L300" s="1"/>
    </row>
    <row r="301" ht="15.75" customHeight="1">
      <c r="A301" s="1"/>
      <c r="B301" s="1"/>
      <c r="I301" s="1"/>
      <c r="J301" s="1"/>
      <c r="K301" s="1"/>
      <c r="L301" s="1"/>
    </row>
    <row r="302" ht="15.75" customHeight="1">
      <c r="A302" s="1"/>
      <c r="B302" s="1"/>
      <c r="I302" s="1"/>
      <c r="J302" s="1"/>
      <c r="K302" s="1"/>
      <c r="L302" s="1"/>
    </row>
    <row r="303" ht="15.75" customHeight="1">
      <c r="A303" s="1"/>
      <c r="B303" s="1"/>
      <c r="I303" s="1"/>
      <c r="J303" s="1"/>
      <c r="K303" s="1"/>
      <c r="L303" s="1"/>
    </row>
    <row r="304" ht="15.75" customHeight="1">
      <c r="A304" s="1"/>
      <c r="B304" s="1"/>
      <c r="I304" s="1"/>
      <c r="J304" s="1"/>
      <c r="K304" s="1"/>
      <c r="L304" s="1"/>
    </row>
    <row r="305" ht="15.75" customHeight="1">
      <c r="A305" s="1"/>
      <c r="B305" s="1"/>
      <c r="I305" s="1"/>
      <c r="J305" s="1"/>
      <c r="K305" s="1"/>
      <c r="L305" s="1"/>
    </row>
    <row r="306" ht="15.75" customHeight="1">
      <c r="A306" s="1"/>
      <c r="B306" s="1"/>
      <c r="I306" s="1"/>
      <c r="J306" s="1"/>
      <c r="K306" s="1"/>
      <c r="L306" s="1"/>
    </row>
    <row r="307" ht="15.75" customHeight="1">
      <c r="A307" s="1"/>
      <c r="B307" s="1"/>
      <c r="I307" s="1"/>
      <c r="J307" s="1"/>
      <c r="K307" s="1"/>
      <c r="L307" s="1"/>
    </row>
    <row r="308" ht="15.75" customHeight="1">
      <c r="A308" s="1"/>
      <c r="B308" s="1"/>
      <c r="I308" s="1"/>
      <c r="J308" s="1"/>
      <c r="K308" s="1"/>
      <c r="L308" s="1"/>
    </row>
    <row r="309" ht="15.75" customHeight="1">
      <c r="A309" s="1"/>
      <c r="B309" s="1"/>
      <c r="I309" s="1"/>
      <c r="J309" s="1"/>
      <c r="K309" s="1"/>
      <c r="L309" s="1"/>
    </row>
    <row r="310" ht="15.75" customHeight="1">
      <c r="A310" s="1"/>
      <c r="B310" s="1"/>
      <c r="I310" s="1"/>
      <c r="J310" s="1"/>
      <c r="K310" s="1"/>
      <c r="L310" s="1"/>
    </row>
    <row r="311" ht="15.75" customHeight="1">
      <c r="A311" s="1"/>
      <c r="B311" s="1"/>
      <c r="I311" s="1"/>
      <c r="J311" s="1"/>
      <c r="K311" s="1"/>
      <c r="L311" s="1"/>
    </row>
    <row r="312" ht="15.75" customHeight="1">
      <c r="A312" s="1"/>
      <c r="B312" s="1"/>
      <c r="I312" s="1"/>
      <c r="J312" s="1"/>
      <c r="K312" s="1"/>
      <c r="L312" s="1"/>
    </row>
    <row r="313" ht="15.75" customHeight="1">
      <c r="A313" s="1"/>
      <c r="B313" s="1"/>
      <c r="I313" s="1"/>
      <c r="J313" s="1"/>
      <c r="K313" s="1"/>
      <c r="L313" s="1"/>
    </row>
    <row r="314" ht="15.75" customHeight="1">
      <c r="A314" s="1"/>
      <c r="B314" s="1"/>
      <c r="I314" s="1"/>
      <c r="J314" s="1"/>
      <c r="K314" s="1"/>
      <c r="L314" s="1"/>
    </row>
    <row r="315" ht="15.75" customHeight="1">
      <c r="A315" s="1"/>
      <c r="B315" s="1"/>
      <c r="I315" s="1"/>
      <c r="J315" s="1"/>
      <c r="K315" s="1"/>
      <c r="L315" s="1"/>
    </row>
    <row r="316" ht="15.75" customHeight="1">
      <c r="A316" s="1"/>
      <c r="B316" s="1"/>
      <c r="I316" s="1"/>
      <c r="J316" s="1"/>
      <c r="K316" s="1"/>
      <c r="L316" s="1"/>
    </row>
    <row r="317" ht="15.75" customHeight="1">
      <c r="A317" s="1"/>
      <c r="B317" s="1"/>
      <c r="I317" s="1"/>
      <c r="J317" s="1"/>
      <c r="K317" s="1"/>
      <c r="L317" s="1"/>
    </row>
    <row r="318" ht="15.75" customHeight="1">
      <c r="A318" s="1"/>
      <c r="B318" s="1"/>
      <c r="I318" s="1"/>
      <c r="J318" s="1"/>
      <c r="K318" s="1"/>
      <c r="L318" s="1"/>
    </row>
    <row r="319" ht="15.75" customHeight="1">
      <c r="A319" s="1"/>
      <c r="B319" s="1"/>
      <c r="I319" s="1"/>
      <c r="J319" s="1"/>
      <c r="K319" s="1"/>
      <c r="L319" s="1"/>
    </row>
    <row r="320" ht="15.75" customHeight="1">
      <c r="A320" s="1"/>
      <c r="B320" s="1"/>
      <c r="I320" s="1"/>
      <c r="J320" s="1"/>
      <c r="K320" s="1"/>
      <c r="L320" s="1"/>
    </row>
    <row r="321" ht="15.75" customHeight="1">
      <c r="A321" s="1"/>
      <c r="B321" s="1"/>
      <c r="I321" s="1"/>
      <c r="J321" s="1"/>
      <c r="K321" s="1"/>
      <c r="L321" s="1"/>
    </row>
    <row r="322" ht="15.75" customHeight="1">
      <c r="A322" s="1"/>
      <c r="B322" s="1"/>
      <c r="I322" s="1"/>
      <c r="J322" s="1"/>
      <c r="K322" s="1"/>
      <c r="L322" s="1"/>
    </row>
    <row r="323" ht="15.75" customHeight="1">
      <c r="A323" s="1"/>
      <c r="B323" s="1"/>
      <c r="I323" s="1"/>
      <c r="J323" s="1"/>
      <c r="K323" s="1"/>
      <c r="L323" s="1"/>
    </row>
    <row r="324" ht="15.75" customHeight="1">
      <c r="A324" s="1"/>
      <c r="B324" s="1"/>
      <c r="I324" s="1"/>
      <c r="J324" s="1"/>
      <c r="K324" s="1"/>
      <c r="L324" s="1"/>
    </row>
    <row r="325" ht="15.75" customHeight="1">
      <c r="A325" s="1"/>
      <c r="B325" s="1"/>
      <c r="I325" s="1"/>
      <c r="J325" s="1"/>
      <c r="K325" s="1"/>
      <c r="L325" s="1"/>
    </row>
    <row r="326" ht="15.75" customHeight="1">
      <c r="A326" s="1"/>
      <c r="B326" s="1"/>
      <c r="I326" s="1"/>
      <c r="J326" s="1"/>
      <c r="K326" s="1"/>
      <c r="L326" s="1"/>
    </row>
    <row r="327" ht="15.75" customHeight="1">
      <c r="A327" s="1"/>
      <c r="B327" s="1"/>
      <c r="I327" s="1"/>
      <c r="J327" s="1"/>
      <c r="K327" s="1"/>
      <c r="L327" s="1"/>
    </row>
    <row r="328" ht="15.75" customHeight="1">
      <c r="A328" s="1"/>
      <c r="B328" s="1"/>
      <c r="I328" s="1"/>
      <c r="J328" s="1"/>
      <c r="K328" s="1"/>
      <c r="L328" s="1"/>
    </row>
    <row r="329" ht="15.75" customHeight="1">
      <c r="A329" s="1"/>
      <c r="B329" s="1"/>
      <c r="I329" s="1"/>
      <c r="J329" s="1"/>
      <c r="K329" s="1"/>
      <c r="L329" s="1"/>
    </row>
    <row r="330" ht="15.75" customHeight="1">
      <c r="A330" s="1"/>
      <c r="B330" s="1"/>
      <c r="I330" s="1"/>
      <c r="J330" s="1"/>
      <c r="K330" s="1"/>
      <c r="L330" s="1"/>
    </row>
    <row r="331" ht="15.75" customHeight="1">
      <c r="A331" s="1"/>
      <c r="B331" s="1"/>
      <c r="I331" s="1"/>
      <c r="J331" s="1"/>
      <c r="K331" s="1"/>
      <c r="L331" s="1"/>
    </row>
    <row r="332" ht="15.75" customHeight="1">
      <c r="A332" s="1"/>
      <c r="B332" s="1"/>
      <c r="I332" s="1"/>
      <c r="J332" s="1"/>
      <c r="K332" s="1"/>
      <c r="L332" s="1"/>
    </row>
    <row r="333" ht="15.75" customHeight="1">
      <c r="A333" s="1"/>
      <c r="B333" s="1"/>
      <c r="I333" s="1"/>
      <c r="J333" s="1"/>
      <c r="K333" s="1"/>
      <c r="L333" s="1"/>
    </row>
    <row r="334" ht="15.75" customHeight="1">
      <c r="A334" s="1"/>
      <c r="B334" s="1"/>
      <c r="I334" s="1"/>
      <c r="J334" s="1"/>
      <c r="K334" s="1"/>
      <c r="L334" s="1"/>
    </row>
    <row r="335" ht="15.75" customHeight="1">
      <c r="A335" s="1"/>
      <c r="B335" s="1"/>
      <c r="I335" s="1"/>
      <c r="J335" s="1"/>
      <c r="K335" s="1"/>
      <c r="L335" s="1"/>
    </row>
    <row r="336" ht="15.75" customHeight="1">
      <c r="A336" s="1"/>
      <c r="B336" s="1"/>
      <c r="I336" s="1"/>
      <c r="J336" s="1"/>
      <c r="K336" s="1"/>
      <c r="L336" s="1"/>
    </row>
    <row r="337" ht="15.75" customHeight="1">
      <c r="A337" s="1"/>
      <c r="B337" s="1"/>
      <c r="I337" s="1"/>
      <c r="J337" s="1"/>
      <c r="K337" s="1"/>
      <c r="L337" s="1"/>
    </row>
    <row r="338" ht="15.75" customHeight="1">
      <c r="A338" s="1"/>
      <c r="B338" s="1"/>
      <c r="I338" s="1"/>
      <c r="J338" s="1"/>
      <c r="K338" s="1"/>
      <c r="L338" s="1"/>
    </row>
    <row r="339" ht="15.75" customHeight="1">
      <c r="A339" s="1"/>
      <c r="B339" s="1"/>
      <c r="I339" s="1"/>
      <c r="J339" s="1"/>
      <c r="K339" s="1"/>
      <c r="L339" s="1"/>
    </row>
    <row r="340" ht="15.75" customHeight="1">
      <c r="A340" s="1"/>
      <c r="B340" s="1"/>
      <c r="I340" s="1"/>
      <c r="J340" s="1"/>
      <c r="K340" s="1"/>
      <c r="L340" s="1"/>
    </row>
    <row r="341" ht="15.75" customHeight="1">
      <c r="A341" s="1"/>
      <c r="B341" s="1"/>
      <c r="I341" s="1"/>
      <c r="J341" s="1"/>
      <c r="K341" s="1"/>
      <c r="L341" s="1"/>
    </row>
    <row r="342" ht="15.75" customHeight="1">
      <c r="A342" s="1"/>
      <c r="B342" s="1"/>
      <c r="I342" s="1"/>
      <c r="J342" s="1"/>
      <c r="K342" s="1"/>
      <c r="L342" s="1"/>
    </row>
    <row r="343" ht="15.75" customHeight="1">
      <c r="A343" s="1"/>
      <c r="B343" s="1"/>
      <c r="I343" s="1"/>
      <c r="J343" s="1"/>
      <c r="K343" s="1"/>
      <c r="L343" s="1"/>
    </row>
    <row r="344" ht="15.75" customHeight="1">
      <c r="A344" s="1"/>
      <c r="B344" s="1"/>
      <c r="I344" s="1"/>
      <c r="J344" s="1"/>
      <c r="K344" s="1"/>
      <c r="L344" s="1"/>
    </row>
    <row r="345" ht="15.75" customHeight="1">
      <c r="A345" s="1"/>
      <c r="B345" s="1"/>
      <c r="I345" s="1"/>
      <c r="J345" s="1"/>
      <c r="K345" s="1"/>
      <c r="L345" s="1"/>
    </row>
    <row r="346" ht="15.75" customHeight="1">
      <c r="A346" s="1"/>
      <c r="B346" s="1"/>
      <c r="I346" s="1"/>
      <c r="J346" s="1"/>
      <c r="K346" s="1"/>
      <c r="L346" s="1"/>
    </row>
    <row r="347" ht="15.75" customHeight="1">
      <c r="A347" s="1"/>
      <c r="B347" s="1"/>
      <c r="I347" s="1"/>
      <c r="J347" s="1"/>
      <c r="K347" s="1"/>
      <c r="L347" s="1"/>
    </row>
    <row r="348" ht="15.75" customHeight="1">
      <c r="A348" s="1"/>
      <c r="B348" s="1"/>
      <c r="I348" s="1"/>
      <c r="J348" s="1"/>
      <c r="K348" s="1"/>
      <c r="L348" s="1"/>
    </row>
    <row r="349" ht="15.75" customHeight="1">
      <c r="A349" s="1"/>
      <c r="B349" s="1"/>
      <c r="I349" s="1"/>
      <c r="J349" s="1"/>
      <c r="K349" s="1"/>
      <c r="L349" s="1"/>
    </row>
    <row r="350" ht="15.75" customHeight="1">
      <c r="A350" s="1"/>
      <c r="B350" s="1"/>
      <c r="I350" s="1"/>
      <c r="J350" s="1"/>
      <c r="K350" s="1"/>
      <c r="L350" s="1"/>
    </row>
    <row r="351" ht="15.75" customHeight="1">
      <c r="A351" s="1"/>
      <c r="B351" s="1"/>
      <c r="I351" s="1"/>
      <c r="J351" s="1"/>
      <c r="K351" s="1"/>
      <c r="L351" s="1"/>
    </row>
    <row r="352" ht="15.75" customHeight="1">
      <c r="A352" s="1"/>
      <c r="B352" s="1"/>
      <c r="I352" s="1"/>
      <c r="J352" s="1"/>
      <c r="K352" s="1"/>
      <c r="L352" s="1"/>
    </row>
    <row r="353" ht="15.75" customHeight="1">
      <c r="A353" s="1"/>
      <c r="B353" s="1"/>
      <c r="I353" s="1"/>
      <c r="J353" s="1"/>
      <c r="K353" s="1"/>
      <c r="L353" s="1"/>
    </row>
    <row r="354" ht="15.75" customHeight="1">
      <c r="A354" s="1"/>
      <c r="B354" s="1"/>
      <c r="I354" s="1"/>
      <c r="J354" s="1"/>
      <c r="K354" s="1"/>
      <c r="L354" s="1"/>
    </row>
    <row r="355" ht="15.75" customHeight="1">
      <c r="A355" s="1"/>
      <c r="B355" s="1"/>
      <c r="I355" s="1"/>
      <c r="J355" s="1"/>
      <c r="K355" s="1"/>
      <c r="L355" s="1"/>
    </row>
    <row r="356" ht="15.75" customHeight="1">
      <c r="A356" s="1"/>
      <c r="B356" s="1"/>
      <c r="I356" s="1"/>
      <c r="J356" s="1"/>
      <c r="K356" s="1"/>
      <c r="L356" s="1"/>
    </row>
    <row r="357" ht="15.75" customHeight="1">
      <c r="A357" s="1"/>
      <c r="B357" s="1"/>
      <c r="I357" s="1"/>
      <c r="J357" s="1"/>
      <c r="K357" s="1"/>
      <c r="L357" s="1"/>
    </row>
    <row r="358" ht="15.75" customHeight="1">
      <c r="A358" s="1"/>
      <c r="B358" s="1"/>
      <c r="I358" s="1"/>
      <c r="J358" s="1"/>
      <c r="K358" s="1"/>
      <c r="L358" s="1"/>
    </row>
    <row r="359" ht="15.75" customHeight="1">
      <c r="A359" s="1"/>
      <c r="B359" s="1"/>
      <c r="I359" s="1"/>
      <c r="J359" s="1"/>
      <c r="K359" s="1"/>
      <c r="L359" s="1"/>
    </row>
    <row r="360" ht="15.75" customHeight="1">
      <c r="A360" s="1"/>
      <c r="B360" s="1"/>
      <c r="I360" s="1"/>
      <c r="J360" s="1"/>
      <c r="K360" s="1"/>
      <c r="L360" s="1"/>
    </row>
    <row r="361" ht="15.75" customHeight="1">
      <c r="A361" s="1"/>
      <c r="B361" s="1"/>
      <c r="I361" s="1"/>
      <c r="J361" s="1"/>
      <c r="K361" s="1"/>
      <c r="L361" s="1"/>
    </row>
    <row r="362" ht="15.75" customHeight="1">
      <c r="A362" s="1"/>
      <c r="B362" s="1"/>
      <c r="I362" s="1"/>
      <c r="J362" s="1"/>
      <c r="K362" s="1"/>
      <c r="L362" s="1"/>
    </row>
    <row r="363" ht="15.75" customHeight="1">
      <c r="A363" s="1"/>
      <c r="B363" s="1"/>
      <c r="I363" s="1"/>
      <c r="J363" s="1"/>
      <c r="K363" s="1"/>
      <c r="L363" s="1"/>
    </row>
    <row r="364" ht="15.75" customHeight="1">
      <c r="A364" s="1"/>
      <c r="B364" s="1"/>
      <c r="I364" s="1"/>
      <c r="J364" s="1"/>
      <c r="K364" s="1"/>
      <c r="L364" s="1"/>
    </row>
    <row r="365" ht="15.75" customHeight="1">
      <c r="A365" s="1"/>
      <c r="B365" s="1"/>
      <c r="I365" s="1"/>
      <c r="J365" s="1"/>
      <c r="K365" s="1"/>
      <c r="L365" s="1"/>
    </row>
    <row r="366" ht="15.75" customHeight="1">
      <c r="A366" s="1"/>
      <c r="B366" s="1"/>
      <c r="I366" s="1"/>
      <c r="J366" s="1"/>
      <c r="K366" s="1"/>
      <c r="L366" s="1"/>
    </row>
    <row r="367" ht="15.75" customHeight="1">
      <c r="A367" s="1"/>
      <c r="B367" s="1"/>
      <c r="I367" s="1"/>
      <c r="J367" s="1"/>
      <c r="K367" s="1"/>
      <c r="L367" s="1"/>
    </row>
    <row r="368" ht="15.75" customHeight="1">
      <c r="A368" s="1"/>
      <c r="B368" s="1"/>
      <c r="I368" s="1"/>
      <c r="J368" s="1"/>
      <c r="K368" s="1"/>
      <c r="L368" s="1"/>
    </row>
    <row r="369" ht="15.75" customHeight="1">
      <c r="A369" s="1"/>
      <c r="B369" s="1"/>
      <c r="I369" s="1"/>
      <c r="J369" s="1"/>
      <c r="K369" s="1"/>
      <c r="L369" s="1"/>
    </row>
    <row r="370" ht="15.75" customHeight="1">
      <c r="A370" s="1"/>
      <c r="B370" s="1"/>
      <c r="I370" s="1"/>
      <c r="J370" s="1"/>
      <c r="K370" s="1"/>
      <c r="L370" s="1"/>
    </row>
    <row r="371" ht="15.75" customHeight="1">
      <c r="A371" s="1"/>
      <c r="B371" s="1"/>
      <c r="I371" s="1"/>
      <c r="J371" s="1"/>
      <c r="K371" s="1"/>
      <c r="L371" s="1"/>
    </row>
    <row r="372" ht="15.75" customHeight="1">
      <c r="A372" s="1"/>
      <c r="B372" s="1"/>
      <c r="I372" s="1"/>
      <c r="J372" s="1"/>
      <c r="K372" s="1"/>
      <c r="L372" s="1"/>
    </row>
    <row r="373" ht="15.75" customHeight="1">
      <c r="A373" s="1"/>
      <c r="B373" s="1"/>
      <c r="I373" s="1"/>
      <c r="J373" s="1"/>
      <c r="K373" s="1"/>
      <c r="L373" s="1"/>
    </row>
    <row r="374" ht="15.75" customHeight="1">
      <c r="A374" s="1"/>
      <c r="B374" s="1"/>
      <c r="I374" s="1"/>
      <c r="J374" s="1"/>
      <c r="K374" s="1"/>
      <c r="L374" s="1"/>
    </row>
    <row r="375" ht="15.75" customHeight="1">
      <c r="A375" s="1"/>
      <c r="B375" s="1"/>
      <c r="I375" s="1"/>
      <c r="J375" s="1"/>
      <c r="K375" s="1"/>
      <c r="L375" s="1"/>
    </row>
    <row r="376" ht="15.75" customHeight="1">
      <c r="A376" s="1"/>
      <c r="B376" s="1"/>
      <c r="I376" s="1"/>
      <c r="J376" s="1"/>
      <c r="K376" s="1"/>
      <c r="L376" s="1"/>
    </row>
    <row r="377" ht="15.75" customHeight="1">
      <c r="A377" s="1"/>
      <c r="B377" s="1"/>
      <c r="I377" s="1"/>
      <c r="J377" s="1"/>
      <c r="K377" s="1"/>
      <c r="L377" s="1"/>
    </row>
    <row r="378" ht="15.75" customHeight="1">
      <c r="A378" s="1"/>
      <c r="B378" s="1"/>
      <c r="I378" s="1"/>
      <c r="J378" s="1"/>
      <c r="K378" s="1"/>
      <c r="L378" s="1"/>
    </row>
    <row r="379" ht="15.75" customHeight="1">
      <c r="A379" s="1"/>
      <c r="B379" s="1"/>
      <c r="I379" s="1"/>
      <c r="J379" s="1"/>
      <c r="K379" s="1"/>
      <c r="L379" s="1"/>
    </row>
    <row r="380" ht="15.75" customHeight="1">
      <c r="A380" s="1"/>
      <c r="B380" s="1"/>
      <c r="I380" s="1"/>
      <c r="J380" s="1"/>
      <c r="K380" s="1"/>
      <c r="L380" s="1"/>
    </row>
    <row r="381" ht="15.75" customHeight="1">
      <c r="A381" s="1"/>
      <c r="B381" s="1"/>
      <c r="I381" s="1"/>
      <c r="J381" s="1"/>
      <c r="K381" s="1"/>
      <c r="L381" s="1"/>
    </row>
    <row r="382" ht="15.75" customHeight="1">
      <c r="A382" s="1"/>
      <c r="B382" s="1"/>
      <c r="I382" s="1"/>
      <c r="J382" s="1"/>
      <c r="K382" s="1"/>
      <c r="L382" s="1"/>
    </row>
    <row r="383" ht="15.75" customHeight="1">
      <c r="A383" s="1"/>
      <c r="B383" s="1"/>
      <c r="I383" s="1"/>
      <c r="J383" s="1"/>
      <c r="K383" s="1"/>
      <c r="L383" s="1"/>
    </row>
    <row r="384" ht="15.75" customHeight="1">
      <c r="A384" s="1"/>
      <c r="B384" s="1"/>
      <c r="I384" s="1"/>
      <c r="J384" s="1"/>
      <c r="K384" s="1"/>
      <c r="L384" s="1"/>
    </row>
    <row r="385" ht="15.75" customHeight="1">
      <c r="A385" s="1"/>
      <c r="B385" s="1"/>
      <c r="I385" s="1"/>
      <c r="J385" s="1"/>
      <c r="K385" s="1"/>
      <c r="L385" s="1"/>
    </row>
    <row r="386" ht="15.75" customHeight="1">
      <c r="A386" s="1"/>
      <c r="B386" s="1"/>
      <c r="I386" s="1"/>
      <c r="J386" s="1"/>
      <c r="K386" s="1"/>
      <c r="L386" s="1"/>
    </row>
    <row r="387" ht="15.75" customHeight="1">
      <c r="A387" s="1"/>
      <c r="B387" s="1"/>
      <c r="I387" s="1"/>
      <c r="J387" s="1"/>
      <c r="K387" s="1"/>
      <c r="L387" s="1"/>
    </row>
    <row r="388" ht="15.75" customHeight="1">
      <c r="A388" s="1"/>
      <c r="B388" s="1"/>
      <c r="I388" s="1"/>
      <c r="J388" s="1"/>
      <c r="K388" s="1"/>
      <c r="L388" s="1"/>
    </row>
    <row r="389" ht="15.75" customHeight="1">
      <c r="A389" s="1"/>
      <c r="B389" s="1"/>
      <c r="I389" s="1"/>
      <c r="J389" s="1"/>
      <c r="K389" s="1"/>
      <c r="L389" s="1"/>
    </row>
    <row r="390" ht="15.75" customHeight="1">
      <c r="A390" s="1"/>
      <c r="B390" s="1"/>
      <c r="I390" s="1"/>
      <c r="J390" s="1"/>
      <c r="K390" s="1"/>
      <c r="L390" s="1"/>
    </row>
    <row r="391" ht="15.75" customHeight="1">
      <c r="A391" s="1"/>
      <c r="B391" s="1"/>
      <c r="I391" s="1"/>
      <c r="J391" s="1"/>
      <c r="K391" s="1"/>
      <c r="L391" s="1"/>
    </row>
    <row r="392" ht="15.75" customHeight="1">
      <c r="A392" s="1"/>
      <c r="B392" s="1"/>
      <c r="I392" s="1"/>
      <c r="J392" s="1"/>
      <c r="K392" s="1"/>
      <c r="L392" s="1"/>
    </row>
    <row r="393" ht="15.75" customHeight="1">
      <c r="A393" s="1"/>
      <c r="B393" s="1"/>
      <c r="I393" s="1"/>
      <c r="J393" s="1"/>
      <c r="K393" s="1"/>
      <c r="L393" s="1"/>
    </row>
    <row r="394" ht="15.75" customHeight="1">
      <c r="A394" s="1"/>
      <c r="B394" s="1"/>
      <c r="I394" s="1"/>
      <c r="J394" s="1"/>
      <c r="K394" s="1"/>
      <c r="L394" s="1"/>
    </row>
    <row r="395" ht="15.75" customHeight="1">
      <c r="A395" s="1"/>
      <c r="B395" s="1"/>
      <c r="I395" s="1"/>
      <c r="J395" s="1"/>
      <c r="K395" s="1"/>
      <c r="L395" s="1"/>
    </row>
    <row r="396" ht="15.75" customHeight="1">
      <c r="A396" s="1"/>
      <c r="B396" s="1"/>
      <c r="I396" s="1"/>
      <c r="J396" s="1"/>
      <c r="K396" s="1"/>
      <c r="L396" s="1"/>
    </row>
    <row r="397" ht="15.75" customHeight="1">
      <c r="A397" s="1"/>
      <c r="B397" s="1"/>
      <c r="I397" s="1"/>
      <c r="J397" s="1"/>
      <c r="K397" s="1"/>
      <c r="L397" s="1"/>
    </row>
    <row r="398" ht="15.75" customHeight="1">
      <c r="A398" s="1"/>
      <c r="B398" s="1"/>
      <c r="I398" s="1"/>
      <c r="J398" s="1"/>
      <c r="K398" s="1"/>
      <c r="L398" s="1"/>
    </row>
    <row r="399" ht="15.75" customHeight="1">
      <c r="A399" s="1"/>
      <c r="B399" s="1"/>
      <c r="I399" s="1"/>
      <c r="J399" s="1"/>
      <c r="K399" s="1"/>
      <c r="L399" s="1"/>
    </row>
    <row r="400" ht="15.75" customHeight="1">
      <c r="A400" s="1"/>
      <c r="B400" s="1"/>
      <c r="I400" s="1"/>
      <c r="J400" s="1"/>
      <c r="K400" s="1"/>
      <c r="L400" s="1"/>
    </row>
    <row r="401" ht="15.75" customHeight="1">
      <c r="A401" s="1"/>
      <c r="B401" s="1"/>
      <c r="I401" s="1"/>
      <c r="J401" s="1"/>
      <c r="K401" s="1"/>
      <c r="L401" s="1"/>
    </row>
    <row r="402" ht="15.75" customHeight="1">
      <c r="A402" s="1"/>
      <c r="B402" s="1"/>
      <c r="I402" s="1"/>
      <c r="J402" s="1"/>
      <c r="K402" s="1"/>
      <c r="L402" s="1"/>
    </row>
    <row r="403" ht="15.75" customHeight="1">
      <c r="A403" s="1"/>
      <c r="B403" s="1"/>
      <c r="I403" s="1"/>
      <c r="J403" s="1"/>
      <c r="K403" s="1"/>
      <c r="L403" s="1"/>
    </row>
    <row r="404" ht="15.75" customHeight="1">
      <c r="A404" s="1"/>
      <c r="B404" s="1"/>
      <c r="I404" s="1"/>
      <c r="J404" s="1"/>
      <c r="K404" s="1"/>
      <c r="L404" s="1"/>
    </row>
    <row r="405" ht="15.75" customHeight="1">
      <c r="A405" s="1"/>
      <c r="B405" s="1"/>
      <c r="I405" s="1"/>
      <c r="J405" s="1"/>
      <c r="K405" s="1"/>
      <c r="L405" s="1"/>
    </row>
    <row r="406" ht="15.75" customHeight="1">
      <c r="A406" s="1"/>
      <c r="B406" s="1"/>
      <c r="I406" s="1"/>
      <c r="J406" s="1"/>
      <c r="K406" s="1"/>
      <c r="L406" s="1"/>
    </row>
    <row r="407" ht="15.75" customHeight="1">
      <c r="A407" s="1"/>
      <c r="B407" s="1"/>
      <c r="I407" s="1"/>
      <c r="J407" s="1"/>
      <c r="K407" s="1"/>
      <c r="L407" s="1"/>
    </row>
    <row r="408" ht="15.75" customHeight="1">
      <c r="A408" s="1"/>
      <c r="B408" s="1"/>
      <c r="I408" s="1"/>
      <c r="J408" s="1"/>
      <c r="K408" s="1"/>
      <c r="L408" s="1"/>
    </row>
    <row r="409" ht="15.75" customHeight="1">
      <c r="A409" s="1"/>
      <c r="B409" s="1"/>
      <c r="I409" s="1"/>
      <c r="J409" s="1"/>
      <c r="K409" s="1"/>
      <c r="L409" s="1"/>
    </row>
    <row r="410" ht="15.75" customHeight="1">
      <c r="A410" s="1"/>
      <c r="B410" s="1"/>
      <c r="I410" s="1"/>
      <c r="J410" s="1"/>
      <c r="K410" s="1"/>
      <c r="L410" s="1"/>
    </row>
    <row r="411" ht="15.75" customHeight="1">
      <c r="A411" s="1"/>
      <c r="B411" s="1"/>
      <c r="I411" s="1"/>
      <c r="J411" s="1"/>
      <c r="K411" s="1"/>
      <c r="L411" s="1"/>
    </row>
    <row r="412" ht="15.75" customHeight="1">
      <c r="A412" s="1"/>
      <c r="B412" s="1"/>
      <c r="I412" s="1"/>
      <c r="J412" s="1"/>
      <c r="K412" s="1"/>
      <c r="L412" s="1"/>
    </row>
    <row r="413" ht="15.75" customHeight="1">
      <c r="A413" s="1"/>
      <c r="B413" s="1"/>
      <c r="I413" s="1"/>
      <c r="J413" s="1"/>
      <c r="K413" s="1"/>
      <c r="L413" s="1"/>
    </row>
    <row r="414" ht="15.75" customHeight="1">
      <c r="A414" s="1"/>
      <c r="B414" s="1"/>
      <c r="I414" s="1"/>
      <c r="J414" s="1"/>
      <c r="K414" s="1"/>
      <c r="L414" s="1"/>
    </row>
    <row r="415" ht="15.75" customHeight="1">
      <c r="A415" s="1"/>
      <c r="B415" s="1"/>
      <c r="I415" s="1"/>
      <c r="J415" s="1"/>
      <c r="K415" s="1"/>
      <c r="L415" s="1"/>
    </row>
    <row r="416" ht="15.75" customHeight="1">
      <c r="A416" s="1"/>
      <c r="B416" s="1"/>
      <c r="I416" s="1"/>
      <c r="J416" s="1"/>
      <c r="K416" s="1"/>
      <c r="L416" s="1"/>
    </row>
    <row r="417" ht="15.75" customHeight="1">
      <c r="A417" s="1"/>
      <c r="B417" s="1"/>
      <c r="I417" s="1"/>
      <c r="J417" s="1"/>
      <c r="K417" s="1"/>
      <c r="L417" s="1"/>
    </row>
    <row r="418" ht="15.75" customHeight="1">
      <c r="A418" s="1"/>
      <c r="B418" s="1"/>
      <c r="I418" s="1"/>
      <c r="J418" s="1"/>
      <c r="K418" s="1"/>
      <c r="L418" s="1"/>
    </row>
    <row r="419" ht="15.75" customHeight="1">
      <c r="A419" s="1"/>
      <c r="B419" s="1"/>
      <c r="I419" s="1"/>
      <c r="J419" s="1"/>
      <c r="K419" s="1"/>
      <c r="L419" s="1"/>
    </row>
    <row r="420" ht="15.75" customHeight="1">
      <c r="A420" s="1"/>
      <c r="B420" s="1"/>
      <c r="I420" s="1"/>
      <c r="J420" s="1"/>
      <c r="K420" s="1"/>
      <c r="L420" s="1"/>
    </row>
    <row r="421" ht="15.75" customHeight="1">
      <c r="A421" s="1"/>
      <c r="B421" s="1"/>
      <c r="I421" s="1"/>
      <c r="J421" s="1"/>
      <c r="K421" s="1"/>
      <c r="L421" s="1"/>
    </row>
    <row r="422" ht="15.75" customHeight="1">
      <c r="A422" s="1"/>
      <c r="B422" s="1"/>
      <c r="I422" s="1"/>
      <c r="J422" s="1"/>
      <c r="K422" s="1"/>
      <c r="L422" s="1"/>
    </row>
    <row r="423" ht="15.75" customHeight="1">
      <c r="A423" s="1"/>
      <c r="B423" s="1"/>
      <c r="I423" s="1"/>
      <c r="J423" s="1"/>
      <c r="K423" s="1"/>
      <c r="L423" s="1"/>
    </row>
    <row r="424" ht="15.75" customHeight="1">
      <c r="A424" s="1"/>
      <c r="B424" s="1"/>
      <c r="I424" s="1"/>
      <c r="J424" s="1"/>
      <c r="K424" s="1"/>
      <c r="L424" s="1"/>
    </row>
    <row r="425" ht="15.75" customHeight="1">
      <c r="A425" s="1"/>
      <c r="B425" s="1"/>
      <c r="I425" s="1"/>
      <c r="J425" s="1"/>
      <c r="K425" s="1"/>
      <c r="L425" s="1"/>
    </row>
    <row r="426" ht="15.75" customHeight="1">
      <c r="A426" s="1"/>
      <c r="B426" s="1"/>
      <c r="I426" s="1"/>
      <c r="J426" s="1"/>
      <c r="K426" s="1"/>
      <c r="L426" s="1"/>
    </row>
    <row r="427" ht="15.75" customHeight="1">
      <c r="A427" s="1"/>
      <c r="B427" s="1"/>
      <c r="I427" s="1"/>
      <c r="J427" s="1"/>
      <c r="K427" s="1"/>
      <c r="L427" s="1"/>
    </row>
    <row r="428" ht="15.75" customHeight="1">
      <c r="A428" s="1"/>
      <c r="B428" s="1"/>
      <c r="I428" s="1"/>
      <c r="J428" s="1"/>
      <c r="K428" s="1"/>
      <c r="L428" s="1"/>
    </row>
    <row r="429" ht="15.75" customHeight="1">
      <c r="A429" s="1"/>
      <c r="B429" s="1"/>
      <c r="I429" s="1"/>
      <c r="J429" s="1"/>
      <c r="K429" s="1"/>
      <c r="L429" s="1"/>
    </row>
    <row r="430" ht="15.75" customHeight="1">
      <c r="A430" s="1"/>
      <c r="B430" s="1"/>
      <c r="I430" s="1"/>
      <c r="J430" s="1"/>
      <c r="K430" s="1"/>
      <c r="L430" s="1"/>
    </row>
    <row r="431" ht="15.75" customHeight="1">
      <c r="A431" s="1"/>
      <c r="B431" s="1"/>
      <c r="I431" s="1"/>
      <c r="J431" s="1"/>
      <c r="K431" s="1"/>
      <c r="L431" s="1"/>
    </row>
    <row r="432" ht="15.75" customHeight="1">
      <c r="A432" s="1"/>
      <c r="B432" s="1"/>
      <c r="I432" s="1"/>
      <c r="J432" s="1"/>
      <c r="K432" s="1"/>
      <c r="L432" s="1"/>
    </row>
    <row r="433" ht="15.75" customHeight="1">
      <c r="A433" s="1"/>
      <c r="B433" s="1"/>
      <c r="I433" s="1"/>
      <c r="J433" s="1"/>
      <c r="K433" s="1"/>
      <c r="L433" s="1"/>
    </row>
    <row r="434" ht="15.75" customHeight="1">
      <c r="A434" s="1"/>
      <c r="B434" s="1"/>
      <c r="I434" s="1"/>
      <c r="J434" s="1"/>
      <c r="K434" s="1"/>
      <c r="L434" s="1"/>
    </row>
    <row r="435" ht="15.75" customHeight="1">
      <c r="A435" s="1"/>
      <c r="B435" s="1"/>
      <c r="I435" s="1"/>
      <c r="J435" s="1"/>
      <c r="K435" s="1"/>
      <c r="L435" s="1"/>
    </row>
    <row r="436" ht="15.75" customHeight="1">
      <c r="A436" s="1"/>
      <c r="B436" s="1"/>
      <c r="I436" s="1"/>
      <c r="J436" s="1"/>
      <c r="K436" s="1"/>
      <c r="L436" s="1"/>
    </row>
    <row r="437" ht="15.75" customHeight="1">
      <c r="A437" s="1"/>
      <c r="B437" s="1"/>
      <c r="I437" s="1"/>
      <c r="J437" s="1"/>
      <c r="K437" s="1"/>
      <c r="L437" s="1"/>
    </row>
    <row r="438" ht="15.75" customHeight="1">
      <c r="A438" s="1"/>
      <c r="B438" s="1"/>
      <c r="I438" s="1"/>
      <c r="J438" s="1"/>
      <c r="K438" s="1"/>
      <c r="L438" s="1"/>
    </row>
    <row r="439" ht="15.75" customHeight="1">
      <c r="A439" s="1"/>
      <c r="B439" s="1"/>
      <c r="I439" s="1"/>
      <c r="J439" s="1"/>
      <c r="K439" s="1"/>
      <c r="L439" s="1"/>
    </row>
    <row r="440" ht="15.75" customHeight="1">
      <c r="A440" s="1"/>
      <c r="B440" s="1"/>
      <c r="I440" s="1"/>
      <c r="J440" s="1"/>
      <c r="K440" s="1"/>
      <c r="L440" s="1"/>
    </row>
    <row r="441" ht="15.75" customHeight="1">
      <c r="A441" s="1"/>
      <c r="B441" s="1"/>
      <c r="I441" s="1"/>
      <c r="J441" s="1"/>
      <c r="K441" s="1"/>
      <c r="L441" s="1"/>
    </row>
    <row r="442" ht="15.75" customHeight="1">
      <c r="A442" s="1"/>
      <c r="B442" s="1"/>
      <c r="I442" s="1"/>
      <c r="J442" s="1"/>
      <c r="K442" s="1"/>
      <c r="L442" s="1"/>
    </row>
    <row r="443" ht="15.75" customHeight="1">
      <c r="A443" s="1"/>
      <c r="B443" s="1"/>
      <c r="I443" s="1"/>
      <c r="J443" s="1"/>
      <c r="K443" s="1"/>
      <c r="L443" s="1"/>
    </row>
    <row r="444" ht="15.75" customHeight="1">
      <c r="A444" s="1"/>
      <c r="B444" s="1"/>
      <c r="I444" s="1"/>
      <c r="J444" s="1"/>
      <c r="K444" s="1"/>
      <c r="L444" s="1"/>
    </row>
    <row r="445" ht="15.75" customHeight="1">
      <c r="A445" s="1"/>
      <c r="B445" s="1"/>
      <c r="I445" s="1"/>
      <c r="J445" s="1"/>
      <c r="K445" s="1"/>
      <c r="L445" s="1"/>
    </row>
    <row r="446" ht="15.75" customHeight="1">
      <c r="A446" s="1"/>
      <c r="B446" s="1"/>
      <c r="I446" s="1"/>
      <c r="J446" s="1"/>
      <c r="K446" s="1"/>
      <c r="L446" s="1"/>
    </row>
    <row r="447" ht="15.75" customHeight="1">
      <c r="A447" s="1"/>
      <c r="B447" s="1"/>
      <c r="I447" s="1"/>
      <c r="J447" s="1"/>
      <c r="K447" s="1"/>
      <c r="L447" s="1"/>
    </row>
    <row r="448" ht="15.75" customHeight="1">
      <c r="A448" s="1"/>
      <c r="B448" s="1"/>
      <c r="I448" s="1"/>
      <c r="J448" s="1"/>
      <c r="K448" s="1"/>
      <c r="L448" s="1"/>
    </row>
    <row r="449" ht="15.75" customHeight="1">
      <c r="A449" s="1"/>
      <c r="B449" s="1"/>
      <c r="I449" s="1"/>
      <c r="J449" s="1"/>
      <c r="K449" s="1"/>
      <c r="L449" s="1"/>
    </row>
    <row r="450" ht="15.75" customHeight="1">
      <c r="A450" s="1"/>
      <c r="B450" s="1"/>
      <c r="I450" s="1"/>
      <c r="J450" s="1"/>
      <c r="K450" s="1"/>
      <c r="L450" s="1"/>
    </row>
    <row r="451" ht="15.75" customHeight="1">
      <c r="A451" s="1"/>
      <c r="B451" s="1"/>
      <c r="I451" s="1"/>
      <c r="J451" s="1"/>
      <c r="K451" s="1"/>
      <c r="L451" s="1"/>
    </row>
    <row r="452" ht="15.75" customHeight="1">
      <c r="A452" s="1"/>
      <c r="B452" s="1"/>
      <c r="I452" s="1"/>
      <c r="J452" s="1"/>
      <c r="K452" s="1"/>
      <c r="L452" s="1"/>
    </row>
    <row r="453" ht="15.75" customHeight="1">
      <c r="A453" s="1"/>
      <c r="B453" s="1"/>
      <c r="I453" s="1"/>
      <c r="J453" s="1"/>
      <c r="K453" s="1"/>
      <c r="L453" s="1"/>
    </row>
    <row r="454" ht="15.75" customHeight="1">
      <c r="A454" s="1"/>
      <c r="B454" s="1"/>
      <c r="I454" s="1"/>
      <c r="J454" s="1"/>
      <c r="K454" s="1"/>
      <c r="L454" s="1"/>
    </row>
    <row r="455" ht="15.75" customHeight="1">
      <c r="A455" s="1"/>
      <c r="B455" s="1"/>
      <c r="I455" s="1"/>
      <c r="J455" s="1"/>
      <c r="K455" s="1"/>
      <c r="L455" s="1"/>
    </row>
    <row r="456" ht="15.75" customHeight="1">
      <c r="A456" s="1"/>
      <c r="B456" s="1"/>
      <c r="I456" s="1"/>
      <c r="J456" s="1"/>
      <c r="K456" s="1"/>
      <c r="L456" s="1"/>
    </row>
    <row r="457" ht="15.75" customHeight="1">
      <c r="A457" s="1"/>
      <c r="B457" s="1"/>
      <c r="I457" s="1"/>
      <c r="J457" s="1"/>
      <c r="K457" s="1"/>
      <c r="L457" s="1"/>
    </row>
    <row r="458" ht="15.75" customHeight="1">
      <c r="A458" s="1"/>
      <c r="B458" s="1"/>
      <c r="I458" s="1"/>
      <c r="J458" s="1"/>
      <c r="K458" s="1"/>
      <c r="L458" s="1"/>
    </row>
    <row r="459" ht="15.75" customHeight="1">
      <c r="A459" s="1"/>
      <c r="B459" s="1"/>
      <c r="I459" s="1"/>
      <c r="J459" s="1"/>
      <c r="K459" s="1"/>
      <c r="L459" s="1"/>
    </row>
    <row r="460" ht="15.75" customHeight="1">
      <c r="A460" s="1"/>
      <c r="B460" s="1"/>
      <c r="I460" s="1"/>
      <c r="J460" s="1"/>
      <c r="K460" s="1"/>
      <c r="L460" s="1"/>
    </row>
    <row r="461" ht="15.75" customHeight="1">
      <c r="A461" s="1"/>
      <c r="B461" s="1"/>
      <c r="I461" s="1"/>
      <c r="J461" s="1"/>
      <c r="K461" s="1"/>
      <c r="L461" s="1"/>
    </row>
    <row r="462" ht="15.75" customHeight="1">
      <c r="A462" s="1"/>
      <c r="B462" s="1"/>
      <c r="I462" s="1"/>
      <c r="J462" s="1"/>
      <c r="K462" s="1"/>
      <c r="L462" s="1"/>
    </row>
    <row r="463" ht="15.75" customHeight="1">
      <c r="A463" s="1"/>
      <c r="B463" s="1"/>
      <c r="I463" s="1"/>
      <c r="J463" s="1"/>
      <c r="K463" s="1"/>
      <c r="L463" s="1"/>
    </row>
    <row r="464" ht="15.75" customHeight="1">
      <c r="A464" s="1"/>
      <c r="B464" s="1"/>
      <c r="I464" s="1"/>
      <c r="J464" s="1"/>
      <c r="K464" s="1"/>
      <c r="L464" s="1"/>
    </row>
    <row r="465" ht="15.75" customHeight="1">
      <c r="A465" s="1"/>
      <c r="B465" s="1"/>
      <c r="I465" s="1"/>
      <c r="J465" s="1"/>
      <c r="K465" s="1"/>
      <c r="L465" s="1"/>
    </row>
    <row r="466" ht="15.75" customHeight="1">
      <c r="A466" s="1"/>
      <c r="B466" s="1"/>
      <c r="I466" s="1"/>
      <c r="J466" s="1"/>
      <c r="K466" s="1"/>
      <c r="L466" s="1"/>
    </row>
    <row r="467" ht="15.75" customHeight="1">
      <c r="A467" s="1"/>
      <c r="B467" s="1"/>
      <c r="I467" s="1"/>
      <c r="J467" s="1"/>
      <c r="K467" s="1"/>
      <c r="L467" s="1"/>
    </row>
    <row r="468" ht="15.75" customHeight="1">
      <c r="A468" s="1"/>
      <c r="B468" s="1"/>
      <c r="I468" s="1"/>
      <c r="J468" s="1"/>
      <c r="K468" s="1"/>
      <c r="L468" s="1"/>
    </row>
    <row r="469" ht="15.75" customHeight="1">
      <c r="A469" s="1"/>
      <c r="B469" s="1"/>
      <c r="I469" s="1"/>
      <c r="J469" s="1"/>
      <c r="K469" s="1"/>
      <c r="L469" s="1"/>
    </row>
    <row r="470" ht="15.75" customHeight="1">
      <c r="A470" s="1"/>
      <c r="B470" s="1"/>
      <c r="I470" s="1"/>
      <c r="J470" s="1"/>
      <c r="K470" s="1"/>
      <c r="L470" s="1"/>
    </row>
    <row r="471" ht="15.75" customHeight="1">
      <c r="A471" s="1"/>
      <c r="B471" s="1"/>
      <c r="I471" s="1"/>
      <c r="J471" s="1"/>
      <c r="K471" s="1"/>
      <c r="L471" s="1"/>
    </row>
    <row r="472" ht="15.75" customHeight="1">
      <c r="A472" s="1"/>
      <c r="B472" s="1"/>
      <c r="I472" s="1"/>
      <c r="J472" s="1"/>
      <c r="K472" s="1"/>
      <c r="L472" s="1"/>
    </row>
    <row r="473" ht="15.75" customHeight="1">
      <c r="A473" s="1"/>
      <c r="B473" s="1"/>
      <c r="I473" s="1"/>
      <c r="J473" s="1"/>
      <c r="K473" s="1"/>
      <c r="L473" s="1"/>
    </row>
    <row r="474" ht="15.75" customHeight="1">
      <c r="A474" s="1"/>
      <c r="B474" s="1"/>
      <c r="I474" s="1"/>
      <c r="J474" s="1"/>
      <c r="K474" s="1"/>
      <c r="L474" s="1"/>
    </row>
    <row r="475" ht="15.75" customHeight="1">
      <c r="A475" s="1"/>
      <c r="B475" s="1"/>
      <c r="I475" s="1"/>
      <c r="J475" s="1"/>
      <c r="K475" s="1"/>
      <c r="L475" s="1"/>
    </row>
    <row r="476" ht="15.75" customHeight="1">
      <c r="A476" s="1"/>
      <c r="B476" s="1"/>
      <c r="I476" s="1"/>
      <c r="J476" s="1"/>
      <c r="K476" s="1"/>
      <c r="L476" s="1"/>
    </row>
    <row r="477" ht="15.75" customHeight="1">
      <c r="A477" s="1"/>
      <c r="B477" s="1"/>
      <c r="I477" s="1"/>
      <c r="J477" s="1"/>
      <c r="K477" s="1"/>
      <c r="L477" s="1"/>
    </row>
    <row r="478" ht="15.75" customHeight="1">
      <c r="A478" s="1"/>
      <c r="B478" s="1"/>
      <c r="I478" s="1"/>
      <c r="J478" s="1"/>
      <c r="K478" s="1"/>
      <c r="L478" s="1"/>
    </row>
    <row r="479" ht="15.75" customHeight="1">
      <c r="A479" s="1"/>
      <c r="B479" s="1"/>
      <c r="I479" s="1"/>
      <c r="J479" s="1"/>
      <c r="K479" s="1"/>
      <c r="L479" s="1"/>
    </row>
    <row r="480" ht="15.75" customHeight="1">
      <c r="A480" s="1"/>
      <c r="B480" s="1"/>
      <c r="I480" s="1"/>
      <c r="J480" s="1"/>
      <c r="K480" s="1"/>
      <c r="L480" s="1"/>
    </row>
    <row r="481" ht="15.75" customHeight="1">
      <c r="A481" s="1"/>
      <c r="B481" s="1"/>
      <c r="I481" s="1"/>
      <c r="J481" s="1"/>
      <c r="K481" s="1"/>
      <c r="L481" s="1"/>
    </row>
    <row r="482" ht="15.75" customHeight="1">
      <c r="A482" s="1"/>
      <c r="B482" s="1"/>
      <c r="I482" s="1"/>
      <c r="J482" s="1"/>
      <c r="K482" s="1"/>
      <c r="L482" s="1"/>
    </row>
    <row r="483" ht="15.75" customHeight="1">
      <c r="A483" s="1"/>
      <c r="B483" s="1"/>
      <c r="I483" s="1"/>
      <c r="J483" s="1"/>
      <c r="K483" s="1"/>
      <c r="L483" s="1"/>
    </row>
    <row r="484" ht="15.75" customHeight="1">
      <c r="A484" s="1"/>
      <c r="B484" s="1"/>
      <c r="I484" s="1"/>
      <c r="J484" s="1"/>
      <c r="K484" s="1"/>
      <c r="L484" s="1"/>
    </row>
    <row r="485" ht="15.75" customHeight="1">
      <c r="A485" s="1"/>
      <c r="B485" s="1"/>
      <c r="I485" s="1"/>
      <c r="J485" s="1"/>
      <c r="K485" s="1"/>
      <c r="L485" s="1"/>
    </row>
    <row r="486" ht="15.75" customHeight="1">
      <c r="A486" s="1"/>
      <c r="B486" s="1"/>
      <c r="I486" s="1"/>
      <c r="J486" s="1"/>
      <c r="K486" s="1"/>
      <c r="L486" s="1"/>
    </row>
    <row r="487" ht="15.75" customHeight="1">
      <c r="A487" s="1"/>
      <c r="B487" s="1"/>
      <c r="I487" s="1"/>
      <c r="J487" s="1"/>
      <c r="K487" s="1"/>
      <c r="L487" s="1"/>
    </row>
    <row r="488" ht="15.75" customHeight="1">
      <c r="A488" s="1"/>
      <c r="B488" s="1"/>
      <c r="I488" s="1"/>
      <c r="J488" s="1"/>
      <c r="K488" s="1"/>
      <c r="L488" s="1"/>
    </row>
    <row r="489" ht="15.75" customHeight="1">
      <c r="A489" s="1"/>
      <c r="B489" s="1"/>
      <c r="I489" s="1"/>
      <c r="J489" s="1"/>
      <c r="K489" s="1"/>
      <c r="L489" s="1"/>
    </row>
    <row r="490" ht="15.75" customHeight="1">
      <c r="A490" s="1"/>
      <c r="B490" s="1"/>
      <c r="I490" s="1"/>
      <c r="J490" s="1"/>
      <c r="K490" s="1"/>
      <c r="L490" s="1"/>
    </row>
    <row r="491" ht="15.75" customHeight="1">
      <c r="A491" s="1"/>
      <c r="B491" s="1"/>
      <c r="I491" s="1"/>
      <c r="J491" s="1"/>
      <c r="K491" s="1"/>
      <c r="L491" s="1"/>
    </row>
    <row r="492" ht="15.75" customHeight="1">
      <c r="A492" s="1"/>
      <c r="B492" s="1"/>
      <c r="I492" s="1"/>
      <c r="J492" s="1"/>
      <c r="K492" s="1"/>
      <c r="L492" s="1"/>
    </row>
    <row r="493" ht="15.75" customHeight="1">
      <c r="A493" s="1"/>
      <c r="B493" s="1"/>
      <c r="I493" s="1"/>
      <c r="J493" s="1"/>
      <c r="K493" s="1"/>
      <c r="L493" s="1"/>
    </row>
    <row r="494" ht="15.75" customHeight="1">
      <c r="A494" s="1"/>
      <c r="B494" s="1"/>
      <c r="I494" s="1"/>
      <c r="J494" s="1"/>
      <c r="K494" s="1"/>
      <c r="L494" s="1"/>
    </row>
    <row r="495" ht="15.75" customHeight="1">
      <c r="A495" s="1"/>
      <c r="B495" s="1"/>
      <c r="I495" s="1"/>
      <c r="J495" s="1"/>
      <c r="K495" s="1"/>
      <c r="L495" s="1"/>
    </row>
    <row r="496" ht="15.75" customHeight="1">
      <c r="A496" s="1"/>
      <c r="B496" s="1"/>
      <c r="I496" s="1"/>
      <c r="J496" s="1"/>
      <c r="K496" s="1"/>
      <c r="L496" s="1"/>
    </row>
    <row r="497" ht="15.75" customHeight="1">
      <c r="A497" s="1"/>
      <c r="B497" s="1"/>
      <c r="I497" s="1"/>
      <c r="J497" s="1"/>
      <c r="K497" s="1"/>
      <c r="L497" s="1"/>
    </row>
    <row r="498" ht="15.75" customHeight="1">
      <c r="A498" s="1"/>
      <c r="B498" s="1"/>
      <c r="I498" s="1"/>
      <c r="J498" s="1"/>
      <c r="K498" s="1"/>
      <c r="L498" s="1"/>
    </row>
    <row r="499" ht="15.75" customHeight="1">
      <c r="A499" s="1"/>
      <c r="B499" s="1"/>
      <c r="I499" s="1"/>
      <c r="J499" s="1"/>
      <c r="K499" s="1"/>
      <c r="L499" s="1"/>
    </row>
    <row r="500" ht="15.75" customHeight="1">
      <c r="A500" s="1"/>
      <c r="B500" s="1"/>
      <c r="I500" s="1"/>
      <c r="J500" s="1"/>
      <c r="K500" s="1"/>
      <c r="L500" s="1"/>
    </row>
    <row r="501" ht="15.75" customHeight="1">
      <c r="A501" s="1"/>
      <c r="B501" s="1"/>
      <c r="I501" s="1"/>
      <c r="J501" s="1"/>
      <c r="K501" s="1"/>
      <c r="L501" s="1"/>
    </row>
    <row r="502" ht="15.75" customHeight="1">
      <c r="A502" s="1"/>
      <c r="B502" s="1"/>
      <c r="I502" s="1"/>
      <c r="J502" s="1"/>
      <c r="K502" s="1"/>
      <c r="L502" s="1"/>
    </row>
    <row r="503" ht="15.75" customHeight="1">
      <c r="A503" s="1"/>
      <c r="B503" s="1"/>
      <c r="I503" s="1"/>
      <c r="J503" s="1"/>
      <c r="K503" s="1"/>
      <c r="L503" s="1"/>
    </row>
    <row r="504" ht="15.75" customHeight="1">
      <c r="A504" s="1"/>
      <c r="B504" s="1"/>
      <c r="I504" s="1"/>
      <c r="J504" s="1"/>
      <c r="K504" s="1"/>
      <c r="L504" s="1"/>
    </row>
    <row r="505" ht="15.75" customHeight="1">
      <c r="A505" s="1"/>
      <c r="B505" s="1"/>
      <c r="I505" s="1"/>
      <c r="J505" s="1"/>
      <c r="K505" s="1"/>
      <c r="L505" s="1"/>
    </row>
    <row r="506" ht="15.75" customHeight="1">
      <c r="A506" s="1"/>
      <c r="B506" s="1"/>
      <c r="I506" s="1"/>
      <c r="J506" s="1"/>
      <c r="K506" s="1"/>
      <c r="L506" s="1"/>
    </row>
    <row r="507" ht="15.75" customHeight="1">
      <c r="A507" s="1"/>
      <c r="B507" s="1"/>
      <c r="I507" s="1"/>
      <c r="J507" s="1"/>
      <c r="K507" s="1"/>
      <c r="L507" s="1"/>
    </row>
    <row r="508" ht="15.75" customHeight="1">
      <c r="A508" s="1"/>
      <c r="B508" s="1"/>
      <c r="I508" s="1"/>
      <c r="J508" s="1"/>
      <c r="K508" s="1"/>
      <c r="L508" s="1"/>
    </row>
    <row r="509" ht="15.75" customHeight="1">
      <c r="A509" s="1"/>
      <c r="B509" s="1"/>
      <c r="I509" s="1"/>
      <c r="J509" s="1"/>
      <c r="K509" s="1"/>
      <c r="L509" s="1"/>
    </row>
    <row r="510" ht="15.75" customHeight="1">
      <c r="A510" s="1"/>
      <c r="B510" s="1"/>
      <c r="I510" s="1"/>
      <c r="J510" s="1"/>
      <c r="K510" s="1"/>
      <c r="L510" s="1"/>
    </row>
    <row r="511" ht="15.75" customHeight="1">
      <c r="A511" s="1"/>
      <c r="B511" s="1"/>
      <c r="I511" s="1"/>
      <c r="J511" s="1"/>
      <c r="K511" s="1"/>
      <c r="L511" s="1"/>
    </row>
    <row r="512" ht="15.75" customHeight="1">
      <c r="A512" s="1"/>
      <c r="B512" s="1"/>
      <c r="I512" s="1"/>
      <c r="J512" s="1"/>
      <c r="K512" s="1"/>
      <c r="L512" s="1"/>
    </row>
    <row r="513" ht="15.75" customHeight="1">
      <c r="A513" s="1"/>
      <c r="B513" s="1"/>
      <c r="I513" s="1"/>
      <c r="J513" s="1"/>
      <c r="K513" s="1"/>
      <c r="L513" s="1"/>
    </row>
    <row r="514" ht="15.75" customHeight="1">
      <c r="A514" s="1"/>
      <c r="B514" s="1"/>
      <c r="I514" s="1"/>
      <c r="J514" s="1"/>
      <c r="K514" s="1"/>
      <c r="L514" s="1"/>
    </row>
    <row r="515" ht="15.75" customHeight="1">
      <c r="A515" s="1"/>
      <c r="B515" s="1"/>
      <c r="I515" s="1"/>
      <c r="J515" s="1"/>
      <c r="K515" s="1"/>
      <c r="L515" s="1"/>
    </row>
    <row r="516" ht="15.75" customHeight="1">
      <c r="A516" s="1"/>
      <c r="B516" s="1"/>
      <c r="I516" s="1"/>
      <c r="J516" s="1"/>
      <c r="K516" s="1"/>
      <c r="L516" s="1"/>
    </row>
    <row r="517" ht="15.75" customHeight="1">
      <c r="A517" s="1"/>
      <c r="B517" s="1"/>
      <c r="I517" s="1"/>
      <c r="J517" s="1"/>
      <c r="K517" s="1"/>
      <c r="L517" s="1"/>
    </row>
    <row r="518" ht="15.75" customHeight="1">
      <c r="A518" s="1"/>
      <c r="B518" s="1"/>
      <c r="I518" s="1"/>
      <c r="J518" s="1"/>
      <c r="K518" s="1"/>
      <c r="L518" s="1"/>
    </row>
    <row r="519" ht="15.75" customHeight="1">
      <c r="A519" s="1"/>
      <c r="B519" s="1"/>
      <c r="I519" s="1"/>
      <c r="J519" s="1"/>
      <c r="K519" s="1"/>
      <c r="L519" s="1"/>
    </row>
    <row r="520" ht="15.75" customHeight="1">
      <c r="A520" s="1"/>
      <c r="B520" s="1"/>
      <c r="I520" s="1"/>
      <c r="J520" s="1"/>
      <c r="K520" s="1"/>
      <c r="L520" s="1"/>
    </row>
    <row r="521" ht="15.75" customHeight="1">
      <c r="A521" s="1"/>
      <c r="B521" s="1"/>
      <c r="I521" s="1"/>
      <c r="J521" s="1"/>
      <c r="K521" s="1"/>
      <c r="L521" s="1"/>
    </row>
    <row r="522" ht="15.75" customHeight="1">
      <c r="A522" s="1"/>
      <c r="B522" s="1"/>
      <c r="I522" s="1"/>
      <c r="J522" s="1"/>
      <c r="K522" s="1"/>
      <c r="L522" s="1"/>
    </row>
    <row r="523" ht="15.75" customHeight="1">
      <c r="A523" s="1"/>
      <c r="B523" s="1"/>
      <c r="I523" s="1"/>
      <c r="J523" s="1"/>
      <c r="K523" s="1"/>
      <c r="L523" s="1"/>
    </row>
    <row r="524" ht="15.75" customHeight="1">
      <c r="A524" s="1"/>
      <c r="B524" s="1"/>
      <c r="I524" s="1"/>
      <c r="J524" s="1"/>
      <c r="K524" s="1"/>
      <c r="L524" s="1"/>
    </row>
    <row r="525" ht="15.75" customHeight="1">
      <c r="A525" s="1"/>
      <c r="B525" s="1"/>
      <c r="I525" s="1"/>
      <c r="J525" s="1"/>
      <c r="K525" s="1"/>
      <c r="L525" s="1"/>
    </row>
    <row r="526" ht="15.75" customHeight="1">
      <c r="A526" s="1"/>
      <c r="B526" s="1"/>
      <c r="I526" s="1"/>
      <c r="J526" s="1"/>
      <c r="K526" s="1"/>
      <c r="L526" s="1"/>
    </row>
    <row r="527" ht="15.75" customHeight="1">
      <c r="A527" s="1"/>
      <c r="B527" s="1"/>
      <c r="I527" s="1"/>
      <c r="J527" s="1"/>
      <c r="K527" s="1"/>
      <c r="L527" s="1"/>
    </row>
    <row r="528" ht="15.75" customHeight="1">
      <c r="A528" s="1"/>
      <c r="B528" s="1"/>
      <c r="I528" s="1"/>
      <c r="J528" s="1"/>
      <c r="K528" s="1"/>
      <c r="L528" s="1"/>
    </row>
    <row r="529" ht="15.75" customHeight="1">
      <c r="A529" s="1"/>
      <c r="B529" s="1"/>
      <c r="I529" s="1"/>
      <c r="J529" s="1"/>
      <c r="K529" s="1"/>
      <c r="L529" s="1"/>
    </row>
    <row r="530" ht="15.75" customHeight="1">
      <c r="A530" s="1"/>
      <c r="B530" s="1"/>
      <c r="I530" s="1"/>
      <c r="J530" s="1"/>
      <c r="K530" s="1"/>
      <c r="L530" s="1"/>
    </row>
    <row r="531" ht="15.75" customHeight="1">
      <c r="A531" s="1"/>
      <c r="B531" s="1"/>
      <c r="I531" s="1"/>
      <c r="J531" s="1"/>
      <c r="K531" s="1"/>
      <c r="L531" s="1"/>
    </row>
    <row r="532" ht="15.75" customHeight="1">
      <c r="A532" s="1"/>
      <c r="B532" s="1"/>
      <c r="I532" s="1"/>
      <c r="J532" s="1"/>
      <c r="K532" s="1"/>
      <c r="L532" s="1"/>
    </row>
    <row r="533" ht="15.75" customHeight="1">
      <c r="A533" s="1"/>
      <c r="B533" s="1"/>
      <c r="I533" s="1"/>
      <c r="J533" s="1"/>
      <c r="K533" s="1"/>
      <c r="L533" s="1"/>
    </row>
    <row r="534" ht="15.75" customHeight="1">
      <c r="A534" s="1"/>
      <c r="B534" s="1"/>
      <c r="I534" s="1"/>
      <c r="J534" s="1"/>
      <c r="K534" s="1"/>
      <c r="L534" s="1"/>
    </row>
    <row r="535" ht="15.75" customHeight="1">
      <c r="A535" s="1"/>
      <c r="B535" s="1"/>
      <c r="I535" s="1"/>
      <c r="J535" s="1"/>
      <c r="K535" s="1"/>
      <c r="L535" s="1"/>
    </row>
    <row r="536" ht="15.75" customHeight="1">
      <c r="A536" s="1"/>
      <c r="B536" s="1"/>
      <c r="I536" s="1"/>
      <c r="J536" s="1"/>
      <c r="K536" s="1"/>
      <c r="L536" s="1"/>
    </row>
    <row r="537" ht="15.75" customHeight="1">
      <c r="A537" s="1"/>
      <c r="B537" s="1"/>
      <c r="I537" s="1"/>
      <c r="J537" s="1"/>
      <c r="K537" s="1"/>
      <c r="L537" s="1"/>
    </row>
    <row r="538" ht="15.75" customHeight="1">
      <c r="A538" s="1"/>
      <c r="B538" s="1"/>
      <c r="I538" s="1"/>
      <c r="J538" s="1"/>
      <c r="K538" s="1"/>
      <c r="L538" s="1"/>
    </row>
    <row r="539" ht="15.75" customHeight="1">
      <c r="A539" s="1"/>
      <c r="B539" s="1"/>
      <c r="I539" s="1"/>
      <c r="J539" s="1"/>
      <c r="K539" s="1"/>
      <c r="L539" s="1"/>
    </row>
    <row r="540" ht="15.75" customHeight="1">
      <c r="A540" s="1"/>
      <c r="B540" s="1"/>
      <c r="I540" s="1"/>
      <c r="J540" s="1"/>
      <c r="K540" s="1"/>
      <c r="L540" s="1"/>
    </row>
    <row r="541" ht="15.75" customHeight="1">
      <c r="A541" s="1"/>
      <c r="B541" s="1"/>
      <c r="I541" s="1"/>
      <c r="J541" s="1"/>
      <c r="K541" s="1"/>
      <c r="L541" s="1"/>
    </row>
    <row r="542" ht="15.75" customHeight="1">
      <c r="A542" s="1"/>
      <c r="B542" s="1"/>
      <c r="I542" s="1"/>
      <c r="J542" s="1"/>
      <c r="K542" s="1"/>
      <c r="L542" s="1"/>
    </row>
    <row r="543" ht="15.75" customHeight="1">
      <c r="A543" s="1"/>
      <c r="B543" s="1"/>
      <c r="I543" s="1"/>
      <c r="J543" s="1"/>
      <c r="K543" s="1"/>
      <c r="L543" s="1"/>
    </row>
    <row r="544" ht="15.75" customHeight="1">
      <c r="A544" s="1"/>
      <c r="B544" s="1"/>
      <c r="I544" s="1"/>
      <c r="J544" s="1"/>
      <c r="K544" s="1"/>
      <c r="L544" s="1"/>
    </row>
    <row r="545" ht="15.75" customHeight="1">
      <c r="A545" s="1"/>
      <c r="B545" s="1"/>
      <c r="I545" s="1"/>
      <c r="J545" s="1"/>
      <c r="K545" s="1"/>
      <c r="L545" s="1"/>
    </row>
    <row r="546" ht="15.75" customHeight="1">
      <c r="A546" s="1"/>
      <c r="B546" s="1"/>
      <c r="I546" s="1"/>
      <c r="J546" s="1"/>
      <c r="K546" s="1"/>
      <c r="L546" s="1"/>
    </row>
    <row r="547" ht="15.75" customHeight="1">
      <c r="A547" s="1"/>
      <c r="B547" s="1"/>
      <c r="I547" s="1"/>
      <c r="J547" s="1"/>
      <c r="K547" s="1"/>
      <c r="L547" s="1"/>
    </row>
    <row r="548" ht="15.75" customHeight="1">
      <c r="A548" s="1"/>
      <c r="B548" s="1"/>
      <c r="I548" s="1"/>
      <c r="J548" s="1"/>
      <c r="K548" s="1"/>
      <c r="L548" s="1"/>
    </row>
    <row r="549" ht="15.75" customHeight="1">
      <c r="A549" s="1"/>
      <c r="B549" s="1"/>
      <c r="I549" s="1"/>
      <c r="J549" s="1"/>
      <c r="K549" s="1"/>
      <c r="L549" s="1"/>
    </row>
    <row r="550" ht="15.75" customHeight="1">
      <c r="A550" s="1"/>
      <c r="B550" s="1"/>
      <c r="I550" s="1"/>
      <c r="J550" s="1"/>
      <c r="K550" s="1"/>
      <c r="L550" s="1"/>
    </row>
    <row r="551" ht="15.75" customHeight="1">
      <c r="A551" s="1"/>
      <c r="B551" s="1"/>
      <c r="I551" s="1"/>
      <c r="J551" s="1"/>
      <c r="K551" s="1"/>
      <c r="L551" s="1"/>
    </row>
    <row r="552" ht="15.75" customHeight="1">
      <c r="A552" s="1"/>
      <c r="B552" s="1"/>
      <c r="I552" s="1"/>
      <c r="J552" s="1"/>
      <c r="K552" s="1"/>
      <c r="L552" s="1"/>
    </row>
    <row r="553" ht="15.75" customHeight="1">
      <c r="A553" s="1"/>
      <c r="B553" s="1"/>
      <c r="I553" s="1"/>
      <c r="J553" s="1"/>
      <c r="K553" s="1"/>
      <c r="L553" s="1"/>
    </row>
    <row r="554" ht="15.75" customHeight="1">
      <c r="A554" s="1"/>
      <c r="B554" s="1"/>
      <c r="I554" s="1"/>
      <c r="J554" s="1"/>
      <c r="K554" s="1"/>
      <c r="L554" s="1"/>
    </row>
    <row r="555" ht="15.75" customHeight="1">
      <c r="A555" s="1"/>
      <c r="B555" s="1"/>
      <c r="I555" s="1"/>
      <c r="J555" s="1"/>
      <c r="K555" s="1"/>
      <c r="L555" s="1"/>
    </row>
    <row r="556" ht="15.75" customHeight="1">
      <c r="A556" s="1"/>
      <c r="B556" s="1"/>
      <c r="I556" s="1"/>
      <c r="J556" s="1"/>
      <c r="K556" s="1"/>
      <c r="L556" s="1"/>
    </row>
    <row r="557" ht="15.75" customHeight="1">
      <c r="A557" s="1"/>
      <c r="B557" s="1"/>
      <c r="I557" s="1"/>
      <c r="J557" s="1"/>
      <c r="K557" s="1"/>
      <c r="L557" s="1"/>
    </row>
    <row r="558" ht="15.75" customHeight="1">
      <c r="A558" s="1"/>
      <c r="B558" s="1"/>
      <c r="I558" s="1"/>
      <c r="J558" s="1"/>
      <c r="K558" s="1"/>
      <c r="L558" s="1"/>
    </row>
    <row r="559" ht="15.75" customHeight="1">
      <c r="A559" s="1"/>
      <c r="B559" s="1"/>
      <c r="I559" s="1"/>
      <c r="J559" s="1"/>
      <c r="K559" s="1"/>
      <c r="L559" s="1"/>
    </row>
    <row r="560" ht="15.75" customHeight="1">
      <c r="A560" s="1"/>
      <c r="B560" s="1"/>
      <c r="I560" s="1"/>
      <c r="J560" s="1"/>
      <c r="K560" s="1"/>
      <c r="L560" s="1"/>
    </row>
    <row r="561" ht="15.75" customHeight="1">
      <c r="A561" s="1"/>
      <c r="B561" s="1"/>
      <c r="I561" s="1"/>
      <c r="J561" s="1"/>
      <c r="K561" s="1"/>
      <c r="L561" s="1"/>
    </row>
    <row r="562" ht="15.75" customHeight="1">
      <c r="A562" s="1"/>
      <c r="B562" s="1"/>
      <c r="I562" s="1"/>
      <c r="J562" s="1"/>
      <c r="K562" s="1"/>
      <c r="L562" s="1"/>
    </row>
    <row r="563" ht="15.75" customHeight="1">
      <c r="A563" s="1"/>
      <c r="B563" s="1"/>
      <c r="I563" s="1"/>
      <c r="J563" s="1"/>
      <c r="K563" s="1"/>
      <c r="L563" s="1"/>
    </row>
    <row r="564" ht="15.75" customHeight="1">
      <c r="A564" s="1"/>
      <c r="B564" s="1"/>
      <c r="I564" s="1"/>
      <c r="J564" s="1"/>
      <c r="K564" s="1"/>
      <c r="L564" s="1"/>
    </row>
    <row r="565" ht="15.75" customHeight="1">
      <c r="A565" s="1"/>
      <c r="B565" s="1"/>
      <c r="I565" s="1"/>
      <c r="J565" s="1"/>
      <c r="K565" s="1"/>
      <c r="L565" s="1"/>
    </row>
    <row r="566" ht="15.75" customHeight="1">
      <c r="A566" s="1"/>
      <c r="B566" s="1"/>
      <c r="I566" s="1"/>
      <c r="J566" s="1"/>
      <c r="K566" s="1"/>
      <c r="L566" s="1"/>
    </row>
    <row r="567" ht="15.75" customHeight="1">
      <c r="A567" s="1"/>
      <c r="B567" s="1"/>
      <c r="I567" s="1"/>
      <c r="J567" s="1"/>
      <c r="K567" s="1"/>
      <c r="L567" s="1"/>
    </row>
    <row r="568" ht="15.75" customHeight="1">
      <c r="A568" s="1"/>
      <c r="B568" s="1"/>
      <c r="I568" s="1"/>
      <c r="J568" s="1"/>
      <c r="K568" s="1"/>
      <c r="L568" s="1"/>
    </row>
    <row r="569" ht="15.75" customHeight="1">
      <c r="A569" s="1"/>
      <c r="B569" s="1"/>
      <c r="I569" s="1"/>
      <c r="J569" s="1"/>
      <c r="K569" s="1"/>
      <c r="L569" s="1"/>
    </row>
    <row r="570" ht="15.75" customHeight="1">
      <c r="A570" s="1"/>
      <c r="B570" s="1"/>
      <c r="I570" s="1"/>
      <c r="J570" s="1"/>
      <c r="K570" s="1"/>
      <c r="L570" s="1"/>
    </row>
    <row r="571" ht="15.75" customHeight="1">
      <c r="A571" s="1"/>
      <c r="B571" s="1"/>
      <c r="I571" s="1"/>
      <c r="J571" s="1"/>
      <c r="K571" s="1"/>
      <c r="L571" s="1"/>
    </row>
    <row r="572" ht="15.75" customHeight="1">
      <c r="A572" s="1"/>
      <c r="B572" s="1"/>
      <c r="I572" s="1"/>
      <c r="J572" s="1"/>
      <c r="K572" s="1"/>
      <c r="L572" s="1"/>
    </row>
    <row r="573" ht="15.75" customHeight="1">
      <c r="A573" s="1"/>
      <c r="B573" s="1"/>
      <c r="I573" s="1"/>
      <c r="J573" s="1"/>
      <c r="K573" s="1"/>
      <c r="L573" s="1"/>
    </row>
    <row r="574" ht="15.75" customHeight="1">
      <c r="A574" s="1"/>
      <c r="B574" s="1"/>
      <c r="I574" s="1"/>
      <c r="J574" s="1"/>
      <c r="K574" s="1"/>
      <c r="L574" s="1"/>
    </row>
    <row r="575" ht="15.75" customHeight="1">
      <c r="A575" s="1"/>
      <c r="B575" s="1"/>
      <c r="I575" s="1"/>
      <c r="J575" s="1"/>
      <c r="K575" s="1"/>
      <c r="L575" s="1"/>
    </row>
    <row r="576" ht="15.75" customHeight="1">
      <c r="A576" s="1"/>
      <c r="B576" s="1"/>
      <c r="I576" s="1"/>
      <c r="J576" s="1"/>
      <c r="K576" s="1"/>
      <c r="L576" s="1"/>
    </row>
    <row r="577" ht="15.75" customHeight="1">
      <c r="A577" s="1"/>
      <c r="B577" s="1"/>
      <c r="I577" s="1"/>
      <c r="J577" s="1"/>
      <c r="K577" s="1"/>
      <c r="L577" s="1"/>
    </row>
    <row r="578" ht="15.75" customHeight="1">
      <c r="A578" s="1"/>
      <c r="B578" s="1"/>
      <c r="I578" s="1"/>
      <c r="J578" s="1"/>
      <c r="K578" s="1"/>
      <c r="L578" s="1"/>
    </row>
    <row r="579" ht="15.75" customHeight="1">
      <c r="A579" s="1"/>
      <c r="B579" s="1"/>
      <c r="I579" s="1"/>
      <c r="J579" s="1"/>
      <c r="K579" s="1"/>
      <c r="L579" s="1"/>
    </row>
    <row r="580" ht="15.75" customHeight="1">
      <c r="A580" s="1"/>
      <c r="B580" s="1"/>
      <c r="I580" s="1"/>
      <c r="J580" s="1"/>
      <c r="K580" s="1"/>
      <c r="L580" s="1"/>
    </row>
    <row r="581" ht="15.75" customHeight="1">
      <c r="A581" s="1"/>
      <c r="B581" s="1"/>
      <c r="I581" s="1"/>
      <c r="J581" s="1"/>
      <c r="K581" s="1"/>
      <c r="L581" s="1"/>
    </row>
    <row r="582" ht="15.75" customHeight="1">
      <c r="A582" s="1"/>
      <c r="B582" s="1"/>
      <c r="I582" s="1"/>
      <c r="J582" s="1"/>
      <c r="K582" s="1"/>
      <c r="L582" s="1"/>
    </row>
    <row r="583" ht="15.75" customHeight="1">
      <c r="A583" s="1"/>
      <c r="B583" s="1"/>
      <c r="I583" s="1"/>
      <c r="J583" s="1"/>
      <c r="K583" s="1"/>
      <c r="L583" s="1"/>
    </row>
    <row r="584" ht="15.75" customHeight="1">
      <c r="A584" s="1"/>
      <c r="B584" s="1"/>
      <c r="I584" s="1"/>
      <c r="J584" s="1"/>
      <c r="K584" s="1"/>
      <c r="L584" s="1"/>
    </row>
    <row r="585" ht="15.75" customHeight="1">
      <c r="A585" s="1"/>
      <c r="B585" s="1"/>
      <c r="I585" s="1"/>
      <c r="J585" s="1"/>
      <c r="K585" s="1"/>
      <c r="L585" s="1"/>
    </row>
    <row r="586" ht="15.75" customHeight="1">
      <c r="A586" s="1"/>
      <c r="B586" s="1"/>
      <c r="I586" s="1"/>
      <c r="J586" s="1"/>
      <c r="K586" s="1"/>
      <c r="L586" s="1"/>
    </row>
    <row r="587" ht="15.75" customHeight="1">
      <c r="A587" s="1"/>
      <c r="B587" s="1"/>
      <c r="I587" s="1"/>
      <c r="J587" s="1"/>
      <c r="K587" s="1"/>
      <c r="L587" s="1"/>
    </row>
    <row r="588" ht="15.75" customHeight="1">
      <c r="A588" s="1"/>
      <c r="B588" s="1"/>
      <c r="I588" s="1"/>
      <c r="J588" s="1"/>
      <c r="K588" s="1"/>
      <c r="L588" s="1"/>
    </row>
    <row r="589" ht="15.75" customHeight="1">
      <c r="A589" s="1"/>
      <c r="B589" s="1"/>
      <c r="I589" s="1"/>
      <c r="J589" s="1"/>
      <c r="K589" s="1"/>
      <c r="L589" s="1"/>
    </row>
    <row r="590" ht="15.75" customHeight="1">
      <c r="A590" s="1"/>
      <c r="B590" s="1"/>
      <c r="I590" s="1"/>
      <c r="J590" s="1"/>
      <c r="K590" s="1"/>
      <c r="L590" s="1"/>
    </row>
    <row r="591" ht="15.75" customHeight="1">
      <c r="A591" s="1"/>
      <c r="B591" s="1"/>
      <c r="I591" s="1"/>
      <c r="J591" s="1"/>
      <c r="K591" s="1"/>
      <c r="L591" s="1"/>
    </row>
    <row r="592" ht="15.75" customHeight="1">
      <c r="A592" s="1"/>
      <c r="B592" s="1"/>
      <c r="I592" s="1"/>
      <c r="J592" s="1"/>
      <c r="K592" s="1"/>
      <c r="L592" s="1"/>
    </row>
    <row r="593" ht="15.75" customHeight="1">
      <c r="A593" s="1"/>
      <c r="B593" s="1"/>
      <c r="I593" s="1"/>
      <c r="J593" s="1"/>
      <c r="K593" s="1"/>
      <c r="L593" s="1"/>
    </row>
    <row r="594" ht="15.75" customHeight="1">
      <c r="A594" s="1"/>
      <c r="B594" s="1"/>
      <c r="I594" s="1"/>
      <c r="J594" s="1"/>
      <c r="K594" s="1"/>
      <c r="L594" s="1"/>
    </row>
    <row r="595" ht="15.75" customHeight="1">
      <c r="A595" s="1"/>
      <c r="B595" s="1"/>
      <c r="I595" s="1"/>
      <c r="J595" s="1"/>
      <c r="K595" s="1"/>
      <c r="L595" s="1"/>
    </row>
    <row r="596" ht="15.75" customHeight="1">
      <c r="A596" s="1"/>
      <c r="B596" s="1"/>
      <c r="I596" s="1"/>
      <c r="J596" s="1"/>
      <c r="K596" s="1"/>
      <c r="L596" s="1"/>
    </row>
    <row r="597" ht="15.75" customHeight="1">
      <c r="A597" s="1"/>
      <c r="B597" s="1"/>
      <c r="I597" s="1"/>
      <c r="J597" s="1"/>
      <c r="K597" s="1"/>
      <c r="L597" s="1"/>
    </row>
    <row r="598" ht="15.75" customHeight="1">
      <c r="A598" s="1"/>
      <c r="B598" s="1"/>
      <c r="I598" s="1"/>
      <c r="J598" s="1"/>
      <c r="K598" s="1"/>
      <c r="L598" s="1"/>
    </row>
    <row r="599" ht="15.75" customHeight="1">
      <c r="A599" s="1"/>
      <c r="B599" s="1"/>
      <c r="I599" s="1"/>
      <c r="J599" s="1"/>
      <c r="K599" s="1"/>
      <c r="L599" s="1"/>
    </row>
    <row r="600" ht="15.75" customHeight="1">
      <c r="A600" s="1"/>
      <c r="B600" s="1"/>
      <c r="I600" s="1"/>
      <c r="J600" s="1"/>
      <c r="K600" s="1"/>
      <c r="L600" s="1"/>
    </row>
    <row r="601" ht="15.75" customHeight="1">
      <c r="A601" s="1"/>
      <c r="B601" s="1"/>
      <c r="I601" s="1"/>
      <c r="J601" s="1"/>
      <c r="K601" s="1"/>
      <c r="L601" s="1"/>
    </row>
    <row r="602" ht="15.75" customHeight="1">
      <c r="A602" s="1"/>
      <c r="B602" s="1"/>
      <c r="I602" s="1"/>
      <c r="J602" s="1"/>
      <c r="K602" s="1"/>
      <c r="L602" s="1"/>
    </row>
    <row r="603" ht="15.75" customHeight="1">
      <c r="A603" s="1"/>
      <c r="B603" s="1"/>
      <c r="I603" s="1"/>
      <c r="J603" s="1"/>
      <c r="K603" s="1"/>
      <c r="L603" s="1"/>
    </row>
    <row r="604" ht="15.75" customHeight="1">
      <c r="A604" s="1"/>
      <c r="B604" s="1"/>
      <c r="I604" s="1"/>
      <c r="J604" s="1"/>
      <c r="K604" s="1"/>
      <c r="L604" s="1"/>
    </row>
    <row r="605" ht="15.75" customHeight="1">
      <c r="A605" s="1"/>
      <c r="B605" s="1"/>
      <c r="I605" s="1"/>
      <c r="J605" s="1"/>
      <c r="K605" s="1"/>
      <c r="L605" s="1"/>
    </row>
    <row r="606" ht="15.75" customHeight="1">
      <c r="A606" s="1"/>
      <c r="B606" s="1"/>
      <c r="I606" s="1"/>
      <c r="J606" s="1"/>
      <c r="K606" s="1"/>
      <c r="L606" s="1"/>
    </row>
    <row r="607" ht="15.75" customHeight="1">
      <c r="A607" s="1"/>
      <c r="B607" s="1"/>
      <c r="I607" s="1"/>
      <c r="J607" s="1"/>
      <c r="K607" s="1"/>
      <c r="L607" s="1"/>
    </row>
    <row r="608" ht="15.75" customHeight="1">
      <c r="A608" s="1"/>
      <c r="B608" s="1"/>
      <c r="I608" s="1"/>
      <c r="J608" s="1"/>
      <c r="K608" s="1"/>
      <c r="L608" s="1"/>
    </row>
    <row r="609" ht="15.75" customHeight="1">
      <c r="A609" s="1"/>
      <c r="B609" s="1"/>
      <c r="I609" s="1"/>
      <c r="J609" s="1"/>
      <c r="K609" s="1"/>
      <c r="L609" s="1"/>
    </row>
    <row r="610" ht="15.75" customHeight="1">
      <c r="A610" s="1"/>
      <c r="B610" s="1"/>
      <c r="I610" s="1"/>
      <c r="J610" s="1"/>
      <c r="K610" s="1"/>
      <c r="L610" s="1"/>
    </row>
    <row r="611" ht="15.75" customHeight="1">
      <c r="A611" s="1"/>
      <c r="B611" s="1"/>
      <c r="I611" s="1"/>
      <c r="J611" s="1"/>
      <c r="K611" s="1"/>
      <c r="L611" s="1"/>
    </row>
    <row r="612" ht="15.75" customHeight="1">
      <c r="A612" s="1"/>
      <c r="B612" s="1"/>
      <c r="I612" s="1"/>
      <c r="J612" s="1"/>
      <c r="K612" s="1"/>
      <c r="L612" s="1"/>
    </row>
    <row r="613" ht="15.75" customHeight="1">
      <c r="A613" s="1"/>
      <c r="B613" s="1"/>
      <c r="I613" s="1"/>
      <c r="J613" s="1"/>
      <c r="K613" s="1"/>
      <c r="L613" s="1"/>
    </row>
    <row r="614" ht="15.75" customHeight="1">
      <c r="A614" s="1"/>
      <c r="B614" s="1"/>
      <c r="I614" s="1"/>
      <c r="J614" s="1"/>
      <c r="K614" s="1"/>
      <c r="L614" s="1"/>
    </row>
    <row r="615" ht="15.75" customHeight="1">
      <c r="A615" s="1"/>
      <c r="B615" s="1"/>
      <c r="I615" s="1"/>
      <c r="J615" s="1"/>
      <c r="K615" s="1"/>
      <c r="L615" s="1"/>
    </row>
    <row r="616" ht="15.75" customHeight="1">
      <c r="A616" s="1"/>
      <c r="B616" s="1"/>
      <c r="I616" s="1"/>
      <c r="J616" s="1"/>
      <c r="K616" s="1"/>
      <c r="L616" s="1"/>
    </row>
    <row r="617" ht="15.75" customHeight="1">
      <c r="A617" s="1"/>
      <c r="B617" s="1"/>
      <c r="I617" s="1"/>
      <c r="J617" s="1"/>
      <c r="K617" s="1"/>
      <c r="L617" s="1"/>
    </row>
    <row r="618" ht="15.75" customHeight="1">
      <c r="A618" s="1"/>
      <c r="B618" s="1"/>
      <c r="I618" s="1"/>
      <c r="J618" s="1"/>
      <c r="K618" s="1"/>
      <c r="L618" s="1"/>
    </row>
    <row r="619" ht="15.75" customHeight="1">
      <c r="A619" s="1"/>
      <c r="B619" s="1"/>
      <c r="I619" s="1"/>
      <c r="J619" s="1"/>
      <c r="K619" s="1"/>
      <c r="L619" s="1"/>
    </row>
    <row r="620" ht="15.75" customHeight="1">
      <c r="A620" s="1"/>
      <c r="B620" s="1"/>
      <c r="I620" s="1"/>
      <c r="J620" s="1"/>
      <c r="K620" s="1"/>
      <c r="L620" s="1"/>
    </row>
    <row r="621" ht="15.75" customHeight="1">
      <c r="A621" s="1"/>
      <c r="B621" s="1"/>
      <c r="I621" s="1"/>
      <c r="J621" s="1"/>
      <c r="K621" s="1"/>
      <c r="L621" s="1"/>
    </row>
    <row r="622" ht="15.75" customHeight="1">
      <c r="A622" s="1"/>
      <c r="B622" s="1"/>
      <c r="I622" s="1"/>
      <c r="J622" s="1"/>
      <c r="K622" s="1"/>
      <c r="L622" s="1"/>
    </row>
    <row r="623" ht="15.75" customHeight="1">
      <c r="A623" s="1"/>
      <c r="B623" s="1"/>
      <c r="I623" s="1"/>
      <c r="J623" s="1"/>
      <c r="K623" s="1"/>
      <c r="L623" s="1"/>
    </row>
    <row r="624" ht="15.75" customHeight="1">
      <c r="A624" s="1"/>
      <c r="B624" s="1"/>
      <c r="I624" s="1"/>
      <c r="J624" s="1"/>
      <c r="K624" s="1"/>
      <c r="L624" s="1"/>
    </row>
    <row r="625" ht="15.75" customHeight="1">
      <c r="A625" s="1"/>
      <c r="B625" s="1"/>
      <c r="I625" s="1"/>
      <c r="J625" s="1"/>
      <c r="K625" s="1"/>
      <c r="L625" s="1"/>
    </row>
    <row r="626" ht="15.75" customHeight="1">
      <c r="A626" s="1"/>
      <c r="B626" s="1"/>
      <c r="I626" s="1"/>
      <c r="J626" s="1"/>
      <c r="K626" s="1"/>
      <c r="L626" s="1"/>
    </row>
    <row r="627" ht="15.75" customHeight="1">
      <c r="A627" s="1"/>
      <c r="B627" s="1"/>
      <c r="I627" s="1"/>
      <c r="J627" s="1"/>
      <c r="K627" s="1"/>
      <c r="L627" s="1"/>
    </row>
    <row r="628" ht="15.75" customHeight="1">
      <c r="A628" s="1"/>
      <c r="B628" s="1"/>
      <c r="I628" s="1"/>
      <c r="J628" s="1"/>
      <c r="K628" s="1"/>
      <c r="L628" s="1"/>
    </row>
    <row r="629" ht="15.75" customHeight="1">
      <c r="A629" s="1"/>
      <c r="B629" s="1"/>
      <c r="I629" s="1"/>
      <c r="J629" s="1"/>
      <c r="K629" s="1"/>
      <c r="L629" s="1"/>
    </row>
    <row r="630" ht="15.75" customHeight="1">
      <c r="A630" s="1"/>
      <c r="B630" s="1"/>
      <c r="I630" s="1"/>
      <c r="J630" s="1"/>
      <c r="K630" s="1"/>
      <c r="L630" s="1"/>
    </row>
    <row r="631" ht="15.75" customHeight="1">
      <c r="A631" s="1"/>
      <c r="B631" s="1"/>
      <c r="I631" s="1"/>
      <c r="J631" s="1"/>
      <c r="K631" s="1"/>
      <c r="L631" s="1"/>
    </row>
    <row r="632" ht="15.75" customHeight="1">
      <c r="A632" s="1"/>
      <c r="B632" s="1"/>
      <c r="I632" s="1"/>
      <c r="J632" s="1"/>
      <c r="K632" s="1"/>
      <c r="L632" s="1"/>
    </row>
    <row r="633" ht="15.75" customHeight="1">
      <c r="A633" s="1"/>
      <c r="B633" s="1"/>
      <c r="I633" s="1"/>
      <c r="J633" s="1"/>
      <c r="K633" s="1"/>
      <c r="L633" s="1"/>
    </row>
    <row r="634" ht="15.75" customHeight="1">
      <c r="A634" s="1"/>
      <c r="B634" s="1"/>
      <c r="I634" s="1"/>
      <c r="J634" s="1"/>
      <c r="K634" s="1"/>
      <c r="L634" s="1"/>
    </row>
    <row r="635" ht="15.75" customHeight="1">
      <c r="A635" s="1"/>
      <c r="B635" s="1"/>
      <c r="I635" s="1"/>
      <c r="J635" s="1"/>
      <c r="K635" s="1"/>
      <c r="L635" s="1"/>
    </row>
    <row r="636" ht="15.75" customHeight="1">
      <c r="A636" s="1"/>
      <c r="B636" s="1"/>
      <c r="I636" s="1"/>
      <c r="J636" s="1"/>
      <c r="K636" s="1"/>
      <c r="L636" s="1"/>
    </row>
    <row r="637" ht="15.75" customHeight="1">
      <c r="A637" s="1"/>
      <c r="B637" s="1"/>
      <c r="I637" s="1"/>
      <c r="J637" s="1"/>
      <c r="K637" s="1"/>
      <c r="L637" s="1"/>
    </row>
    <row r="638" ht="15.75" customHeight="1">
      <c r="A638" s="1"/>
      <c r="B638" s="1"/>
      <c r="I638" s="1"/>
      <c r="J638" s="1"/>
      <c r="K638" s="1"/>
      <c r="L638" s="1"/>
    </row>
    <row r="639" ht="15.75" customHeight="1">
      <c r="A639" s="1"/>
      <c r="B639" s="1"/>
      <c r="I639" s="1"/>
      <c r="J639" s="1"/>
      <c r="K639" s="1"/>
      <c r="L639" s="1"/>
    </row>
    <row r="640" ht="15.75" customHeight="1">
      <c r="A640" s="1"/>
      <c r="B640" s="1"/>
      <c r="I640" s="1"/>
      <c r="J640" s="1"/>
      <c r="K640" s="1"/>
      <c r="L640" s="1"/>
    </row>
    <row r="641" ht="15.75" customHeight="1">
      <c r="A641" s="1"/>
      <c r="B641" s="1"/>
      <c r="I641" s="1"/>
      <c r="J641" s="1"/>
      <c r="K641" s="1"/>
      <c r="L641" s="1"/>
    </row>
    <row r="642" ht="15.75" customHeight="1">
      <c r="A642" s="1"/>
      <c r="B642" s="1"/>
      <c r="I642" s="1"/>
      <c r="J642" s="1"/>
      <c r="K642" s="1"/>
      <c r="L642" s="1"/>
    </row>
    <row r="643" ht="15.75" customHeight="1">
      <c r="A643" s="1"/>
      <c r="B643" s="1"/>
      <c r="I643" s="1"/>
      <c r="J643" s="1"/>
      <c r="K643" s="1"/>
      <c r="L643" s="1"/>
    </row>
    <row r="644" ht="15.75" customHeight="1">
      <c r="A644" s="1"/>
      <c r="B644" s="1"/>
      <c r="I644" s="1"/>
      <c r="J644" s="1"/>
      <c r="K644" s="1"/>
      <c r="L644" s="1"/>
    </row>
    <row r="645" ht="15.75" customHeight="1">
      <c r="A645" s="1"/>
      <c r="B645" s="1"/>
      <c r="I645" s="1"/>
      <c r="J645" s="1"/>
      <c r="K645" s="1"/>
      <c r="L645" s="1"/>
    </row>
    <row r="646" ht="15.75" customHeight="1">
      <c r="A646" s="1"/>
      <c r="B646" s="1"/>
      <c r="I646" s="1"/>
      <c r="J646" s="1"/>
      <c r="K646" s="1"/>
      <c r="L646" s="1"/>
    </row>
    <row r="647" ht="15.75" customHeight="1">
      <c r="A647" s="1"/>
      <c r="B647" s="1"/>
      <c r="I647" s="1"/>
      <c r="J647" s="1"/>
      <c r="K647" s="1"/>
      <c r="L647" s="1"/>
    </row>
    <row r="648" ht="15.75" customHeight="1">
      <c r="A648" s="1"/>
      <c r="B648" s="1"/>
      <c r="I648" s="1"/>
      <c r="J648" s="1"/>
      <c r="K648" s="1"/>
      <c r="L648" s="1"/>
    </row>
    <row r="649" ht="15.75" customHeight="1">
      <c r="A649" s="1"/>
      <c r="B649" s="1"/>
      <c r="I649" s="1"/>
      <c r="J649" s="1"/>
      <c r="K649" s="1"/>
      <c r="L649" s="1"/>
    </row>
    <row r="650" ht="15.75" customHeight="1">
      <c r="A650" s="1"/>
      <c r="B650" s="1"/>
      <c r="I650" s="1"/>
      <c r="J650" s="1"/>
      <c r="K650" s="1"/>
      <c r="L650" s="1"/>
    </row>
    <row r="651" ht="15.75" customHeight="1">
      <c r="A651" s="1"/>
      <c r="B651" s="1"/>
      <c r="I651" s="1"/>
      <c r="J651" s="1"/>
      <c r="K651" s="1"/>
      <c r="L651" s="1"/>
    </row>
    <row r="652" ht="15.75" customHeight="1">
      <c r="A652" s="1"/>
      <c r="B652" s="1"/>
      <c r="I652" s="1"/>
      <c r="J652" s="1"/>
      <c r="K652" s="1"/>
      <c r="L652" s="1"/>
    </row>
    <row r="653" ht="15.75" customHeight="1">
      <c r="A653" s="1"/>
      <c r="B653" s="1"/>
      <c r="I653" s="1"/>
      <c r="J653" s="1"/>
      <c r="K653" s="1"/>
      <c r="L653" s="1"/>
    </row>
    <row r="654" ht="15.75" customHeight="1">
      <c r="A654" s="1"/>
      <c r="B654" s="1"/>
      <c r="I654" s="1"/>
      <c r="J654" s="1"/>
      <c r="K654" s="1"/>
      <c r="L654" s="1"/>
    </row>
    <row r="655" ht="15.75" customHeight="1">
      <c r="A655" s="1"/>
      <c r="B655" s="1"/>
      <c r="I655" s="1"/>
      <c r="J655" s="1"/>
      <c r="K655" s="1"/>
      <c r="L655" s="1"/>
    </row>
    <row r="656" ht="15.75" customHeight="1">
      <c r="A656" s="1"/>
      <c r="B656" s="1"/>
      <c r="I656" s="1"/>
      <c r="J656" s="1"/>
      <c r="K656" s="1"/>
      <c r="L656" s="1"/>
    </row>
    <row r="657" ht="15.75" customHeight="1">
      <c r="A657" s="1"/>
      <c r="B657" s="1"/>
      <c r="I657" s="1"/>
      <c r="J657" s="1"/>
      <c r="K657" s="1"/>
      <c r="L657" s="1"/>
    </row>
    <row r="658" ht="15.75" customHeight="1">
      <c r="A658" s="1"/>
      <c r="B658" s="1"/>
      <c r="I658" s="1"/>
      <c r="J658" s="1"/>
      <c r="K658" s="1"/>
      <c r="L658" s="1"/>
    </row>
    <row r="659" ht="15.75" customHeight="1">
      <c r="A659" s="1"/>
      <c r="B659" s="1"/>
      <c r="I659" s="1"/>
      <c r="J659" s="1"/>
      <c r="K659" s="1"/>
      <c r="L659" s="1"/>
    </row>
    <row r="660" ht="15.75" customHeight="1">
      <c r="A660" s="1"/>
      <c r="B660" s="1"/>
      <c r="I660" s="1"/>
      <c r="J660" s="1"/>
      <c r="K660" s="1"/>
      <c r="L660" s="1"/>
    </row>
    <row r="661" ht="15.75" customHeight="1">
      <c r="A661" s="1"/>
      <c r="B661" s="1"/>
      <c r="I661" s="1"/>
      <c r="J661" s="1"/>
      <c r="K661" s="1"/>
      <c r="L661" s="1"/>
    </row>
    <row r="662" ht="15.75" customHeight="1">
      <c r="A662" s="1"/>
      <c r="B662" s="1"/>
      <c r="I662" s="1"/>
      <c r="J662" s="1"/>
      <c r="K662" s="1"/>
      <c r="L662" s="1"/>
    </row>
    <row r="663" ht="15.75" customHeight="1">
      <c r="A663" s="1"/>
      <c r="B663" s="1"/>
      <c r="I663" s="1"/>
      <c r="J663" s="1"/>
      <c r="K663" s="1"/>
      <c r="L663" s="1"/>
    </row>
    <row r="664" ht="15.75" customHeight="1">
      <c r="A664" s="1"/>
      <c r="B664" s="1"/>
      <c r="I664" s="1"/>
      <c r="J664" s="1"/>
      <c r="K664" s="1"/>
      <c r="L664" s="1"/>
    </row>
    <row r="665" ht="15.75" customHeight="1">
      <c r="A665" s="1"/>
      <c r="B665" s="1"/>
      <c r="I665" s="1"/>
      <c r="J665" s="1"/>
      <c r="K665" s="1"/>
      <c r="L665" s="1"/>
    </row>
    <row r="666" ht="15.75" customHeight="1">
      <c r="A666" s="1"/>
      <c r="B666" s="1"/>
      <c r="I666" s="1"/>
      <c r="J666" s="1"/>
      <c r="K666" s="1"/>
      <c r="L666" s="1"/>
    </row>
    <row r="667" ht="15.75" customHeight="1">
      <c r="A667" s="1"/>
      <c r="B667" s="1"/>
      <c r="I667" s="1"/>
      <c r="J667" s="1"/>
      <c r="K667" s="1"/>
      <c r="L667" s="1"/>
    </row>
    <row r="668" ht="15.75" customHeight="1">
      <c r="A668" s="1"/>
      <c r="B668" s="1"/>
      <c r="I668" s="1"/>
      <c r="J668" s="1"/>
      <c r="K668" s="1"/>
      <c r="L668" s="1"/>
    </row>
    <row r="669" ht="15.75" customHeight="1">
      <c r="A669" s="1"/>
      <c r="B669" s="1"/>
      <c r="I669" s="1"/>
      <c r="J669" s="1"/>
      <c r="K669" s="1"/>
      <c r="L669" s="1"/>
    </row>
    <row r="670" ht="15.75" customHeight="1">
      <c r="A670" s="1"/>
      <c r="B670" s="1"/>
      <c r="I670" s="1"/>
      <c r="J670" s="1"/>
      <c r="K670" s="1"/>
      <c r="L670" s="1"/>
    </row>
    <row r="671" ht="15.75" customHeight="1">
      <c r="A671" s="1"/>
      <c r="B671" s="1"/>
      <c r="I671" s="1"/>
      <c r="J671" s="1"/>
      <c r="K671" s="1"/>
      <c r="L671" s="1"/>
    </row>
    <row r="672" ht="15.75" customHeight="1">
      <c r="A672" s="1"/>
      <c r="B672" s="1"/>
      <c r="I672" s="1"/>
      <c r="J672" s="1"/>
      <c r="K672" s="1"/>
      <c r="L672" s="1"/>
    </row>
    <row r="673" ht="15.75" customHeight="1">
      <c r="A673" s="1"/>
      <c r="B673" s="1"/>
      <c r="I673" s="1"/>
      <c r="J673" s="1"/>
      <c r="K673" s="1"/>
      <c r="L673" s="1"/>
    </row>
    <row r="674" ht="15.75" customHeight="1">
      <c r="A674" s="1"/>
      <c r="B674" s="1"/>
      <c r="I674" s="1"/>
      <c r="J674" s="1"/>
      <c r="K674" s="1"/>
      <c r="L674" s="1"/>
    </row>
    <row r="675" ht="15.75" customHeight="1">
      <c r="A675" s="1"/>
      <c r="B675" s="1"/>
      <c r="I675" s="1"/>
      <c r="J675" s="1"/>
      <c r="K675" s="1"/>
      <c r="L675" s="1"/>
    </row>
    <row r="676" ht="15.75" customHeight="1">
      <c r="A676" s="1"/>
      <c r="B676" s="1"/>
      <c r="I676" s="1"/>
      <c r="J676" s="1"/>
      <c r="K676" s="1"/>
      <c r="L676" s="1"/>
    </row>
    <row r="677" ht="15.75" customHeight="1">
      <c r="A677" s="1"/>
      <c r="B677" s="1"/>
      <c r="I677" s="1"/>
      <c r="J677" s="1"/>
      <c r="K677" s="1"/>
      <c r="L677" s="1"/>
    </row>
    <row r="678" ht="15.75" customHeight="1">
      <c r="A678" s="1"/>
      <c r="B678" s="1"/>
      <c r="I678" s="1"/>
      <c r="J678" s="1"/>
      <c r="K678" s="1"/>
      <c r="L678" s="1"/>
    </row>
    <row r="679" ht="15.75" customHeight="1">
      <c r="A679" s="1"/>
      <c r="B679" s="1"/>
      <c r="I679" s="1"/>
      <c r="J679" s="1"/>
      <c r="K679" s="1"/>
      <c r="L679" s="1"/>
    </row>
    <row r="680" ht="15.75" customHeight="1">
      <c r="A680" s="1"/>
      <c r="B680" s="1"/>
      <c r="I680" s="1"/>
      <c r="J680" s="1"/>
      <c r="K680" s="1"/>
      <c r="L680" s="1"/>
    </row>
    <row r="681" ht="15.75" customHeight="1">
      <c r="A681" s="1"/>
      <c r="B681" s="1"/>
      <c r="I681" s="1"/>
      <c r="J681" s="1"/>
      <c r="K681" s="1"/>
      <c r="L681" s="1"/>
    </row>
    <row r="682" ht="15.75" customHeight="1">
      <c r="A682" s="1"/>
      <c r="B682" s="1"/>
      <c r="I682" s="1"/>
      <c r="J682" s="1"/>
      <c r="K682" s="1"/>
      <c r="L682" s="1"/>
    </row>
    <row r="683" ht="15.75" customHeight="1">
      <c r="A683" s="1"/>
      <c r="B683" s="1"/>
      <c r="I683" s="1"/>
      <c r="J683" s="1"/>
      <c r="K683" s="1"/>
      <c r="L683" s="1"/>
    </row>
    <row r="684" ht="15.75" customHeight="1">
      <c r="A684" s="1"/>
      <c r="B684" s="1"/>
      <c r="I684" s="1"/>
      <c r="J684" s="1"/>
      <c r="K684" s="1"/>
      <c r="L684" s="1"/>
    </row>
    <row r="685" ht="15.75" customHeight="1">
      <c r="A685" s="1"/>
      <c r="B685" s="1"/>
      <c r="I685" s="1"/>
      <c r="J685" s="1"/>
      <c r="K685" s="1"/>
      <c r="L685" s="1"/>
    </row>
    <row r="686" ht="15.75" customHeight="1">
      <c r="A686" s="1"/>
      <c r="B686" s="1"/>
      <c r="I686" s="1"/>
      <c r="J686" s="1"/>
      <c r="K686" s="1"/>
      <c r="L686" s="1"/>
    </row>
    <row r="687" ht="15.75" customHeight="1">
      <c r="A687" s="1"/>
      <c r="B687" s="1"/>
      <c r="I687" s="1"/>
      <c r="J687" s="1"/>
      <c r="K687" s="1"/>
      <c r="L687" s="1"/>
    </row>
    <row r="688" ht="15.75" customHeight="1">
      <c r="A688" s="1"/>
      <c r="B688" s="1"/>
      <c r="I688" s="1"/>
      <c r="J688" s="1"/>
      <c r="K688" s="1"/>
      <c r="L688" s="1"/>
    </row>
    <row r="689" ht="15.75" customHeight="1">
      <c r="A689" s="1"/>
      <c r="B689" s="1"/>
      <c r="I689" s="1"/>
      <c r="J689" s="1"/>
      <c r="K689" s="1"/>
      <c r="L689" s="1"/>
    </row>
    <row r="690" ht="15.75" customHeight="1">
      <c r="A690" s="1"/>
      <c r="B690" s="1"/>
      <c r="I690" s="1"/>
      <c r="J690" s="1"/>
      <c r="K690" s="1"/>
      <c r="L690" s="1"/>
    </row>
    <row r="691" ht="15.75" customHeight="1">
      <c r="A691" s="1"/>
      <c r="B691" s="1"/>
      <c r="I691" s="1"/>
      <c r="J691" s="1"/>
      <c r="K691" s="1"/>
      <c r="L691" s="1"/>
    </row>
    <row r="692" ht="15.75" customHeight="1">
      <c r="A692" s="1"/>
      <c r="B692" s="1"/>
      <c r="I692" s="1"/>
      <c r="J692" s="1"/>
      <c r="K692" s="1"/>
      <c r="L692" s="1"/>
    </row>
    <row r="693" ht="15.75" customHeight="1">
      <c r="A693" s="1"/>
      <c r="B693" s="1"/>
      <c r="I693" s="1"/>
      <c r="J693" s="1"/>
      <c r="K693" s="1"/>
      <c r="L693" s="1"/>
    </row>
    <row r="694" ht="15.75" customHeight="1">
      <c r="A694" s="1"/>
      <c r="B694" s="1"/>
      <c r="I694" s="1"/>
      <c r="J694" s="1"/>
      <c r="K694" s="1"/>
      <c r="L694" s="1"/>
    </row>
    <row r="695" ht="15.75" customHeight="1">
      <c r="A695" s="1"/>
      <c r="B695" s="1"/>
      <c r="I695" s="1"/>
      <c r="J695" s="1"/>
      <c r="K695" s="1"/>
      <c r="L695" s="1"/>
    </row>
    <row r="696" ht="15.75" customHeight="1">
      <c r="A696" s="1"/>
      <c r="B696" s="1"/>
      <c r="I696" s="1"/>
      <c r="J696" s="1"/>
      <c r="K696" s="1"/>
      <c r="L696" s="1"/>
    </row>
    <row r="697" ht="15.75" customHeight="1">
      <c r="A697" s="1"/>
      <c r="B697" s="1"/>
      <c r="I697" s="1"/>
      <c r="J697" s="1"/>
      <c r="K697" s="1"/>
      <c r="L697" s="1"/>
    </row>
    <row r="698" ht="15.75" customHeight="1">
      <c r="A698" s="1"/>
      <c r="B698" s="1"/>
      <c r="I698" s="1"/>
      <c r="J698" s="1"/>
      <c r="K698" s="1"/>
      <c r="L698" s="1"/>
    </row>
    <row r="699" ht="15.75" customHeight="1">
      <c r="A699" s="1"/>
      <c r="B699" s="1"/>
      <c r="I699" s="1"/>
      <c r="J699" s="1"/>
      <c r="K699" s="1"/>
      <c r="L699" s="1"/>
    </row>
    <row r="700" ht="15.75" customHeight="1">
      <c r="A700" s="1"/>
      <c r="B700" s="1"/>
      <c r="I700" s="1"/>
      <c r="J700" s="1"/>
      <c r="K700" s="1"/>
      <c r="L700" s="1"/>
    </row>
    <row r="701" ht="15.75" customHeight="1">
      <c r="A701" s="1"/>
      <c r="B701" s="1"/>
      <c r="I701" s="1"/>
      <c r="J701" s="1"/>
      <c r="K701" s="1"/>
      <c r="L701" s="1"/>
    </row>
    <row r="702" ht="15.75" customHeight="1">
      <c r="A702" s="1"/>
      <c r="B702" s="1"/>
      <c r="I702" s="1"/>
      <c r="J702" s="1"/>
      <c r="K702" s="1"/>
      <c r="L702" s="1"/>
    </row>
    <row r="703" ht="15.75" customHeight="1">
      <c r="A703" s="1"/>
      <c r="B703" s="1"/>
      <c r="I703" s="1"/>
      <c r="J703" s="1"/>
      <c r="K703" s="1"/>
      <c r="L703" s="1"/>
    </row>
    <row r="704" ht="15.75" customHeight="1">
      <c r="A704" s="1"/>
      <c r="B704" s="1"/>
      <c r="I704" s="1"/>
      <c r="J704" s="1"/>
      <c r="K704" s="1"/>
      <c r="L704" s="1"/>
    </row>
    <row r="705" ht="15.75" customHeight="1">
      <c r="A705" s="1"/>
      <c r="B705" s="1"/>
      <c r="I705" s="1"/>
      <c r="J705" s="1"/>
      <c r="K705" s="1"/>
      <c r="L705" s="1"/>
    </row>
    <row r="706" ht="15.75" customHeight="1">
      <c r="A706" s="1"/>
      <c r="B706" s="1"/>
      <c r="I706" s="1"/>
      <c r="J706" s="1"/>
      <c r="K706" s="1"/>
      <c r="L706" s="1"/>
    </row>
    <row r="707" ht="15.75" customHeight="1">
      <c r="A707" s="1"/>
      <c r="B707" s="1"/>
      <c r="I707" s="1"/>
      <c r="J707" s="1"/>
      <c r="K707" s="1"/>
      <c r="L707" s="1"/>
    </row>
    <row r="708" ht="15.75" customHeight="1">
      <c r="A708" s="1"/>
      <c r="B708" s="1"/>
      <c r="I708" s="1"/>
      <c r="J708" s="1"/>
      <c r="K708" s="1"/>
      <c r="L708" s="1"/>
    </row>
    <row r="709" ht="15.75" customHeight="1">
      <c r="A709" s="1"/>
      <c r="B709" s="1"/>
      <c r="I709" s="1"/>
      <c r="J709" s="1"/>
      <c r="K709" s="1"/>
      <c r="L709" s="1"/>
    </row>
    <row r="710" ht="15.75" customHeight="1">
      <c r="A710" s="1"/>
      <c r="B710" s="1"/>
      <c r="I710" s="1"/>
      <c r="J710" s="1"/>
      <c r="K710" s="1"/>
      <c r="L710" s="1"/>
    </row>
    <row r="711" ht="15.75" customHeight="1">
      <c r="A711" s="1"/>
      <c r="B711" s="1"/>
      <c r="I711" s="1"/>
      <c r="J711" s="1"/>
      <c r="K711" s="1"/>
      <c r="L711" s="1"/>
    </row>
    <row r="712" ht="15.75" customHeight="1">
      <c r="A712" s="1"/>
      <c r="B712" s="1"/>
      <c r="I712" s="1"/>
      <c r="J712" s="1"/>
      <c r="K712" s="1"/>
      <c r="L712" s="1"/>
    </row>
    <row r="713" ht="15.75" customHeight="1">
      <c r="A713" s="1"/>
      <c r="B713" s="1"/>
      <c r="I713" s="1"/>
      <c r="J713" s="1"/>
      <c r="K713" s="1"/>
      <c r="L713" s="1"/>
    </row>
    <row r="714" ht="15.75" customHeight="1">
      <c r="A714" s="1"/>
      <c r="B714" s="1"/>
      <c r="I714" s="1"/>
      <c r="J714" s="1"/>
      <c r="K714" s="1"/>
      <c r="L714" s="1"/>
    </row>
    <row r="715" ht="15.75" customHeight="1">
      <c r="A715" s="1"/>
      <c r="B715" s="1"/>
      <c r="I715" s="1"/>
      <c r="J715" s="1"/>
      <c r="K715" s="1"/>
      <c r="L715" s="1"/>
    </row>
    <row r="716" ht="15.75" customHeight="1">
      <c r="A716" s="1"/>
      <c r="B716" s="1"/>
      <c r="I716" s="1"/>
      <c r="J716" s="1"/>
      <c r="K716" s="1"/>
      <c r="L716" s="1"/>
    </row>
    <row r="717" ht="15.75" customHeight="1">
      <c r="A717" s="1"/>
      <c r="B717" s="1"/>
      <c r="I717" s="1"/>
      <c r="J717" s="1"/>
      <c r="K717" s="1"/>
      <c r="L717" s="1"/>
    </row>
    <row r="718" ht="15.75" customHeight="1">
      <c r="A718" s="1"/>
      <c r="B718" s="1"/>
      <c r="I718" s="1"/>
      <c r="J718" s="1"/>
      <c r="K718" s="1"/>
      <c r="L718" s="1"/>
    </row>
    <row r="719" ht="15.75" customHeight="1">
      <c r="A719" s="1"/>
      <c r="B719" s="1"/>
      <c r="I719" s="1"/>
      <c r="J719" s="1"/>
      <c r="K719" s="1"/>
      <c r="L719" s="1"/>
    </row>
    <row r="720" ht="15.75" customHeight="1">
      <c r="A720" s="1"/>
      <c r="B720" s="1"/>
      <c r="I720" s="1"/>
      <c r="J720" s="1"/>
      <c r="K720" s="1"/>
      <c r="L720" s="1"/>
    </row>
    <row r="721" ht="15.75" customHeight="1">
      <c r="A721" s="1"/>
      <c r="B721" s="1"/>
      <c r="I721" s="1"/>
      <c r="J721" s="1"/>
      <c r="K721" s="1"/>
      <c r="L721" s="1"/>
    </row>
    <row r="722" ht="15.75" customHeight="1">
      <c r="A722" s="1"/>
      <c r="B722" s="1"/>
      <c r="I722" s="1"/>
      <c r="J722" s="1"/>
      <c r="K722" s="1"/>
      <c r="L722" s="1"/>
    </row>
    <row r="723" ht="15.75" customHeight="1">
      <c r="A723" s="1"/>
      <c r="B723" s="1"/>
      <c r="I723" s="1"/>
      <c r="J723" s="1"/>
      <c r="K723" s="1"/>
      <c r="L723" s="1"/>
    </row>
    <row r="724" ht="15.75" customHeight="1">
      <c r="A724" s="1"/>
      <c r="B724" s="1"/>
      <c r="I724" s="1"/>
      <c r="J724" s="1"/>
      <c r="K724" s="1"/>
      <c r="L724" s="1"/>
    </row>
    <row r="725" ht="15.75" customHeight="1">
      <c r="A725" s="1"/>
      <c r="B725" s="1"/>
      <c r="I725" s="1"/>
      <c r="J725" s="1"/>
      <c r="K725" s="1"/>
      <c r="L725" s="1"/>
    </row>
    <row r="726" ht="15.75" customHeight="1">
      <c r="A726" s="1"/>
      <c r="B726" s="1"/>
      <c r="I726" s="1"/>
      <c r="J726" s="1"/>
      <c r="K726" s="1"/>
      <c r="L726" s="1"/>
    </row>
    <row r="727" ht="15.75" customHeight="1">
      <c r="A727" s="1"/>
      <c r="B727" s="1"/>
      <c r="I727" s="1"/>
      <c r="J727" s="1"/>
      <c r="K727" s="1"/>
      <c r="L727" s="1"/>
    </row>
    <row r="728" ht="15.75" customHeight="1">
      <c r="A728" s="1"/>
      <c r="B728" s="1"/>
      <c r="I728" s="1"/>
      <c r="J728" s="1"/>
      <c r="K728" s="1"/>
      <c r="L728" s="1"/>
    </row>
    <row r="729" ht="15.75" customHeight="1">
      <c r="A729" s="1"/>
      <c r="B729" s="1"/>
      <c r="I729" s="1"/>
      <c r="J729" s="1"/>
      <c r="K729" s="1"/>
      <c r="L729" s="1"/>
    </row>
    <row r="730" ht="15.75" customHeight="1">
      <c r="A730" s="1"/>
      <c r="B730" s="1"/>
      <c r="I730" s="1"/>
      <c r="J730" s="1"/>
      <c r="K730" s="1"/>
      <c r="L730" s="1"/>
    </row>
    <row r="731" ht="15.75" customHeight="1">
      <c r="A731" s="1"/>
      <c r="B731" s="1"/>
      <c r="I731" s="1"/>
      <c r="J731" s="1"/>
      <c r="K731" s="1"/>
      <c r="L731" s="1"/>
    </row>
    <row r="732" ht="15.75" customHeight="1">
      <c r="A732" s="1"/>
      <c r="B732" s="1"/>
      <c r="I732" s="1"/>
      <c r="J732" s="1"/>
      <c r="K732" s="1"/>
      <c r="L732" s="1"/>
    </row>
    <row r="733" ht="15.75" customHeight="1">
      <c r="A733" s="1"/>
      <c r="B733" s="1"/>
      <c r="I733" s="1"/>
      <c r="J733" s="1"/>
      <c r="K733" s="1"/>
      <c r="L733" s="1"/>
    </row>
    <row r="734" ht="15.75" customHeight="1">
      <c r="A734" s="1"/>
      <c r="B734" s="1"/>
      <c r="I734" s="1"/>
      <c r="J734" s="1"/>
      <c r="K734" s="1"/>
      <c r="L734" s="1"/>
    </row>
    <row r="735" ht="15.75" customHeight="1">
      <c r="A735" s="1"/>
      <c r="B735" s="1"/>
      <c r="I735" s="1"/>
      <c r="J735" s="1"/>
      <c r="K735" s="1"/>
      <c r="L735" s="1"/>
    </row>
    <row r="736" ht="15.75" customHeight="1">
      <c r="A736" s="1"/>
      <c r="B736" s="1"/>
      <c r="I736" s="1"/>
      <c r="J736" s="1"/>
      <c r="K736" s="1"/>
      <c r="L736" s="1"/>
    </row>
    <row r="737" ht="15.75" customHeight="1">
      <c r="A737" s="1"/>
      <c r="B737" s="1"/>
      <c r="I737" s="1"/>
      <c r="J737" s="1"/>
      <c r="K737" s="1"/>
      <c r="L737" s="1"/>
    </row>
    <row r="738" ht="15.75" customHeight="1">
      <c r="A738" s="1"/>
      <c r="B738" s="1"/>
      <c r="I738" s="1"/>
      <c r="J738" s="1"/>
      <c r="K738" s="1"/>
      <c r="L738" s="1"/>
    </row>
    <row r="739" ht="15.75" customHeight="1">
      <c r="A739" s="1"/>
      <c r="B739" s="1"/>
      <c r="I739" s="1"/>
      <c r="J739" s="1"/>
      <c r="K739" s="1"/>
      <c r="L739" s="1"/>
    </row>
    <row r="740" ht="15.75" customHeight="1">
      <c r="A740" s="1"/>
      <c r="B740" s="1"/>
      <c r="I740" s="1"/>
      <c r="J740" s="1"/>
      <c r="K740" s="1"/>
      <c r="L740" s="1"/>
    </row>
    <row r="741" ht="15.75" customHeight="1">
      <c r="A741" s="1"/>
      <c r="B741" s="1"/>
      <c r="I741" s="1"/>
      <c r="J741" s="1"/>
      <c r="K741" s="1"/>
      <c r="L741" s="1"/>
    </row>
    <row r="742" ht="15.75" customHeight="1">
      <c r="A742" s="1"/>
      <c r="B742" s="1"/>
      <c r="I742" s="1"/>
      <c r="J742" s="1"/>
      <c r="K742" s="1"/>
      <c r="L742" s="1"/>
    </row>
    <row r="743" ht="15.75" customHeight="1">
      <c r="A743" s="1"/>
      <c r="B743" s="1"/>
      <c r="I743" s="1"/>
      <c r="J743" s="1"/>
      <c r="K743" s="1"/>
      <c r="L743" s="1"/>
    </row>
    <row r="744" ht="15.75" customHeight="1">
      <c r="A744" s="1"/>
      <c r="B744" s="1"/>
      <c r="I744" s="1"/>
      <c r="J744" s="1"/>
      <c r="K744" s="1"/>
      <c r="L744" s="1"/>
    </row>
    <row r="745" ht="15.75" customHeight="1">
      <c r="A745" s="1"/>
      <c r="B745" s="1"/>
      <c r="I745" s="1"/>
      <c r="J745" s="1"/>
      <c r="K745" s="1"/>
      <c r="L745" s="1"/>
    </row>
    <row r="746" ht="15.75" customHeight="1">
      <c r="A746" s="1"/>
      <c r="B746" s="1"/>
      <c r="I746" s="1"/>
      <c r="J746" s="1"/>
      <c r="K746" s="1"/>
      <c r="L746" s="1"/>
    </row>
    <row r="747" ht="15.75" customHeight="1">
      <c r="A747" s="1"/>
      <c r="B747" s="1"/>
      <c r="I747" s="1"/>
      <c r="J747" s="1"/>
      <c r="K747" s="1"/>
      <c r="L747" s="1"/>
    </row>
    <row r="748" ht="15.75" customHeight="1">
      <c r="A748" s="1"/>
      <c r="B748" s="1"/>
      <c r="I748" s="1"/>
      <c r="J748" s="1"/>
      <c r="K748" s="1"/>
      <c r="L748" s="1"/>
    </row>
    <row r="749" ht="15.75" customHeight="1">
      <c r="A749" s="1"/>
      <c r="B749" s="1"/>
      <c r="I749" s="1"/>
      <c r="J749" s="1"/>
      <c r="K749" s="1"/>
      <c r="L749" s="1"/>
    </row>
    <row r="750" ht="15.75" customHeight="1">
      <c r="A750" s="1"/>
      <c r="B750" s="1"/>
      <c r="I750" s="1"/>
      <c r="J750" s="1"/>
      <c r="K750" s="1"/>
      <c r="L750" s="1"/>
    </row>
    <row r="751" ht="15.75" customHeight="1">
      <c r="A751" s="1"/>
      <c r="B751" s="1"/>
      <c r="I751" s="1"/>
      <c r="J751" s="1"/>
      <c r="K751" s="1"/>
      <c r="L751" s="1"/>
    </row>
    <row r="752" ht="15.75" customHeight="1">
      <c r="A752" s="1"/>
      <c r="B752" s="1"/>
      <c r="I752" s="1"/>
      <c r="J752" s="1"/>
      <c r="K752" s="1"/>
      <c r="L752" s="1"/>
    </row>
    <row r="753" ht="15.75" customHeight="1">
      <c r="A753" s="1"/>
      <c r="B753" s="1"/>
      <c r="I753" s="1"/>
      <c r="J753" s="1"/>
      <c r="K753" s="1"/>
      <c r="L753" s="1"/>
    </row>
    <row r="754" ht="15.75" customHeight="1">
      <c r="A754" s="1"/>
      <c r="B754" s="1"/>
      <c r="I754" s="1"/>
      <c r="J754" s="1"/>
      <c r="K754" s="1"/>
      <c r="L754" s="1"/>
    </row>
    <row r="755" ht="15.75" customHeight="1">
      <c r="A755" s="1"/>
      <c r="B755" s="1"/>
      <c r="I755" s="1"/>
      <c r="J755" s="1"/>
      <c r="K755" s="1"/>
      <c r="L755" s="1"/>
    </row>
    <row r="756" ht="15.75" customHeight="1">
      <c r="A756" s="1"/>
      <c r="B756" s="1"/>
      <c r="I756" s="1"/>
      <c r="J756" s="1"/>
      <c r="K756" s="1"/>
      <c r="L756" s="1"/>
    </row>
    <row r="757" ht="15.75" customHeight="1">
      <c r="A757" s="1"/>
      <c r="B757" s="1"/>
      <c r="I757" s="1"/>
      <c r="J757" s="1"/>
      <c r="K757" s="1"/>
      <c r="L757" s="1"/>
    </row>
    <row r="758" ht="15.75" customHeight="1">
      <c r="A758" s="1"/>
      <c r="B758" s="1"/>
      <c r="I758" s="1"/>
      <c r="J758" s="1"/>
      <c r="K758" s="1"/>
      <c r="L758" s="1"/>
    </row>
    <row r="759" ht="15.75" customHeight="1">
      <c r="A759" s="1"/>
      <c r="B759" s="1"/>
      <c r="I759" s="1"/>
      <c r="J759" s="1"/>
      <c r="K759" s="1"/>
      <c r="L759" s="1"/>
    </row>
    <row r="760" ht="15.75" customHeight="1">
      <c r="A760" s="1"/>
      <c r="B760" s="1"/>
      <c r="I760" s="1"/>
      <c r="J760" s="1"/>
      <c r="K760" s="1"/>
      <c r="L760" s="1"/>
    </row>
    <row r="761" ht="15.75" customHeight="1">
      <c r="A761" s="1"/>
      <c r="B761" s="1"/>
      <c r="I761" s="1"/>
      <c r="J761" s="1"/>
      <c r="K761" s="1"/>
      <c r="L761" s="1"/>
    </row>
    <row r="762" ht="15.75" customHeight="1">
      <c r="A762" s="1"/>
      <c r="B762" s="1"/>
      <c r="I762" s="1"/>
      <c r="J762" s="1"/>
      <c r="K762" s="1"/>
      <c r="L762" s="1"/>
    </row>
    <row r="763" ht="15.75" customHeight="1">
      <c r="A763" s="1"/>
      <c r="B763" s="1"/>
      <c r="I763" s="1"/>
      <c r="J763" s="1"/>
      <c r="K763" s="1"/>
      <c r="L763" s="1"/>
    </row>
    <row r="764" ht="15.75" customHeight="1">
      <c r="A764" s="1"/>
      <c r="B764" s="1"/>
      <c r="I764" s="1"/>
      <c r="J764" s="1"/>
      <c r="K764" s="1"/>
      <c r="L764" s="1"/>
    </row>
    <row r="765" ht="15.75" customHeight="1">
      <c r="A765" s="1"/>
      <c r="B765" s="1"/>
      <c r="I765" s="1"/>
      <c r="J765" s="1"/>
      <c r="K765" s="1"/>
      <c r="L765" s="1"/>
    </row>
    <row r="766" ht="15.75" customHeight="1">
      <c r="A766" s="1"/>
      <c r="B766" s="1"/>
      <c r="I766" s="1"/>
      <c r="J766" s="1"/>
      <c r="K766" s="1"/>
      <c r="L766" s="1"/>
    </row>
    <row r="767" ht="15.75" customHeight="1">
      <c r="A767" s="1"/>
      <c r="B767" s="1"/>
      <c r="I767" s="1"/>
      <c r="J767" s="1"/>
      <c r="K767" s="1"/>
      <c r="L767" s="1"/>
    </row>
    <row r="768" ht="15.75" customHeight="1">
      <c r="A768" s="1"/>
      <c r="B768" s="1"/>
      <c r="I768" s="1"/>
      <c r="J768" s="1"/>
      <c r="K768" s="1"/>
      <c r="L768" s="1"/>
    </row>
    <row r="769" ht="15.75" customHeight="1">
      <c r="A769" s="1"/>
      <c r="B769" s="1"/>
      <c r="I769" s="1"/>
      <c r="J769" s="1"/>
      <c r="K769" s="1"/>
      <c r="L769" s="1"/>
    </row>
    <row r="770" ht="15.75" customHeight="1">
      <c r="A770" s="1"/>
      <c r="B770" s="1"/>
      <c r="I770" s="1"/>
      <c r="J770" s="1"/>
      <c r="K770" s="1"/>
      <c r="L770" s="1"/>
    </row>
    <row r="771" ht="15.75" customHeight="1">
      <c r="A771" s="1"/>
      <c r="B771" s="1"/>
      <c r="I771" s="1"/>
      <c r="J771" s="1"/>
      <c r="K771" s="1"/>
      <c r="L771" s="1"/>
    </row>
    <row r="772" ht="15.75" customHeight="1">
      <c r="A772" s="1"/>
      <c r="B772" s="1"/>
      <c r="I772" s="1"/>
      <c r="J772" s="1"/>
      <c r="K772" s="1"/>
      <c r="L772" s="1"/>
    </row>
    <row r="773" ht="15.75" customHeight="1">
      <c r="A773" s="1"/>
      <c r="B773" s="1"/>
      <c r="I773" s="1"/>
      <c r="J773" s="1"/>
      <c r="K773" s="1"/>
      <c r="L773" s="1"/>
    </row>
    <row r="774" ht="15.75" customHeight="1">
      <c r="A774" s="1"/>
      <c r="B774" s="1"/>
      <c r="I774" s="1"/>
      <c r="J774" s="1"/>
      <c r="K774" s="1"/>
      <c r="L774" s="1"/>
    </row>
    <row r="775" ht="15.75" customHeight="1">
      <c r="A775" s="1"/>
      <c r="B775" s="1"/>
      <c r="I775" s="1"/>
      <c r="J775" s="1"/>
      <c r="K775" s="1"/>
      <c r="L775" s="1"/>
    </row>
    <row r="776" ht="15.75" customHeight="1">
      <c r="A776" s="1"/>
      <c r="B776" s="1"/>
      <c r="I776" s="1"/>
      <c r="J776" s="1"/>
      <c r="K776" s="1"/>
      <c r="L776" s="1"/>
    </row>
    <row r="777" ht="15.75" customHeight="1">
      <c r="A777" s="1"/>
      <c r="B777" s="1"/>
      <c r="I777" s="1"/>
      <c r="J777" s="1"/>
      <c r="K777" s="1"/>
      <c r="L777" s="1"/>
    </row>
    <row r="778" ht="15.75" customHeight="1">
      <c r="A778" s="1"/>
      <c r="B778" s="1"/>
      <c r="I778" s="1"/>
      <c r="J778" s="1"/>
      <c r="K778" s="1"/>
      <c r="L778" s="1"/>
    </row>
    <row r="779" ht="15.75" customHeight="1">
      <c r="A779" s="1"/>
      <c r="B779" s="1"/>
      <c r="I779" s="1"/>
      <c r="J779" s="1"/>
      <c r="K779" s="1"/>
      <c r="L779" s="1"/>
    </row>
    <row r="780" ht="15.75" customHeight="1">
      <c r="A780" s="1"/>
      <c r="B780" s="1"/>
      <c r="I780" s="1"/>
      <c r="J780" s="1"/>
      <c r="K780" s="1"/>
      <c r="L780" s="1"/>
    </row>
    <row r="781" ht="15.75" customHeight="1">
      <c r="A781" s="1"/>
      <c r="B781" s="1"/>
      <c r="I781" s="1"/>
      <c r="J781" s="1"/>
      <c r="K781" s="1"/>
      <c r="L781" s="1"/>
    </row>
    <row r="782" ht="15.75" customHeight="1">
      <c r="A782" s="1"/>
      <c r="B782" s="1"/>
      <c r="I782" s="1"/>
      <c r="J782" s="1"/>
      <c r="K782" s="1"/>
      <c r="L782" s="1"/>
    </row>
    <row r="783" ht="15.75" customHeight="1">
      <c r="A783" s="1"/>
      <c r="B783" s="1"/>
      <c r="I783" s="1"/>
      <c r="J783" s="1"/>
      <c r="K783" s="1"/>
      <c r="L783" s="1"/>
    </row>
    <row r="784" ht="15.75" customHeight="1">
      <c r="A784" s="1"/>
      <c r="B784" s="1"/>
      <c r="I784" s="1"/>
      <c r="J784" s="1"/>
      <c r="K784" s="1"/>
      <c r="L784" s="1"/>
    </row>
    <row r="785" ht="15.75" customHeight="1">
      <c r="A785" s="1"/>
      <c r="B785" s="1"/>
      <c r="I785" s="1"/>
      <c r="J785" s="1"/>
      <c r="K785" s="1"/>
      <c r="L785" s="1"/>
    </row>
    <row r="786" ht="15.75" customHeight="1">
      <c r="A786" s="1"/>
      <c r="B786" s="1"/>
      <c r="I786" s="1"/>
      <c r="J786" s="1"/>
      <c r="K786" s="1"/>
      <c r="L786" s="1"/>
    </row>
    <row r="787" ht="15.75" customHeight="1">
      <c r="A787" s="1"/>
      <c r="B787" s="1"/>
      <c r="I787" s="1"/>
      <c r="J787" s="1"/>
      <c r="K787" s="1"/>
      <c r="L787" s="1"/>
    </row>
    <row r="788" ht="15.75" customHeight="1">
      <c r="A788" s="1"/>
      <c r="B788" s="1"/>
      <c r="I788" s="1"/>
      <c r="J788" s="1"/>
      <c r="K788" s="1"/>
      <c r="L788" s="1"/>
    </row>
    <row r="789" ht="15.75" customHeight="1">
      <c r="A789" s="1"/>
      <c r="B789" s="1"/>
      <c r="I789" s="1"/>
      <c r="J789" s="1"/>
      <c r="K789" s="1"/>
      <c r="L789" s="1"/>
    </row>
    <row r="790" ht="15.75" customHeight="1">
      <c r="A790" s="1"/>
      <c r="B790" s="1"/>
      <c r="I790" s="1"/>
      <c r="J790" s="1"/>
      <c r="K790" s="1"/>
      <c r="L790" s="1"/>
    </row>
    <row r="791" ht="15.75" customHeight="1">
      <c r="A791" s="1"/>
      <c r="B791" s="1"/>
      <c r="I791" s="1"/>
      <c r="J791" s="1"/>
      <c r="K791" s="1"/>
      <c r="L791" s="1"/>
    </row>
    <row r="792" ht="15.75" customHeight="1">
      <c r="A792" s="1"/>
      <c r="B792" s="1"/>
      <c r="I792" s="1"/>
      <c r="J792" s="1"/>
      <c r="K792" s="1"/>
      <c r="L792" s="1"/>
    </row>
    <row r="793" ht="15.75" customHeight="1">
      <c r="A793" s="1"/>
      <c r="B793" s="1"/>
      <c r="I793" s="1"/>
      <c r="J793" s="1"/>
      <c r="K793" s="1"/>
      <c r="L793" s="1"/>
    </row>
    <row r="794" ht="15.75" customHeight="1">
      <c r="A794" s="1"/>
      <c r="B794" s="1"/>
      <c r="I794" s="1"/>
      <c r="J794" s="1"/>
      <c r="K794" s="1"/>
      <c r="L794" s="1"/>
    </row>
    <row r="795" ht="15.75" customHeight="1">
      <c r="A795" s="1"/>
      <c r="B795" s="1"/>
      <c r="I795" s="1"/>
      <c r="J795" s="1"/>
      <c r="K795" s="1"/>
      <c r="L795" s="1"/>
    </row>
    <row r="796" ht="15.75" customHeight="1">
      <c r="A796" s="1"/>
      <c r="B796" s="1"/>
      <c r="I796" s="1"/>
      <c r="J796" s="1"/>
      <c r="K796" s="1"/>
      <c r="L796" s="1"/>
    </row>
    <row r="797" ht="15.75" customHeight="1">
      <c r="A797" s="1"/>
      <c r="B797" s="1"/>
      <c r="I797" s="1"/>
      <c r="J797" s="1"/>
      <c r="K797" s="1"/>
      <c r="L797" s="1"/>
    </row>
    <row r="798" ht="15.75" customHeight="1">
      <c r="A798" s="1"/>
      <c r="B798" s="1"/>
      <c r="I798" s="1"/>
      <c r="J798" s="1"/>
      <c r="K798" s="1"/>
      <c r="L798" s="1"/>
    </row>
    <row r="799" ht="15.75" customHeight="1">
      <c r="A799" s="1"/>
      <c r="B799" s="1"/>
      <c r="I799" s="1"/>
      <c r="J799" s="1"/>
      <c r="K799" s="1"/>
      <c r="L799" s="1"/>
    </row>
    <row r="800" ht="15.75" customHeight="1">
      <c r="A800" s="1"/>
      <c r="B800" s="1"/>
      <c r="I800" s="1"/>
      <c r="J800" s="1"/>
      <c r="K800" s="1"/>
      <c r="L800" s="1"/>
    </row>
    <row r="801" ht="15.75" customHeight="1">
      <c r="A801" s="1"/>
      <c r="B801" s="1"/>
      <c r="I801" s="1"/>
      <c r="J801" s="1"/>
      <c r="K801" s="1"/>
      <c r="L801" s="1"/>
    </row>
    <row r="802" ht="15.75" customHeight="1">
      <c r="A802" s="1"/>
      <c r="B802" s="1"/>
      <c r="I802" s="1"/>
      <c r="J802" s="1"/>
      <c r="K802" s="1"/>
      <c r="L802" s="1"/>
    </row>
    <row r="803" ht="15.75" customHeight="1">
      <c r="A803" s="1"/>
      <c r="B803" s="1"/>
      <c r="I803" s="1"/>
      <c r="J803" s="1"/>
      <c r="K803" s="1"/>
      <c r="L803" s="1"/>
    </row>
    <row r="804" ht="15.75" customHeight="1">
      <c r="A804" s="1"/>
      <c r="B804" s="1"/>
      <c r="I804" s="1"/>
      <c r="J804" s="1"/>
      <c r="K804" s="1"/>
      <c r="L804" s="1"/>
    </row>
    <row r="805" ht="15.75" customHeight="1">
      <c r="A805" s="1"/>
      <c r="B805" s="1"/>
      <c r="I805" s="1"/>
      <c r="J805" s="1"/>
      <c r="K805" s="1"/>
      <c r="L805" s="1"/>
    </row>
    <row r="806" ht="15.75" customHeight="1">
      <c r="A806" s="1"/>
      <c r="B806" s="1"/>
      <c r="I806" s="1"/>
      <c r="J806" s="1"/>
      <c r="K806" s="1"/>
      <c r="L806" s="1"/>
    </row>
    <row r="807" ht="15.75" customHeight="1">
      <c r="A807" s="1"/>
      <c r="B807" s="1"/>
      <c r="I807" s="1"/>
      <c r="J807" s="1"/>
      <c r="K807" s="1"/>
      <c r="L807" s="1"/>
    </row>
    <row r="808" ht="15.75" customHeight="1">
      <c r="A808" s="1"/>
      <c r="B808" s="1"/>
      <c r="I808" s="1"/>
      <c r="J808" s="1"/>
      <c r="K808" s="1"/>
      <c r="L808" s="1"/>
    </row>
    <row r="809" ht="15.75" customHeight="1">
      <c r="A809" s="1"/>
      <c r="B809" s="1"/>
      <c r="I809" s="1"/>
      <c r="J809" s="1"/>
      <c r="K809" s="1"/>
      <c r="L809" s="1"/>
    </row>
    <row r="810" ht="15.75" customHeight="1">
      <c r="A810" s="1"/>
      <c r="B810" s="1"/>
      <c r="I810" s="1"/>
      <c r="J810" s="1"/>
      <c r="K810" s="1"/>
      <c r="L810" s="1"/>
    </row>
    <row r="811" ht="15.75" customHeight="1">
      <c r="A811" s="1"/>
      <c r="B811" s="1"/>
      <c r="I811" s="1"/>
      <c r="J811" s="1"/>
      <c r="K811" s="1"/>
      <c r="L811" s="1"/>
    </row>
    <row r="812" ht="15.75" customHeight="1">
      <c r="A812" s="1"/>
      <c r="B812" s="1"/>
      <c r="I812" s="1"/>
      <c r="J812" s="1"/>
      <c r="K812" s="1"/>
      <c r="L812" s="1"/>
    </row>
    <row r="813" ht="15.75" customHeight="1">
      <c r="A813" s="1"/>
      <c r="B813" s="1"/>
      <c r="I813" s="1"/>
      <c r="J813" s="1"/>
      <c r="K813" s="1"/>
      <c r="L813" s="1"/>
    </row>
    <row r="814" ht="15.75" customHeight="1">
      <c r="A814" s="1"/>
      <c r="B814" s="1"/>
      <c r="I814" s="1"/>
      <c r="J814" s="1"/>
      <c r="K814" s="1"/>
      <c r="L814" s="1"/>
    </row>
    <row r="815" ht="15.75" customHeight="1">
      <c r="A815" s="1"/>
      <c r="B815" s="1"/>
      <c r="I815" s="1"/>
      <c r="J815" s="1"/>
      <c r="K815" s="1"/>
      <c r="L815" s="1"/>
    </row>
    <row r="816" ht="15.75" customHeight="1">
      <c r="A816" s="1"/>
      <c r="B816" s="1"/>
      <c r="I816" s="1"/>
      <c r="J816" s="1"/>
      <c r="K816" s="1"/>
      <c r="L816" s="1"/>
    </row>
    <row r="817" ht="15.75" customHeight="1">
      <c r="A817" s="1"/>
      <c r="B817" s="1"/>
      <c r="I817" s="1"/>
      <c r="J817" s="1"/>
      <c r="K817" s="1"/>
      <c r="L817" s="1"/>
    </row>
    <row r="818" ht="15.75" customHeight="1">
      <c r="A818" s="1"/>
      <c r="B818" s="1"/>
      <c r="I818" s="1"/>
      <c r="J818" s="1"/>
      <c r="K818" s="1"/>
      <c r="L818" s="1"/>
    </row>
    <row r="819" ht="15.75" customHeight="1">
      <c r="A819" s="1"/>
      <c r="B819" s="1"/>
      <c r="I819" s="1"/>
      <c r="J819" s="1"/>
      <c r="K819" s="1"/>
      <c r="L819" s="1"/>
    </row>
    <row r="820" ht="15.75" customHeight="1">
      <c r="A820" s="1"/>
      <c r="B820" s="1"/>
      <c r="I820" s="1"/>
      <c r="J820" s="1"/>
      <c r="K820" s="1"/>
      <c r="L820" s="1"/>
    </row>
    <row r="821" ht="15.75" customHeight="1">
      <c r="A821" s="1"/>
      <c r="B821" s="1"/>
      <c r="I821" s="1"/>
      <c r="J821" s="1"/>
      <c r="K821" s="1"/>
      <c r="L821" s="1"/>
    </row>
    <row r="822" ht="15.75" customHeight="1">
      <c r="A822" s="1"/>
      <c r="B822" s="1"/>
      <c r="I822" s="1"/>
      <c r="J822" s="1"/>
      <c r="K822" s="1"/>
      <c r="L822" s="1"/>
    </row>
    <row r="823" ht="15.75" customHeight="1">
      <c r="A823" s="1"/>
      <c r="B823" s="1"/>
      <c r="I823" s="1"/>
      <c r="J823" s="1"/>
      <c r="K823" s="1"/>
      <c r="L823" s="1"/>
    </row>
    <row r="824" ht="15.75" customHeight="1">
      <c r="A824" s="1"/>
      <c r="B824" s="1"/>
      <c r="I824" s="1"/>
      <c r="J824" s="1"/>
      <c r="K824" s="1"/>
      <c r="L824" s="1"/>
    </row>
    <row r="825" ht="15.75" customHeight="1">
      <c r="A825" s="1"/>
      <c r="B825" s="1"/>
      <c r="I825" s="1"/>
      <c r="J825" s="1"/>
      <c r="K825" s="1"/>
      <c r="L825" s="1"/>
    </row>
    <row r="826" ht="15.75" customHeight="1">
      <c r="A826" s="1"/>
      <c r="B826" s="1"/>
      <c r="I826" s="1"/>
      <c r="J826" s="1"/>
      <c r="K826" s="1"/>
      <c r="L826" s="1"/>
    </row>
    <row r="827" ht="15.75" customHeight="1">
      <c r="A827" s="1"/>
      <c r="B827" s="1"/>
      <c r="I827" s="1"/>
      <c r="J827" s="1"/>
      <c r="K827" s="1"/>
      <c r="L827" s="1"/>
    </row>
    <row r="828" ht="15.75" customHeight="1">
      <c r="A828" s="1"/>
      <c r="B828" s="1"/>
      <c r="I828" s="1"/>
      <c r="J828" s="1"/>
      <c r="K828" s="1"/>
      <c r="L828" s="1"/>
    </row>
    <row r="829" ht="15.75" customHeight="1">
      <c r="A829" s="1"/>
      <c r="B829" s="1"/>
      <c r="I829" s="1"/>
      <c r="J829" s="1"/>
      <c r="K829" s="1"/>
      <c r="L829" s="1"/>
    </row>
    <row r="830" ht="15.75" customHeight="1">
      <c r="A830" s="1"/>
      <c r="B830" s="1"/>
      <c r="I830" s="1"/>
      <c r="J830" s="1"/>
      <c r="K830" s="1"/>
      <c r="L830" s="1"/>
    </row>
    <row r="831" ht="15.75" customHeight="1">
      <c r="A831" s="1"/>
      <c r="B831" s="1"/>
      <c r="I831" s="1"/>
      <c r="J831" s="1"/>
      <c r="K831" s="1"/>
      <c r="L831" s="1"/>
    </row>
    <row r="832" ht="15.75" customHeight="1">
      <c r="A832" s="1"/>
      <c r="B832" s="1"/>
      <c r="I832" s="1"/>
      <c r="J832" s="1"/>
      <c r="K832" s="1"/>
      <c r="L832" s="1"/>
    </row>
    <row r="833" ht="15.75" customHeight="1">
      <c r="A833" s="1"/>
      <c r="B833" s="1"/>
      <c r="I833" s="1"/>
      <c r="J833" s="1"/>
      <c r="K833" s="1"/>
      <c r="L833" s="1"/>
    </row>
    <row r="834" ht="15.75" customHeight="1">
      <c r="A834" s="1"/>
      <c r="B834" s="1"/>
      <c r="I834" s="1"/>
      <c r="J834" s="1"/>
      <c r="K834" s="1"/>
      <c r="L834" s="1"/>
    </row>
    <row r="835" ht="15.75" customHeight="1">
      <c r="A835" s="1"/>
      <c r="B835" s="1"/>
      <c r="I835" s="1"/>
      <c r="J835" s="1"/>
      <c r="K835" s="1"/>
      <c r="L835" s="1"/>
    </row>
    <row r="836" ht="15.75" customHeight="1">
      <c r="A836" s="1"/>
      <c r="B836" s="1"/>
      <c r="I836" s="1"/>
      <c r="J836" s="1"/>
      <c r="K836" s="1"/>
      <c r="L836" s="1"/>
    </row>
    <row r="837" ht="15.75" customHeight="1">
      <c r="A837" s="1"/>
      <c r="B837" s="1"/>
      <c r="I837" s="1"/>
      <c r="J837" s="1"/>
      <c r="K837" s="1"/>
      <c r="L837" s="1"/>
    </row>
    <row r="838" ht="15.75" customHeight="1">
      <c r="A838" s="1"/>
      <c r="B838" s="1"/>
      <c r="I838" s="1"/>
      <c r="J838" s="1"/>
      <c r="K838" s="1"/>
      <c r="L838" s="1"/>
    </row>
    <row r="839" ht="15.75" customHeight="1">
      <c r="A839" s="1"/>
      <c r="B839" s="1"/>
      <c r="I839" s="1"/>
      <c r="J839" s="1"/>
      <c r="K839" s="1"/>
      <c r="L839" s="1"/>
    </row>
    <row r="840" ht="15.75" customHeight="1">
      <c r="A840" s="1"/>
      <c r="B840" s="1"/>
      <c r="I840" s="1"/>
      <c r="J840" s="1"/>
      <c r="K840" s="1"/>
      <c r="L840" s="1"/>
    </row>
    <row r="841" ht="15.75" customHeight="1">
      <c r="A841" s="1"/>
      <c r="B841" s="1"/>
      <c r="I841" s="1"/>
      <c r="J841" s="1"/>
      <c r="K841" s="1"/>
      <c r="L841" s="1"/>
    </row>
    <row r="842" ht="15.75" customHeight="1">
      <c r="A842" s="1"/>
      <c r="B842" s="1"/>
      <c r="I842" s="1"/>
      <c r="J842" s="1"/>
      <c r="K842" s="1"/>
      <c r="L842" s="1"/>
    </row>
    <row r="843" ht="15.75" customHeight="1">
      <c r="A843" s="1"/>
      <c r="B843" s="1"/>
      <c r="I843" s="1"/>
      <c r="J843" s="1"/>
      <c r="K843" s="1"/>
      <c r="L843" s="1"/>
    </row>
    <row r="844" ht="15.75" customHeight="1">
      <c r="A844" s="1"/>
      <c r="B844" s="1"/>
      <c r="I844" s="1"/>
      <c r="J844" s="1"/>
      <c r="K844" s="1"/>
      <c r="L844" s="1"/>
    </row>
    <row r="845" ht="15.75" customHeight="1">
      <c r="A845" s="1"/>
      <c r="B845" s="1"/>
      <c r="I845" s="1"/>
      <c r="J845" s="1"/>
      <c r="K845" s="1"/>
      <c r="L845" s="1"/>
    </row>
    <row r="846" ht="15.75" customHeight="1">
      <c r="A846" s="1"/>
      <c r="B846" s="1"/>
      <c r="I846" s="1"/>
      <c r="J846" s="1"/>
      <c r="K846" s="1"/>
      <c r="L846" s="1"/>
    </row>
    <row r="847" ht="15.75" customHeight="1">
      <c r="A847" s="1"/>
      <c r="B847" s="1"/>
      <c r="I847" s="1"/>
      <c r="J847" s="1"/>
      <c r="K847" s="1"/>
      <c r="L847" s="1"/>
    </row>
    <row r="848" ht="15.75" customHeight="1">
      <c r="A848" s="1"/>
      <c r="B848" s="1"/>
      <c r="I848" s="1"/>
      <c r="J848" s="1"/>
      <c r="K848" s="1"/>
      <c r="L848" s="1"/>
    </row>
    <row r="849" ht="15.75" customHeight="1">
      <c r="A849" s="1"/>
      <c r="B849" s="1"/>
      <c r="I849" s="1"/>
      <c r="J849" s="1"/>
      <c r="K849" s="1"/>
      <c r="L849" s="1"/>
    </row>
    <row r="850" ht="15.75" customHeight="1">
      <c r="A850" s="1"/>
      <c r="B850" s="1"/>
      <c r="I850" s="1"/>
      <c r="J850" s="1"/>
      <c r="K850" s="1"/>
      <c r="L850" s="1"/>
    </row>
    <row r="851" ht="15.75" customHeight="1">
      <c r="A851" s="1"/>
      <c r="B851" s="1"/>
      <c r="I851" s="1"/>
      <c r="J851" s="1"/>
      <c r="K851" s="1"/>
      <c r="L851" s="1"/>
    </row>
    <row r="852" ht="15.75" customHeight="1">
      <c r="A852" s="1"/>
      <c r="B852" s="1"/>
      <c r="I852" s="1"/>
      <c r="J852" s="1"/>
      <c r="K852" s="1"/>
      <c r="L852" s="1"/>
    </row>
    <row r="853" ht="15.75" customHeight="1">
      <c r="A853" s="1"/>
      <c r="B853" s="1"/>
      <c r="I853" s="1"/>
      <c r="J853" s="1"/>
      <c r="K853" s="1"/>
      <c r="L853" s="1"/>
    </row>
    <row r="854" ht="15.75" customHeight="1">
      <c r="A854" s="1"/>
      <c r="B854" s="1"/>
      <c r="I854" s="1"/>
      <c r="J854" s="1"/>
      <c r="K854" s="1"/>
      <c r="L854" s="1"/>
    </row>
    <row r="855" ht="15.75" customHeight="1">
      <c r="A855" s="1"/>
      <c r="B855" s="1"/>
      <c r="I855" s="1"/>
      <c r="J855" s="1"/>
      <c r="K855" s="1"/>
      <c r="L855" s="1"/>
    </row>
    <row r="856" ht="15.75" customHeight="1">
      <c r="A856" s="1"/>
      <c r="B856" s="1"/>
      <c r="I856" s="1"/>
      <c r="J856" s="1"/>
      <c r="K856" s="1"/>
      <c r="L856" s="1"/>
    </row>
    <row r="857" ht="15.75" customHeight="1">
      <c r="A857" s="1"/>
      <c r="B857" s="1"/>
      <c r="I857" s="1"/>
      <c r="J857" s="1"/>
      <c r="K857" s="1"/>
      <c r="L857" s="1"/>
    </row>
    <row r="858" ht="15.75" customHeight="1">
      <c r="A858" s="1"/>
      <c r="B858" s="1"/>
      <c r="I858" s="1"/>
      <c r="J858" s="1"/>
      <c r="K858" s="1"/>
      <c r="L858" s="1"/>
    </row>
    <row r="859" ht="15.75" customHeight="1">
      <c r="A859" s="1"/>
      <c r="B859" s="1"/>
      <c r="I859" s="1"/>
      <c r="J859" s="1"/>
      <c r="K859" s="1"/>
      <c r="L859" s="1"/>
    </row>
    <row r="860" ht="15.75" customHeight="1">
      <c r="A860" s="1"/>
      <c r="B860" s="1"/>
      <c r="I860" s="1"/>
      <c r="J860" s="1"/>
      <c r="K860" s="1"/>
      <c r="L860" s="1"/>
    </row>
    <row r="861" ht="15.75" customHeight="1">
      <c r="A861" s="1"/>
      <c r="B861" s="1"/>
      <c r="I861" s="1"/>
      <c r="J861" s="1"/>
      <c r="K861" s="1"/>
      <c r="L861" s="1"/>
    </row>
    <row r="862" ht="15.75" customHeight="1">
      <c r="A862" s="1"/>
      <c r="B862" s="1"/>
      <c r="I862" s="1"/>
      <c r="J862" s="1"/>
      <c r="K862" s="1"/>
      <c r="L862" s="1"/>
    </row>
    <row r="863" ht="15.75" customHeight="1">
      <c r="A863" s="1"/>
      <c r="B863" s="1"/>
      <c r="I863" s="1"/>
      <c r="J863" s="1"/>
      <c r="K863" s="1"/>
      <c r="L863" s="1"/>
    </row>
    <row r="864" ht="15.75" customHeight="1">
      <c r="A864" s="1"/>
      <c r="B864" s="1"/>
      <c r="I864" s="1"/>
      <c r="J864" s="1"/>
      <c r="K864" s="1"/>
      <c r="L864" s="1"/>
    </row>
    <row r="865" ht="15.75" customHeight="1">
      <c r="A865" s="1"/>
      <c r="B865" s="1"/>
      <c r="I865" s="1"/>
      <c r="J865" s="1"/>
      <c r="K865" s="1"/>
      <c r="L865" s="1"/>
    </row>
    <row r="866" ht="15.75" customHeight="1">
      <c r="A866" s="1"/>
      <c r="B866" s="1"/>
      <c r="I866" s="1"/>
      <c r="J866" s="1"/>
      <c r="K866" s="1"/>
      <c r="L866" s="1"/>
    </row>
    <row r="867" ht="15.75" customHeight="1">
      <c r="A867" s="1"/>
      <c r="B867" s="1"/>
      <c r="I867" s="1"/>
      <c r="J867" s="1"/>
      <c r="K867" s="1"/>
      <c r="L867" s="1"/>
    </row>
    <row r="868" ht="15.75" customHeight="1">
      <c r="A868" s="1"/>
      <c r="B868" s="1"/>
      <c r="I868" s="1"/>
      <c r="J868" s="1"/>
      <c r="K868" s="1"/>
      <c r="L868" s="1"/>
    </row>
    <row r="869" ht="15.75" customHeight="1">
      <c r="A869" s="1"/>
      <c r="B869" s="1"/>
      <c r="I869" s="1"/>
      <c r="J869" s="1"/>
      <c r="K869" s="1"/>
      <c r="L869" s="1"/>
    </row>
    <row r="870" ht="15.75" customHeight="1">
      <c r="A870" s="1"/>
      <c r="B870" s="1"/>
      <c r="I870" s="1"/>
      <c r="J870" s="1"/>
      <c r="K870" s="1"/>
      <c r="L870" s="1"/>
    </row>
    <row r="871" ht="15.75" customHeight="1">
      <c r="A871" s="1"/>
      <c r="B871" s="1"/>
      <c r="I871" s="1"/>
      <c r="J871" s="1"/>
      <c r="K871" s="1"/>
      <c r="L871" s="1"/>
    </row>
    <row r="872" ht="15.75" customHeight="1">
      <c r="A872" s="1"/>
      <c r="B872" s="1"/>
      <c r="I872" s="1"/>
      <c r="J872" s="1"/>
      <c r="K872" s="1"/>
      <c r="L872" s="1"/>
    </row>
    <row r="873" ht="15.75" customHeight="1">
      <c r="A873" s="1"/>
      <c r="B873" s="1"/>
      <c r="I873" s="1"/>
      <c r="J873" s="1"/>
      <c r="K873" s="1"/>
      <c r="L873" s="1"/>
    </row>
    <row r="874" ht="15.75" customHeight="1">
      <c r="A874" s="1"/>
      <c r="B874" s="1"/>
      <c r="I874" s="1"/>
      <c r="J874" s="1"/>
      <c r="K874" s="1"/>
      <c r="L874" s="1"/>
    </row>
    <row r="875" ht="15.75" customHeight="1">
      <c r="A875" s="1"/>
      <c r="B875" s="1"/>
      <c r="I875" s="1"/>
      <c r="J875" s="1"/>
      <c r="K875" s="1"/>
      <c r="L875" s="1"/>
    </row>
    <row r="876" ht="15.75" customHeight="1">
      <c r="A876" s="1"/>
      <c r="B876" s="1"/>
      <c r="I876" s="1"/>
      <c r="J876" s="1"/>
      <c r="K876" s="1"/>
      <c r="L876" s="1"/>
    </row>
    <row r="877" ht="15.75" customHeight="1">
      <c r="A877" s="1"/>
      <c r="B877" s="1"/>
      <c r="I877" s="1"/>
      <c r="J877" s="1"/>
      <c r="K877" s="1"/>
      <c r="L877" s="1"/>
    </row>
    <row r="878" ht="15.75" customHeight="1">
      <c r="A878" s="1"/>
      <c r="B878" s="1"/>
      <c r="I878" s="1"/>
      <c r="J878" s="1"/>
      <c r="K878" s="1"/>
      <c r="L878" s="1"/>
    </row>
    <row r="879" ht="15.75" customHeight="1">
      <c r="A879" s="1"/>
      <c r="B879" s="1"/>
      <c r="I879" s="1"/>
      <c r="J879" s="1"/>
      <c r="K879" s="1"/>
      <c r="L879" s="1"/>
    </row>
    <row r="880" ht="15.75" customHeight="1">
      <c r="A880" s="1"/>
      <c r="B880" s="1"/>
      <c r="I880" s="1"/>
      <c r="J880" s="1"/>
      <c r="K880" s="1"/>
      <c r="L880" s="1"/>
    </row>
    <row r="881" ht="15.75" customHeight="1">
      <c r="A881" s="1"/>
      <c r="B881" s="1"/>
      <c r="I881" s="1"/>
      <c r="J881" s="1"/>
      <c r="K881" s="1"/>
      <c r="L881" s="1"/>
    </row>
    <row r="882" ht="15.75" customHeight="1">
      <c r="A882" s="1"/>
      <c r="B882" s="1"/>
      <c r="I882" s="1"/>
      <c r="J882" s="1"/>
      <c r="K882" s="1"/>
      <c r="L882" s="1"/>
    </row>
    <row r="883" ht="15.75" customHeight="1">
      <c r="A883" s="1"/>
      <c r="B883" s="1"/>
      <c r="I883" s="1"/>
      <c r="J883" s="1"/>
      <c r="K883" s="1"/>
      <c r="L883" s="1"/>
    </row>
    <row r="884" ht="15.75" customHeight="1">
      <c r="A884" s="1"/>
      <c r="B884" s="1"/>
      <c r="I884" s="1"/>
      <c r="J884" s="1"/>
      <c r="K884" s="1"/>
      <c r="L884" s="1"/>
    </row>
    <row r="885" ht="15.75" customHeight="1">
      <c r="A885" s="1"/>
      <c r="B885" s="1"/>
      <c r="I885" s="1"/>
      <c r="J885" s="1"/>
      <c r="K885" s="1"/>
      <c r="L885" s="1"/>
    </row>
    <row r="886" ht="15.75" customHeight="1">
      <c r="A886" s="1"/>
      <c r="B886" s="1"/>
      <c r="I886" s="1"/>
      <c r="J886" s="1"/>
      <c r="K886" s="1"/>
      <c r="L886" s="1"/>
    </row>
    <row r="887" ht="15.75" customHeight="1">
      <c r="A887" s="1"/>
      <c r="B887" s="1"/>
      <c r="I887" s="1"/>
      <c r="J887" s="1"/>
      <c r="K887" s="1"/>
      <c r="L887" s="1"/>
    </row>
    <row r="888" ht="15.75" customHeight="1">
      <c r="A888" s="1"/>
      <c r="B888" s="1"/>
      <c r="I888" s="1"/>
      <c r="J888" s="1"/>
      <c r="K888" s="1"/>
      <c r="L888" s="1"/>
    </row>
    <row r="889" ht="15.75" customHeight="1">
      <c r="A889" s="1"/>
      <c r="B889" s="1"/>
      <c r="I889" s="1"/>
      <c r="J889" s="1"/>
      <c r="K889" s="1"/>
      <c r="L889" s="1"/>
    </row>
    <row r="890" ht="15.75" customHeight="1">
      <c r="A890" s="1"/>
      <c r="B890" s="1"/>
      <c r="I890" s="1"/>
      <c r="J890" s="1"/>
      <c r="K890" s="1"/>
      <c r="L890" s="1"/>
    </row>
    <row r="891" ht="15.75" customHeight="1">
      <c r="A891" s="1"/>
      <c r="B891" s="1"/>
      <c r="I891" s="1"/>
      <c r="J891" s="1"/>
      <c r="K891" s="1"/>
      <c r="L891" s="1"/>
    </row>
    <row r="892" ht="15.75" customHeight="1">
      <c r="A892" s="1"/>
      <c r="B892" s="1"/>
      <c r="I892" s="1"/>
      <c r="J892" s="1"/>
      <c r="K892" s="1"/>
      <c r="L892" s="1"/>
    </row>
    <row r="893" ht="15.75" customHeight="1">
      <c r="A893" s="1"/>
      <c r="B893" s="1"/>
      <c r="I893" s="1"/>
      <c r="J893" s="1"/>
      <c r="K893" s="1"/>
      <c r="L893" s="1"/>
    </row>
    <row r="894" ht="15.75" customHeight="1">
      <c r="A894" s="1"/>
      <c r="B894" s="1"/>
      <c r="I894" s="1"/>
      <c r="J894" s="1"/>
      <c r="K894" s="1"/>
      <c r="L894" s="1"/>
    </row>
    <row r="895" ht="15.75" customHeight="1">
      <c r="A895" s="1"/>
      <c r="B895" s="1"/>
      <c r="I895" s="1"/>
      <c r="J895" s="1"/>
      <c r="K895" s="1"/>
      <c r="L895" s="1"/>
    </row>
    <row r="896" ht="15.75" customHeight="1">
      <c r="A896" s="1"/>
      <c r="B896" s="1"/>
      <c r="I896" s="1"/>
      <c r="J896" s="1"/>
      <c r="K896" s="1"/>
      <c r="L896" s="1"/>
    </row>
    <row r="897" ht="15.75" customHeight="1">
      <c r="A897" s="1"/>
      <c r="B897" s="1"/>
      <c r="I897" s="1"/>
      <c r="J897" s="1"/>
      <c r="K897" s="1"/>
      <c r="L897" s="1"/>
    </row>
    <row r="898" ht="15.75" customHeight="1">
      <c r="A898" s="1"/>
      <c r="B898" s="1"/>
      <c r="I898" s="1"/>
      <c r="J898" s="1"/>
      <c r="K898" s="1"/>
      <c r="L898" s="1"/>
    </row>
    <row r="899" ht="15.75" customHeight="1">
      <c r="A899" s="1"/>
      <c r="B899" s="1"/>
      <c r="I899" s="1"/>
      <c r="J899" s="1"/>
      <c r="K899" s="1"/>
      <c r="L899" s="1"/>
    </row>
    <row r="900" ht="15.75" customHeight="1">
      <c r="A900" s="1"/>
      <c r="B900" s="1"/>
      <c r="I900" s="1"/>
      <c r="J900" s="1"/>
      <c r="K900" s="1"/>
      <c r="L900" s="1"/>
    </row>
    <row r="901" ht="15.75" customHeight="1">
      <c r="A901" s="1"/>
      <c r="B901" s="1"/>
      <c r="I901" s="1"/>
      <c r="J901" s="1"/>
      <c r="K901" s="1"/>
      <c r="L901" s="1"/>
    </row>
    <row r="902" ht="15.75" customHeight="1">
      <c r="A902" s="1"/>
      <c r="B902" s="1"/>
      <c r="I902" s="1"/>
      <c r="J902" s="1"/>
      <c r="K902" s="1"/>
      <c r="L902" s="1"/>
    </row>
    <row r="903" ht="15.75" customHeight="1">
      <c r="A903" s="1"/>
      <c r="B903" s="1"/>
      <c r="I903" s="1"/>
      <c r="J903" s="1"/>
      <c r="K903" s="1"/>
      <c r="L903" s="1"/>
    </row>
    <row r="904" ht="15.75" customHeight="1">
      <c r="A904" s="1"/>
      <c r="B904" s="1"/>
      <c r="I904" s="1"/>
      <c r="J904" s="1"/>
      <c r="K904" s="1"/>
      <c r="L904" s="1"/>
    </row>
    <row r="905" ht="15.75" customHeight="1">
      <c r="A905" s="1"/>
      <c r="B905" s="1"/>
      <c r="I905" s="1"/>
      <c r="J905" s="1"/>
      <c r="K905" s="1"/>
      <c r="L905" s="1"/>
    </row>
    <row r="906" ht="15.75" customHeight="1">
      <c r="A906" s="1"/>
      <c r="B906" s="1"/>
      <c r="I906" s="1"/>
      <c r="J906" s="1"/>
      <c r="K906" s="1"/>
      <c r="L906" s="1"/>
    </row>
    <row r="907" ht="15.75" customHeight="1">
      <c r="A907" s="1"/>
      <c r="B907" s="1"/>
      <c r="I907" s="1"/>
      <c r="J907" s="1"/>
      <c r="K907" s="1"/>
      <c r="L907" s="1"/>
    </row>
    <row r="908" ht="15.75" customHeight="1">
      <c r="A908" s="1"/>
      <c r="B908" s="1"/>
      <c r="I908" s="1"/>
      <c r="J908" s="1"/>
      <c r="K908" s="1"/>
      <c r="L908" s="1"/>
    </row>
    <row r="909" ht="15.75" customHeight="1">
      <c r="A909" s="1"/>
      <c r="B909" s="1"/>
      <c r="I909" s="1"/>
      <c r="J909" s="1"/>
      <c r="K909" s="1"/>
      <c r="L909" s="1"/>
    </row>
    <row r="910" ht="15.75" customHeight="1">
      <c r="A910" s="1"/>
      <c r="B910" s="1"/>
      <c r="I910" s="1"/>
      <c r="J910" s="1"/>
      <c r="K910" s="1"/>
      <c r="L910" s="1"/>
    </row>
    <row r="911" ht="15.75" customHeight="1">
      <c r="A911" s="1"/>
      <c r="B911" s="1"/>
      <c r="I911" s="1"/>
      <c r="J911" s="1"/>
      <c r="K911" s="1"/>
      <c r="L911" s="1"/>
    </row>
    <row r="912" ht="15.75" customHeight="1">
      <c r="A912" s="1"/>
      <c r="B912" s="1"/>
      <c r="I912" s="1"/>
      <c r="J912" s="1"/>
      <c r="K912" s="1"/>
      <c r="L912" s="1"/>
    </row>
    <row r="913" ht="15.75" customHeight="1">
      <c r="A913" s="1"/>
      <c r="B913" s="1"/>
      <c r="I913" s="1"/>
      <c r="J913" s="1"/>
      <c r="K913" s="1"/>
      <c r="L913" s="1"/>
    </row>
    <row r="914" ht="15.75" customHeight="1">
      <c r="A914" s="1"/>
      <c r="B914" s="1"/>
      <c r="I914" s="1"/>
      <c r="J914" s="1"/>
      <c r="K914" s="1"/>
      <c r="L914" s="1"/>
    </row>
    <row r="915" ht="15.75" customHeight="1">
      <c r="A915" s="1"/>
      <c r="B915" s="1"/>
      <c r="I915" s="1"/>
      <c r="J915" s="1"/>
      <c r="K915" s="1"/>
      <c r="L915" s="1"/>
    </row>
    <row r="916" ht="15.75" customHeight="1">
      <c r="A916" s="1"/>
      <c r="B916" s="1"/>
      <c r="I916" s="1"/>
      <c r="J916" s="1"/>
      <c r="K916" s="1"/>
      <c r="L916" s="1"/>
    </row>
    <row r="917" ht="15.75" customHeight="1">
      <c r="A917" s="1"/>
      <c r="B917" s="1"/>
      <c r="I917" s="1"/>
      <c r="J917" s="1"/>
      <c r="K917" s="1"/>
      <c r="L917" s="1"/>
    </row>
    <row r="918" ht="15.75" customHeight="1">
      <c r="A918" s="1"/>
      <c r="B918" s="1"/>
      <c r="I918" s="1"/>
      <c r="J918" s="1"/>
      <c r="K918" s="1"/>
      <c r="L918" s="1"/>
    </row>
    <row r="919" ht="15.75" customHeight="1">
      <c r="A919" s="1"/>
      <c r="B919" s="1"/>
      <c r="I919" s="1"/>
      <c r="J919" s="1"/>
      <c r="K919" s="1"/>
      <c r="L919" s="1"/>
    </row>
    <row r="920" ht="15.75" customHeight="1">
      <c r="A920" s="1"/>
      <c r="B920" s="1"/>
      <c r="I920" s="1"/>
      <c r="J920" s="1"/>
      <c r="K920" s="1"/>
      <c r="L920" s="1"/>
    </row>
    <row r="921" ht="15.75" customHeight="1">
      <c r="A921" s="1"/>
      <c r="B921" s="1"/>
      <c r="I921" s="1"/>
      <c r="J921" s="1"/>
      <c r="K921" s="1"/>
      <c r="L921" s="1"/>
    </row>
    <row r="922" ht="15.75" customHeight="1">
      <c r="A922" s="1"/>
      <c r="B922" s="1"/>
      <c r="I922" s="1"/>
      <c r="J922" s="1"/>
      <c r="K922" s="1"/>
      <c r="L922" s="1"/>
    </row>
    <row r="923" ht="15.75" customHeight="1">
      <c r="A923" s="1"/>
      <c r="B923" s="1"/>
      <c r="I923" s="1"/>
      <c r="J923" s="1"/>
      <c r="K923" s="1"/>
      <c r="L923" s="1"/>
    </row>
    <row r="924" ht="15.75" customHeight="1">
      <c r="A924" s="1"/>
      <c r="B924" s="1"/>
      <c r="I924" s="1"/>
      <c r="J924" s="1"/>
      <c r="K924" s="1"/>
      <c r="L924" s="1"/>
    </row>
    <row r="925" ht="15.75" customHeight="1">
      <c r="A925" s="1"/>
      <c r="B925" s="1"/>
      <c r="I925" s="1"/>
      <c r="J925" s="1"/>
      <c r="K925" s="1"/>
      <c r="L925" s="1"/>
    </row>
    <row r="926" ht="15.75" customHeight="1">
      <c r="A926" s="1"/>
      <c r="B926" s="1"/>
      <c r="I926" s="1"/>
      <c r="J926" s="1"/>
      <c r="K926" s="1"/>
      <c r="L926" s="1"/>
    </row>
    <row r="927" ht="15.75" customHeight="1">
      <c r="A927" s="1"/>
      <c r="B927" s="1"/>
      <c r="I927" s="1"/>
      <c r="J927" s="1"/>
      <c r="K927" s="1"/>
      <c r="L927" s="1"/>
    </row>
    <row r="928" ht="15.75" customHeight="1">
      <c r="A928" s="1"/>
      <c r="B928" s="1"/>
      <c r="I928" s="1"/>
      <c r="J928" s="1"/>
      <c r="K928" s="1"/>
      <c r="L928" s="1"/>
    </row>
    <row r="929" ht="15.75" customHeight="1">
      <c r="A929" s="1"/>
      <c r="B929" s="1"/>
      <c r="I929" s="1"/>
      <c r="J929" s="1"/>
      <c r="K929" s="1"/>
      <c r="L929" s="1"/>
    </row>
    <row r="930" ht="15.75" customHeight="1">
      <c r="A930" s="1"/>
      <c r="B930" s="1"/>
      <c r="I930" s="1"/>
      <c r="J930" s="1"/>
      <c r="K930" s="1"/>
      <c r="L930" s="1"/>
    </row>
    <row r="931" ht="15.75" customHeight="1">
      <c r="A931" s="1"/>
      <c r="B931" s="1"/>
      <c r="I931" s="1"/>
      <c r="J931" s="1"/>
      <c r="K931" s="1"/>
      <c r="L931" s="1"/>
    </row>
    <row r="932" ht="15.75" customHeight="1">
      <c r="A932" s="1"/>
      <c r="B932" s="1"/>
      <c r="I932" s="1"/>
      <c r="J932" s="1"/>
      <c r="K932" s="1"/>
      <c r="L932" s="1"/>
    </row>
    <row r="933" ht="15.75" customHeight="1">
      <c r="A933" s="1"/>
      <c r="B933" s="1"/>
      <c r="I933" s="1"/>
      <c r="J933" s="1"/>
      <c r="K933" s="1"/>
      <c r="L933" s="1"/>
    </row>
    <row r="934" ht="15.75" customHeight="1">
      <c r="A934" s="1"/>
      <c r="B934" s="1"/>
      <c r="I934" s="1"/>
      <c r="J934" s="1"/>
      <c r="K934" s="1"/>
      <c r="L934" s="1"/>
    </row>
    <row r="935" ht="15.75" customHeight="1">
      <c r="A935" s="1"/>
      <c r="B935" s="1"/>
      <c r="I935" s="1"/>
      <c r="J935" s="1"/>
      <c r="K935" s="1"/>
      <c r="L935" s="1"/>
    </row>
    <row r="936" ht="15.75" customHeight="1">
      <c r="A936" s="1"/>
      <c r="B936" s="1"/>
      <c r="I936" s="1"/>
      <c r="J936" s="1"/>
      <c r="K936" s="1"/>
      <c r="L936" s="1"/>
    </row>
    <row r="937" ht="15.75" customHeight="1">
      <c r="A937" s="1"/>
      <c r="B937" s="1"/>
      <c r="I937" s="1"/>
      <c r="J937" s="1"/>
      <c r="K937" s="1"/>
      <c r="L937" s="1"/>
    </row>
    <row r="938" ht="15.75" customHeight="1">
      <c r="A938" s="1"/>
      <c r="B938" s="1"/>
      <c r="I938" s="1"/>
      <c r="J938" s="1"/>
      <c r="K938" s="1"/>
      <c r="L938" s="1"/>
    </row>
    <row r="939" ht="15.75" customHeight="1">
      <c r="A939" s="1"/>
      <c r="B939" s="1"/>
      <c r="I939" s="1"/>
      <c r="J939" s="1"/>
      <c r="K939" s="1"/>
      <c r="L939" s="1"/>
    </row>
    <row r="940" ht="15.75" customHeight="1">
      <c r="A940" s="1"/>
      <c r="B940" s="1"/>
      <c r="I940" s="1"/>
      <c r="J940" s="1"/>
      <c r="K940" s="1"/>
      <c r="L940" s="1"/>
    </row>
    <row r="941" ht="15.75" customHeight="1">
      <c r="A941" s="1"/>
      <c r="B941" s="1"/>
      <c r="I941" s="1"/>
      <c r="J941" s="1"/>
      <c r="K941" s="1"/>
      <c r="L941" s="1"/>
    </row>
    <row r="942" ht="15.75" customHeight="1">
      <c r="A942" s="1"/>
      <c r="B942" s="1"/>
      <c r="I942" s="1"/>
      <c r="J942" s="1"/>
      <c r="K942" s="1"/>
      <c r="L942" s="1"/>
    </row>
    <row r="943" ht="15.75" customHeight="1">
      <c r="A943" s="1"/>
      <c r="B943" s="1"/>
      <c r="I943" s="1"/>
      <c r="J943" s="1"/>
      <c r="K943" s="1"/>
      <c r="L943" s="1"/>
    </row>
    <row r="944" ht="15.75" customHeight="1">
      <c r="A944" s="1"/>
      <c r="B944" s="1"/>
      <c r="I944" s="1"/>
      <c r="J944" s="1"/>
      <c r="K944" s="1"/>
      <c r="L944" s="1"/>
    </row>
    <row r="945" ht="15.75" customHeight="1">
      <c r="A945" s="1"/>
      <c r="B945" s="1"/>
      <c r="I945" s="1"/>
      <c r="J945" s="1"/>
      <c r="K945" s="1"/>
      <c r="L945" s="1"/>
    </row>
    <row r="946" ht="15.75" customHeight="1">
      <c r="A946" s="1"/>
      <c r="B946" s="1"/>
      <c r="I946" s="1"/>
      <c r="J946" s="1"/>
      <c r="K946" s="1"/>
      <c r="L946" s="1"/>
    </row>
    <row r="947" ht="15.75" customHeight="1">
      <c r="A947" s="1"/>
      <c r="B947" s="1"/>
      <c r="I947" s="1"/>
      <c r="J947" s="1"/>
      <c r="K947" s="1"/>
      <c r="L947" s="1"/>
    </row>
    <row r="948" ht="15.75" customHeight="1">
      <c r="A948" s="1"/>
      <c r="B948" s="1"/>
      <c r="I948" s="1"/>
      <c r="J948" s="1"/>
      <c r="K948" s="1"/>
      <c r="L948" s="1"/>
    </row>
    <row r="949" ht="15.75" customHeight="1">
      <c r="A949" s="1"/>
      <c r="B949" s="1"/>
      <c r="I949" s="1"/>
      <c r="J949" s="1"/>
      <c r="K949" s="1"/>
      <c r="L949" s="1"/>
    </row>
    <row r="950" ht="15.75" customHeight="1">
      <c r="A950" s="1"/>
      <c r="B950" s="1"/>
      <c r="I950" s="1"/>
      <c r="J950" s="1"/>
      <c r="K950" s="1"/>
      <c r="L950" s="1"/>
    </row>
    <row r="951" ht="15.75" customHeight="1">
      <c r="A951" s="1"/>
      <c r="B951" s="1"/>
      <c r="I951" s="1"/>
      <c r="J951" s="1"/>
      <c r="K951" s="1"/>
      <c r="L951" s="1"/>
    </row>
    <row r="952" ht="15.75" customHeight="1">
      <c r="A952" s="1"/>
      <c r="B952" s="1"/>
      <c r="I952" s="1"/>
      <c r="J952" s="1"/>
      <c r="K952" s="1"/>
      <c r="L952" s="1"/>
    </row>
    <row r="953" ht="15.75" customHeight="1">
      <c r="A953" s="1"/>
      <c r="B953" s="1"/>
      <c r="I953" s="1"/>
      <c r="J953" s="1"/>
      <c r="K953" s="1"/>
      <c r="L953" s="1"/>
    </row>
    <row r="954" ht="15.75" customHeight="1">
      <c r="A954" s="1"/>
      <c r="B954" s="1"/>
      <c r="I954" s="1"/>
      <c r="J954" s="1"/>
      <c r="K954" s="1"/>
      <c r="L954" s="1"/>
    </row>
    <row r="955" ht="15.75" customHeight="1">
      <c r="A955" s="1"/>
      <c r="B955" s="1"/>
      <c r="I955" s="1"/>
      <c r="J955" s="1"/>
      <c r="K955" s="1"/>
      <c r="L955" s="1"/>
    </row>
    <row r="956" ht="15.75" customHeight="1">
      <c r="A956" s="1"/>
      <c r="B956" s="1"/>
      <c r="I956" s="1"/>
      <c r="J956" s="1"/>
      <c r="K956" s="1"/>
      <c r="L956" s="1"/>
    </row>
    <row r="957" ht="15.75" customHeight="1">
      <c r="A957" s="1"/>
      <c r="B957" s="1"/>
      <c r="I957" s="1"/>
      <c r="J957" s="1"/>
      <c r="K957" s="1"/>
      <c r="L957" s="1"/>
    </row>
    <row r="958" ht="15.75" customHeight="1">
      <c r="A958" s="1"/>
      <c r="B958" s="1"/>
      <c r="I958" s="1"/>
      <c r="J958" s="1"/>
      <c r="K958" s="1"/>
      <c r="L958" s="1"/>
    </row>
    <row r="959" ht="15.75" customHeight="1">
      <c r="A959" s="1"/>
      <c r="B959" s="1"/>
      <c r="I959" s="1"/>
      <c r="J959" s="1"/>
      <c r="K959" s="1"/>
      <c r="L959" s="1"/>
    </row>
    <row r="960" ht="15.75" customHeight="1">
      <c r="A960" s="1"/>
      <c r="B960" s="1"/>
      <c r="I960" s="1"/>
      <c r="J960" s="1"/>
      <c r="K960" s="1"/>
      <c r="L960" s="1"/>
    </row>
    <row r="961" ht="15.75" customHeight="1">
      <c r="A961" s="1"/>
      <c r="B961" s="1"/>
      <c r="I961" s="1"/>
      <c r="J961" s="1"/>
      <c r="K961" s="1"/>
      <c r="L961" s="1"/>
    </row>
    <row r="962" ht="15.75" customHeight="1">
      <c r="A962" s="1"/>
      <c r="B962" s="1"/>
      <c r="I962" s="1"/>
      <c r="J962" s="1"/>
      <c r="K962" s="1"/>
      <c r="L962" s="1"/>
    </row>
    <row r="963" ht="15.75" customHeight="1">
      <c r="A963" s="1"/>
      <c r="B963" s="1"/>
      <c r="I963" s="1"/>
      <c r="J963" s="1"/>
      <c r="K963" s="1"/>
      <c r="L963" s="1"/>
    </row>
    <row r="964" ht="15.75" customHeight="1">
      <c r="A964" s="1"/>
      <c r="B964" s="1"/>
      <c r="I964" s="1"/>
      <c r="J964" s="1"/>
      <c r="K964" s="1"/>
      <c r="L964" s="1"/>
    </row>
    <row r="965" ht="15.75" customHeight="1">
      <c r="A965" s="1"/>
      <c r="B965" s="1"/>
      <c r="I965" s="1"/>
      <c r="J965" s="1"/>
      <c r="K965" s="1"/>
      <c r="L965" s="1"/>
    </row>
    <row r="966" ht="15.75" customHeight="1">
      <c r="A966" s="1"/>
      <c r="B966" s="1"/>
      <c r="I966" s="1"/>
      <c r="J966" s="1"/>
      <c r="K966" s="1"/>
      <c r="L966" s="1"/>
    </row>
    <row r="967" ht="15.75" customHeight="1">
      <c r="A967" s="1"/>
      <c r="B967" s="1"/>
      <c r="I967" s="1"/>
      <c r="J967" s="1"/>
      <c r="K967" s="1"/>
      <c r="L967" s="1"/>
    </row>
    <row r="968" ht="15.75" customHeight="1">
      <c r="A968" s="1"/>
      <c r="B968" s="1"/>
      <c r="I968" s="1"/>
      <c r="J968" s="1"/>
      <c r="K968" s="1"/>
      <c r="L968" s="1"/>
    </row>
    <row r="969" ht="15.75" customHeight="1">
      <c r="A969" s="1"/>
      <c r="B969" s="1"/>
      <c r="I969" s="1"/>
      <c r="J969" s="1"/>
      <c r="K969" s="1"/>
      <c r="L969" s="1"/>
    </row>
    <row r="970" ht="15.75" customHeight="1">
      <c r="A970" s="1"/>
      <c r="B970" s="1"/>
      <c r="I970" s="1"/>
      <c r="J970" s="1"/>
      <c r="K970" s="1"/>
      <c r="L970" s="1"/>
    </row>
    <row r="971" ht="15.75" customHeight="1">
      <c r="A971" s="1"/>
      <c r="B971" s="1"/>
      <c r="I971" s="1"/>
      <c r="J971" s="1"/>
      <c r="K971" s="1"/>
      <c r="L971" s="1"/>
    </row>
    <row r="972" ht="15.75" customHeight="1">
      <c r="A972" s="1"/>
      <c r="B972" s="1"/>
      <c r="I972" s="1"/>
      <c r="J972" s="1"/>
      <c r="K972" s="1"/>
      <c r="L972" s="1"/>
    </row>
    <row r="973" ht="15.75" customHeight="1">
      <c r="A973" s="1"/>
      <c r="B973" s="1"/>
      <c r="I973" s="1"/>
      <c r="J973" s="1"/>
      <c r="K973" s="1"/>
      <c r="L973" s="1"/>
    </row>
    <row r="974" ht="15.75" customHeight="1">
      <c r="A974" s="1"/>
      <c r="B974" s="1"/>
      <c r="I974" s="1"/>
      <c r="J974" s="1"/>
      <c r="K974" s="1"/>
      <c r="L974" s="1"/>
    </row>
    <row r="975" ht="15.75" customHeight="1">
      <c r="A975" s="1"/>
      <c r="B975" s="1"/>
      <c r="I975" s="1"/>
      <c r="J975" s="1"/>
      <c r="K975" s="1"/>
      <c r="L975" s="1"/>
    </row>
    <row r="976" ht="15.75" customHeight="1">
      <c r="A976" s="1"/>
      <c r="B976" s="1"/>
      <c r="I976" s="1"/>
      <c r="J976" s="1"/>
      <c r="K976" s="1"/>
      <c r="L976" s="1"/>
    </row>
    <row r="977" ht="15.75" customHeight="1">
      <c r="A977" s="1"/>
      <c r="B977" s="1"/>
      <c r="I977" s="1"/>
      <c r="J977" s="1"/>
      <c r="K977" s="1"/>
      <c r="L977" s="1"/>
    </row>
    <row r="978" ht="15.75" customHeight="1">
      <c r="A978" s="1"/>
      <c r="B978" s="1"/>
      <c r="I978" s="1"/>
      <c r="J978" s="1"/>
      <c r="K978" s="1"/>
      <c r="L978" s="1"/>
    </row>
    <row r="979" ht="15.75" customHeight="1">
      <c r="A979" s="1"/>
      <c r="B979" s="1"/>
      <c r="I979" s="1"/>
      <c r="J979" s="1"/>
      <c r="K979" s="1"/>
      <c r="L979" s="1"/>
    </row>
    <row r="980" ht="15.75" customHeight="1">
      <c r="A980" s="1"/>
      <c r="B980" s="1"/>
      <c r="I980" s="1"/>
      <c r="J980" s="1"/>
      <c r="K980" s="1"/>
      <c r="L980" s="1"/>
    </row>
    <row r="981" ht="15.75" customHeight="1">
      <c r="A981" s="1"/>
      <c r="B981" s="1"/>
      <c r="I981" s="1"/>
      <c r="J981" s="1"/>
      <c r="K981" s="1"/>
      <c r="L981" s="1"/>
    </row>
    <row r="982" ht="15.75" customHeight="1">
      <c r="A982" s="1"/>
      <c r="B982" s="1"/>
      <c r="I982" s="1"/>
      <c r="J982" s="1"/>
      <c r="K982" s="1"/>
      <c r="L982" s="1"/>
    </row>
    <row r="983" ht="15.75" customHeight="1">
      <c r="A983" s="1"/>
      <c r="B983" s="1"/>
      <c r="I983" s="1"/>
      <c r="J983" s="1"/>
      <c r="K983" s="1"/>
      <c r="L983" s="1"/>
    </row>
    <row r="984" ht="15.75" customHeight="1">
      <c r="A984" s="1"/>
      <c r="B984" s="1"/>
      <c r="I984" s="1"/>
      <c r="J984" s="1"/>
      <c r="K984" s="1"/>
      <c r="L984" s="1"/>
    </row>
    <row r="985" ht="15.75" customHeight="1">
      <c r="A985" s="1"/>
      <c r="B985" s="1"/>
      <c r="I985" s="1"/>
      <c r="J985" s="1"/>
      <c r="K985" s="1"/>
      <c r="L985" s="1"/>
    </row>
    <row r="986" ht="15.75" customHeight="1">
      <c r="A986" s="1"/>
      <c r="B986" s="1"/>
      <c r="I986" s="1"/>
      <c r="J986" s="1"/>
      <c r="K986" s="1"/>
      <c r="L986" s="1"/>
    </row>
    <row r="987" ht="15.75" customHeight="1">
      <c r="A987" s="1"/>
      <c r="B987" s="1"/>
      <c r="I987" s="1"/>
      <c r="J987" s="1"/>
      <c r="K987" s="1"/>
      <c r="L987" s="1"/>
    </row>
    <row r="988" ht="15.75" customHeight="1">
      <c r="A988" s="1"/>
      <c r="B988" s="1"/>
      <c r="I988" s="1"/>
      <c r="J988" s="1"/>
      <c r="K988" s="1"/>
      <c r="L988" s="1"/>
    </row>
    <row r="989" ht="15.75" customHeight="1">
      <c r="A989" s="1"/>
      <c r="B989" s="1"/>
      <c r="I989" s="1"/>
      <c r="J989" s="1"/>
      <c r="K989" s="1"/>
      <c r="L989" s="1"/>
    </row>
    <row r="990" ht="15.75" customHeight="1">
      <c r="A990" s="1"/>
      <c r="B990" s="1"/>
      <c r="I990" s="1"/>
      <c r="J990" s="1"/>
      <c r="K990" s="1"/>
      <c r="L990" s="1"/>
    </row>
    <row r="991" ht="15.75" customHeight="1">
      <c r="A991" s="1"/>
      <c r="B991" s="1"/>
      <c r="I991" s="1"/>
      <c r="J991" s="1"/>
      <c r="K991" s="1"/>
      <c r="L991" s="1"/>
    </row>
    <row r="992" ht="15.75" customHeight="1">
      <c r="A992" s="1"/>
      <c r="B992" s="1"/>
      <c r="I992" s="1"/>
      <c r="J992" s="1"/>
      <c r="K992" s="1"/>
      <c r="L992" s="1"/>
    </row>
    <row r="993" ht="15.75" customHeight="1">
      <c r="A993" s="1"/>
      <c r="B993" s="1"/>
      <c r="I993" s="1"/>
      <c r="J993" s="1"/>
      <c r="K993" s="1"/>
      <c r="L993" s="1"/>
    </row>
    <row r="994" ht="15.75" customHeight="1">
      <c r="A994" s="1"/>
      <c r="B994" s="1"/>
      <c r="I994" s="1"/>
      <c r="J994" s="1"/>
      <c r="K994" s="1"/>
      <c r="L994" s="1"/>
    </row>
    <row r="995" ht="15.75" customHeight="1">
      <c r="A995" s="1"/>
      <c r="B995" s="1"/>
      <c r="I995" s="1"/>
      <c r="J995" s="1"/>
      <c r="K995" s="1"/>
      <c r="L995" s="1"/>
    </row>
    <row r="996" ht="15.75" customHeight="1">
      <c r="A996" s="1"/>
      <c r="B996" s="1"/>
      <c r="I996" s="1"/>
      <c r="J996" s="1"/>
      <c r="K996" s="1"/>
      <c r="L996" s="1"/>
    </row>
    <row r="997" ht="15.75" customHeight="1">
      <c r="A997" s="1"/>
      <c r="B997" s="1"/>
      <c r="I997" s="1"/>
      <c r="J997" s="1"/>
      <c r="K997" s="1"/>
      <c r="L997" s="1"/>
    </row>
    <row r="998" ht="15.75" customHeight="1">
      <c r="A998" s="1"/>
      <c r="B998" s="1"/>
      <c r="I998" s="1"/>
      <c r="J998" s="1"/>
      <c r="K998" s="1"/>
      <c r="L998" s="1"/>
    </row>
    <row r="999" ht="15.75" customHeight="1">
      <c r="A999" s="1"/>
      <c r="B999" s="1"/>
      <c r="I999" s="1"/>
      <c r="J999" s="1"/>
      <c r="K999" s="1"/>
      <c r="L999" s="1"/>
    </row>
    <row r="1000" ht="15.75" customHeight="1">
      <c r="A1000" s="1"/>
      <c r="B1000" s="1"/>
      <c r="I1000" s="1"/>
      <c r="J1000" s="1"/>
      <c r="K1000" s="1"/>
      <c r="L1000"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4.14"/>
    <col customWidth="1" min="3" max="3" width="15.57"/>
    <col customWidth="1" min="4" max="4" width="12.71"/>
    <col customWidth="1" min="5" max="5" width="13.29"/>
    <col customWidth="1" min="6" max="7" width="8.71"/>
    <col customWidth="1" min="8" max="8" width="9.71"/>
    <col customWidth="1" min="9" max="9" width="10.71"/>
    <col customWidth="1" min="10" max="10" width="15.0"/>
    <col customWidth="1" min="11" max="26" width="8.71"/>
  </cols>
  <sheetData>
    <row r="1">
      <c r="A1" s="4" t="s">
        <v>125</v>
      </c>
      <c r="B1" s="4" t="s">
        <v>451</v>
      </c>
      <c r="C1" s="4" t="s">
        <v>452</v>
      </c>
      <c r="D1" s="4" t="s">
        <v>453</v>
      </c>
      <c r="E1" s="4" t="s">
        <v>454</v>
      </c>
      <c r="H1" s="1"/>
      <c r="I1" s="1"/>
      <c r="J1" s="1"/>
      <c r="K1" s="1"/>
      <c r="L1" s="1"/>
    </row>
    <row r="2">
      <c r="A2" s="15">
        <v>36532.0</v>
      </c>
      <c r="B2" s="16">
        <v>59926.19</v>
      </c>
      <c r="C2" s="3">
        <v>93746.53</v>
      </c>
      <c r="D2" s="3">
        <v>0.0</v>
      </c>
      <c r="E2" s="3">
        <v>0.0</v>
      </c>
      <c r="H2" s="15"/>
      <c r="I2" s="15"/>
      <c r="J2" s="1"/>
      <c r="K2" s="1"/>
      <c r="L2" s="1"/>
    </row>
    <row r="3">
      <c r="A3" s="15">
        <v>36539.0</v>
      </c>
      <c r="B3" s="3">
        <v>99661.69</v>
      </c>
      <c r="C3" s="3">
        <v>93746.53</v>
      </c>
      <c r="D3" s="3">
        <v>-264.5</v>
      </c>
      <c r="E3" s="3">
        <f t="shared" ref="E3:E1406" si="1">D3/MAX($B$2:B3,100000)</f>
        <v>-0.002645</v>
      </c>
      <c r="H3" s="15"/>
      <c r="I3" s="15"/>
      <c r="J3" s="1"/>
      <c r="K3" s="1"/>
      <c r="L3" s="1"/>
    </row>
    <row r="4">
      <c r="A4" s="15">
        <v>36546.0</v>
      </c>
      <c r="B4" s="3">
        <v>99022.27</v>
      </c>
      <c r="C4" s="3">
        <v>87514.75</v>
      </c>
      <c r="D4" s="3">
        <v>-903.91</v>
      </c>
      <c r="E4" s="3">
        <f t="shared" si="1"/>
        <v>-0.0090391</v>
      </c>
      <c r="H4" s="15"/>
      <c r="I4" s="15"/>
      <c r="J4" s="1"/>
      <c r="K4" s="1"/>
      <c r="L4" s="1"/>
    </row>
    <row r="5">
      <c r="A5" s="15">
        <v>36553.0</v>
      </c>
      <c r="B5" s="16">
        <v>68253.25</v>
      </c>
      <c r="C5" s="3">
        <v>68938.5</v>
      </c>
      <c r="D5" s="3">
        <v>-1672.94</v>
      </c>
      <c r="E5" s="3">
        <f t="shared" si="1"/>
        <v>-0.0167294</v>
      </c>
      <c r="H5" s="15"/>
      <c r="I5" s="15"/>
      <c r="J5" s="1"/>
      <c r="K5" s="1"/>
      <c r="L5" s="1"/>
    </row>
    <row r="6">
      <c r="A6" s="15">
        <v>36560.0</v>
      </c>
      <c r="B6" s="3">
        <v>98400.59</v>
      </c>
      <c r="C6" s="3">
        <v>68938.5</v>
      </c>
      <c r="D6" s="3">
        <v>-1525.59</v>
      </c>
      <c r="E6" s="3">
        <f t="shared" si="1"/>
        <v>-0.0152559</v>
      </c>
      <c r="H6" s="15"/>
      <c r="I6" s="15"/>
      <c r="J6" s="1"/>
      <c r="K6" s="1"/>
      <c r="L6" s="1"/>
    </row>
    <row r="7">
      <c r="A7" s="15">
        <v>36567.0</v>
      </c>
      <c r="B7" s="3">
        <v>98328.7</v>
      </c>
      <c r="C7" s="3">
        <v>50373.21</v>
      </c>
      <c r="D7" s="3">
        <v>-1597.48</v>
      </c>
      <c r="E7" s="3">
        <f t="shared" si="1"/>
        <v>-0.0159748</v>
      </c>
      <c r="H7" s="15"/>
      <c r="I7" s="15"/>
      <c r="J7" s="1"/>
      <c r="K7" s="1"/>
      <c r="L7" s="1"/>
    </row>
    <row r="8">
      <c r="A8" s="15">
        <v>36574.0</v>
      </c>
      <c r="B8" s="3">
        <v>98908.93</v>
      </c>
      <c r="C8" s="3">
        <v>44223.23</v>
      </c>
      <c r="D8" s="3">
        <v>-1017.26</v>
      </c>
      <c r="E8" s="3">
        <f t="shared" si="1"/>
        <v>-0.0101726</v>
      </c>
      <c r="H8" s="15"/>
      <c r="I8" s="15"/>
      <c r="J8" s="1"/>
      <c r="K8" s="1"/>
      <c r="L8" s="1"/>
    </row>
    <row r="9">
      <c r="A9" s="15">
        <v>36581.0</v>
      </c>
      <c r="B9" s="3">
        <v>98123.88</v>
      </c>
      <c r="C9" s="3">
        <v>29993.22</v>
      </c>
      <c r="D9" s="3">
        <v>-1802.3</v>
      </c>
      <c r="E9" s="3">
        <f t="shared" si="1"/>
        <v>-0.018023</v>
      </c>
      <c r="H9" s="15"/>
      <c r="I9" s="15"/>
      <c r="J9" s="1"/>
      <c r="K9" s="1"/>
      <c r="L9" s="1"/>
    </row>
    <row r="10">
      <c r="A10" s="15">
        <v>36588.0</v>
      </c>
      <c r="B10" s="16">
        <v>68125.48</v>
      </c>
      <c r="C10" s="3">
        <v>5542.42</v>
      </c>
      <c r="D10" s="3">
        <v>-1800.7</v>
      </c>
      <c r="E10" s="3">
        <f t="shared" si="1"/>
        <v>-0.018007</v>
      </c>
      <c r="H10" s="15"/>
      <c r="I10" s="15"/>
      <c r="J10" s="1"/>
      <c r="K10" s="1"/>
      <c r="L10" s="1"/>
    </row>
    <row r="11">
      <c r="A11" s="15">
        <v>36595.0</v>
      </c>
      <c r="B11" s="3">
        <v>103031.3</v>
      </c>
      <c r="C11" s="3">
        <v>5542.42</v>
      </c>
      <c r="D11" s="3">
        <v>0.0</v>
      </c>
      <c r="E11" s="3">
        <f t="shared" si="1"/>
        <v>0</v>
      </c>
      <c r="H11" s="15"/>
      <c r="I11" s="15"/>
      <c r="J11" s="1"/>
      <c r="K11" s="1"/>
      <c r="L11" s="1"/>
    </row>
    <row r="12">
      <c r="A12" s="15">
        <v>36602.0</v>
      </c>
      <c r="B12" s="3">
        <v>104268.36</v>
      </c>
      <c r="C12" s="3">
        <v>5542.42</v>
      </c>
      <c r="D12" s="3">
        <v>0.0</v>
      </c>
      <c r="E12" s="3">
        <f t="shared" si="1"/>
        <v>0</v>
      </c>
      <c r="H12" s="15"/>
      <c r="I12" s="15"/>
      <c r="J12" s="1"/>
      <c r="K12" s="1"/>
      <c r="L12" s="1"/>
    </row>
    <row r="13">
      <c r="A13" s="15">
        <v>36609.0</v>
      </c>
      <c r="B13" s="3">
        <v>106300.66</v>
      </c>
      <c r="C13" s="3">
        <v>5542.42</v>
      </c>
      <c r="D13" s="3">
        <v>0.0</v>
      </c>
      <c r="E13" s="3">
        <f t="shared" si="1"/>
        <v>0</v>
      </c>
      <c r="H13" s="15"/>
      <c r="I13" s="15"/>
      <c r="J13" s="1"/>
      <c r="K13" s="1"/>
      <c r="L13" s="1"/>
    </row>
    <row r="14">
      <c r="A14" s="15">
        <v>36616.0</v>
      </c>
      <c r="B14" s="3">
        <v>107644.55</v>
      </c>
      <c r="C14" s="3">
        <v>5542.42</v>
      </c>
      <c r="D14" s="3">
        <v>0.0</v>
      </c>
      <c r="E14" s="3">
        <f t="shared" si="1"/>
        <v>0</v>
      </c>
      <c r="H14" s="15"/>
      <c r="I14" s="15"/>
      <c r="J14" s="1"/>
      <c r="K14" s="1"/>
      <c r="L14" s="1"/>
    </row>
    <row r="15">
      <c r="A15" s="15">
        <v>36623.0</v>
      </c>
      <c r="B15" s="3">
        <v>107056.47</v>
      </c>
      <c r="C15" s="3">
        <v>5542.42</v>
      </c>
      <c r="D15" s="3">
        <v>-588.09</v>
      </c>
      <c r="E15" s="3">
        <f t="shared" si="1"/>
        <v>-0.005463258474</v>
      </c>
      <c r="H15" s="15"/>
      <c r="I15" s="15"/>
      <c r="J15" s="1"/>
      <c r="K15" s="1"/>
      <c r="L15" s="1"/>
    </row>
    <row r="16">
      <c r="A16" s="15">
        <v>36630.0</v>
      </c>
      <c r="B16" s="3">
        <v>105475.04</v>
      </c>
      <c r="C16" s="3">
        <v>2448.66</v>
      </c>
      <c r="D16" s="3">
        <v>-2169.52</v>
      </c>
      <c r="E16" s="3">
        <f t="shared" si="1"/>
        <v>-0.02015448065</v>
      </c>
      <c r="H16" s="15"/>
      <c r="I16" s="15"/>
      <c r="J16" s="1"/>
      <c r="K16" s="1"/>
      <c r="L16" s="1"/>
    </row>
    <row r="17">
      <c r="A17" s="15">
        <v>36636.0</v>
      </c>
      <c r="B17" s="3">
        <v>103697.25</v>
      </c>
      <c r="C17" s="3">
        <v>2448.66</v>
      </c>
      <c r="D17" s="3">
        <v>-3947.3</v>
      </c>
      <c r="E17" s="3">
        <f t="shared" si="1"/>
        <v>-0.03666976173</v>
      </c>
      <c r="H17" s="15"/>
      <c r="I17" s="15"/>
      <c r="J17" s="1"/>
      <c r="K17" s="1"/>
      <c r="L17" s="1"/>
    </row>
    <row r="18">
      <c r="A18" s="15">
        <v>36644.0</v>
      </c>
      <c r="B18" s="3">
        <v>104082.25</v>
      </c>
      <c r="C18" s="3">
        <v>18214.94</v>
      </c>
      <c r="D18" s="3">
        <v>-3562.3</v>
      </c>
      <c r="E18" s="3">
        <f t="shared" si="1"/>
        <v>-0.03309317564</v>
      </c>
      <c r="H18" s="15"/>
      <c r="I18" s="15"/>
      <c r="J18" s="1"/>
      <c r="K18" s="1"/>
      <c r="L18" s="1"/>
    </row>
    <row r="19">
      <c r="A19" s="15">
        <v>36651.0</v>
      </c>
      <c r="B19" s="3">
        <v>105213.95</v>
      </c>
      <c r="C19" s="3">
        <v>26625.88</v>
      </c>
      <c r="D19" s="3">
        <v>-2430.6</v>
      </c>
      <c r="E19" s="3">
        <f t="shared" si="1"/>
        <v>-0.02257987051</v>
      </c>
      <c r="H19" s="15"/>
      <c r="I19" s="15"/>
      <c r="J19" s="1"/>
      <c r="K19" s="1"/>
      <c r="L19" s="1"/>
    </row>
    <row r="20">
      <c r="A20" s="15">
        <v>36658.0</v>
      </c>
      <c r="B20" s="3">
        <v>105256.27</v>
      </c>
      <c r="C20" s="3">
        <v>26625.88</v>
      </c>
      <c r="D20" s="3">
        <v>-2388.28</v>
      </c>
      <c r="E20" s="3">
        <f t="shared" si="1"/>
        <v>-0.02218672473</v>
      </c>
      <c r="H20" s="15"/>
      <c r="I20" s="15"/>
      <c r="J20" s="1"/>
      <c r="K20" s="1"/>
      <c r="L20" s="1"/>
    </row>
    <row r="21" ht="15.75" customHeight="1">
      <c r="A21" s="15">
        <v>36665.0</v>
      </c>
      <c r="B21" s="3">
        <v>105595.88</v>
      </c>
      <c r="C21" s="3">
        <v>26625.88</v>
      </c>
      <c r="D21" s="3">
        <v>-2048.67</v>
      </c>
      <c r="E21" s="3">
        <f t="shared" si="1"/>
        <v>-0.01903180421</v>
      </c>
      <c r="H21" s="15"/>
      <c r="I21" s="15"/>
      <c r="J21" s="1"/>
      <c r="K21" s="1"/>
      <c r="L21" s="1"/>
    </row>
    <row r="22" ht="15.75" customHeight="1">
      <c r="A22" s="15">
        <v>36672.0</v>
      </c>
      <c r="B22" s="3">
        <v>104487.68</v>
      </c>
      <c r="C22" s="3">
        <v>26625.88</v>
      </c>
      <c r="D22" s="3">
        <v>-3156.88</v>
      </c>
      <c r="E22" s="3">
        <f t="shared" si="1"/>
        <v>-0.02932689114</v>
      </c>
      <c r="H22" s="15"/>
      <c r="I22" s="15"/>
      <c r="J22" s="1"/>
      <c r="K22" s="1"/>
      <c r="L22" s="1"/>
    </row>
    <row r="23" ht="15.75" customHeight="1">
      <c r="A23" s="15">
        <v>36679.0</v>
      </c>
      <c r="B23" s="3">
        <v>104847.76</v>
      </c>
      <c r="C23" s="3">
        <v>26625.88</v>
      </c>
      <c r="D23" s="3">
        <v>-2796.8</v>
      </c>
      <c r="E23" s="3">
        <f t="shared" si="1"/>
        <v>-0.02598180772</v>
      </c>
      <c r="H23" s="15"/>
      <c r="I23" s="15"/>
      <c r="J23" s="1"/>
      <c r="K23" s="1"/>
      <c r="L23" s="1"/>
    </row>
    <row r="24" ht="15.75" customHeight="1">
      <c r="A24" s="15">
        <v>36686.0</v>
      </c>
      <c r="B24" s="3">
        <v>104241.64</v>
      </c>
      <c r="C24" s="3">
        <v>1495.59</v>
      </c>
      <c r="D24" s="3">
        <v>-3402.91</v>
      </c>
      <c r="E24" s="3">
        <f t="shared" si="1"/>
        <v>-0.031612469</v>
      </c>
      <c r="H24" s="15"/>
      <c r="I24" s="15"/>
      <c r="J24" s="1"/>
      <c r="K24" s="1"/>
      <c r="L24" s="1"/>
    </row>
    <row r="25" ht="15.75" customHeight="1">
      <c r="A25" s="15">
        <v>36693.0</v>
      </c>
      <c r="B25" s="3">
        <v>104428.05</v>
      </c>
      <c r="C25" s="3">
        <v>1102.11</v>
      </c>
      <c r="D25" s="3">
        <v>-3216.5</v>
      </c>
      <c r="E25" s="3">
        <f t="shared" si="1"/>
        <v>-0.02988075105</v>
      </c>
      <c r="H25" s="15"/>
      <c r="I25" s="15"/>
      <c r="J25" s="1"/>
      <c r="K25" s="1"/>
      <c r="L25" s="1"/>
    </row>
    <row r="26" ht="15.75" customHeight="1">
      <c r="A26" s="15">
        <v>36700.0</v>
      </c>
      <c r="B26" s="3">
        <v>105869.45</v>
      </c>
      <c r="C26" s="3">
        <v>1102.11</v>
      </c>
      <c r="D26" s="3">
        <v>-1775.1</v>
      </c>
      <c r="E26" s="3">
        <f t="shared" si="1"/>
        <v>-0.01649038433</v>
      </c>
      <c r="H26" s="15"/>
      <c r="I26" s="15"/>
      <c r="J26" s="1"/>
      <c r="K26" s="1"/>
      <c r="L26" s="1"/>
    </row>
    <row r="27" ht="15.75" customHeight="1">
      <c r="A27" s="15">
        <v>36707.0</v>
      </c>
      <c r="B27" s="3">
        <v>107237.1</v>
      </c>
      <c r="C27" s="3">
        <v>1102.11</v>
      </c>
      <c r="D27" s="3">
        <v>-407.45</v>
      </c>
      <c r="E27" s="3">
        <f t="shared" si="1"/>
        <v>-0.003785142861</v>
      </c>
      <c r="H27" s="15"/>
      <c r="I27" s="15"/>
      <c r="J27" s="1"/>
      <c r="K27" s="1"/>
      <c r="L27" s="1"/>
    </row>
    <row r="28" ht="15.75" customHeight="1">
      <c r="A28" s="15">
        <v>36714.0</v>
      </c>
      <c r="B28" s="3">
        <v>107934.6</v>
      </c>
      <c r="C28" s="3">
        <v>1102.11</v>
      </c>
      <c r="D28" s="3">
        <v>0.0</v>
      </c>
      <c r="E28" s="3">
        <f t="shared" si="1"/>
        <v>0</v>
      </c>
      <c r="H28" s="15"/>
      <c r="I28" s="15"/>
      <c r="J28" s="1"/>
      <c r="K28" s="1"/>
      <c r="L28" s="1"/>
    </row>
    <row r="29" ht="15.75" customHeight="1">
      <c r="A29" s="15">
        <v>36721.0</v>
      </c>
      <c r="B29" s="3">
        <v>109231.34</v>
      </c>
      <c r="C29" s="3">
        <v>1102.11</v>
      </c>
      <c r="D29" s="3">
        <v>0.0</v>
      </c>
      <c r="E29" s="3">
        <f t="shared" si="1"/>
        <v>0</v>
      </c>
      <c r="H29" s="15"/>
      <c r="I29" s="15"/>
      <c r="J29" s="1"/>
      <c r="K29" s="1"/>
      <c r="L29" s="1"/>
    </row>
    <row r="30" ht="15.75" customHeight="1">
      <c r="A30" s="15">
        <v>36728.0</v>
      </c>
      <c r="B30" s="3">
        <v>109394.47</v>
      </c>
      <c r="C30" s="3">
        <v>1102.11</v>
      </c>
      <c r="D30" s="3">
        <v>0.0</v>
      </c>
      <c r="E30" s="3">
        <f t="shared" si="1"/>
        <v>0</v>
      </c>
      <c r="H30" s="15"/>
      <c r="I30" s="15"/>
      <c r="J30" s="1"/>
      <c r="K30" s="1"/>
      <c r="L30" s="1"/>
    </row>
    <row r="31" ht="15.75" customHeight="1">
      <c r="A31" s="15">
        <v>36735.0</v>
      </c>
      <c r="B31" s="3">
        <v>108507.67</v>
      </c>
      <c r="C31" s="3">
        <v>1102.11</v>
      </c>
      <c r="D31" s="3">
        <v>-886.8</v>
      </c>
      <c r="E31" s="3">
        <f t="shared" si="1"/>
        <v>-0.008106442675</v>
      </c>
      <c r="H31" s="15"/>
      <c r="I31" s="15"/>
      <c r="J31" s="1"/>
      <c r="K31" s="1"/>
      <c r="L31" s="1"/>
    </row>
    <row r="32" ht="15.75" customHeight="1">
      <c r="A32" s="15">
        <v>36742.0</v>
      </c>
      <c r="B32" s="3">
        <v>109287.58</v>
      </c>
      <c r="C32" s="3">
        <v>1102.11</v>
      </c>
      <c r="D32" s="3">
        <v>-106.89</v>
      </c>
      <c r="E32" s="3">
        <f t="shared" si="1"/>
        <v>-0.000977106064</v>
      </c>
      <c r="H32" s="15"/>
      <c r="I32" s="15"/>
      <c r="J32" s="1"/>
      <c r="K32" s="1"/>
      <c r="L32" s="1"/>
    </row>
    <row r="33" ht="15.75" customHeight="1">
      <c r="A33" s="15">
        <v>36749.0</v>
      </c>
      <c r="B33" s="3">
        <v>111253.39</v>
      </c>
      <c r="C33" s="3">
        <v>1102.11</v>
      </c>
      <c r="D33" s="3">
        <v>0.0</v>
      </c>
      <c r="E33" s="3">
        <f t="shared" si="1"/>
        <v>0</v>
      </c>
      <c r="H33" s="15"/>
      <c r="I33" s="15"/>
      <c r="J33" s="1"/>
      <c r="K33" s="1"/>
      <c r="L33" s="1"/>
    </row>
    <row r="34" ht="15.75" customHeight="1">
      <c r="A34" s="15">
        <v>36756.0</v>
      </c>
      <c r="B34" s="3">
        <v>111761.05</v>
      </c>
      <c r="C34" s="3">
        <v>1482.49</v>
      </c>
      <c r="D34" s="3">
        <v>0.0</v>
      </c>
      <c r="E34" s="3">
        <f t="shared" si="1"/>
        <v>0</v>
      </c>
      <c r="H34" s="15"/>
      <c r="I34" s="15"/>
      <c r="J34" s="1"/>
      <c r="K34" s="1"/>
      <c r="L34" s="1"/>
    </row>
    <row r="35" ht="15.75" customHeight="1">
      <c r="A35" s="15">
        <v>36763.0</v>
      </c>
      <c r="B35" s="3">
        <v>112728.93</v>
      </c>
      <c r="C35" s="3">
        <v>1482.49</v>
      </c>
      <c r="D35" s="3">
        <v>0.0</v>
      </c>
      <c r="E35" s="3">
        <f t="shared" si="1"/>
        <v>0</v>
      </c>
      <c r="H35" s="15"/>
      <c r="I35" s="15"/>
      <c r="J35" s="1"/>
      <c r="K35" s="1"/>
      <c r="L35" s="1"/>
    </row>
    <row r="36" ht="15.75" customHeight="1">
      <c r="A36" s="15">
        <v>36770.0</v>
      </c>
      <c r="B36" s="3">
        <v>111256.67</v>
      </c>
      <c r="C36" s="3">
        <v>1482.49</v>
      </c>
      <c r="D36" s="3">
        <v>-1472.26</v>
      </c>
      <c r="E36" s="3">
        <f t="shared" si="1"/>
        <v>-0.01306017896</v>
      </c>
      <c r="H36" s="15"/>
      <c r="I36" s="15"/>
      <c r="J36" s="1"/>
      <c r="K36" s="1"/>
      <c r="L36" s="1"/>
    </row>
    <row r="37" ht="15.75" customHeight="1">
      <c r="A37" s="15">
        <v>36777.0</v>
      </c>
      <c r="B37" s="3">
        <v>112086.43</v>
      </c>
      <c r="C37" s="3">
        <v>1482.49</v>
      </c>
      <c r="D37" s="3">
        <v>-642.5</v>
      </c>
      <c r="E37" s="3">
        <f t="shared" si="1"/>
        <v>-0.005699512982</v>
      </c>
      <c r="H37" s="15"/>
      <c r="I37" s="15"/>
      <c r="J37" s="1"/>
      <c r="K37" s="1"/>
      <c r="L37" s="1"/>
    </row>
    <row r="38" ht="15.75" customHeight="1">
      <c r="A38" s="15">
        <v>36784.0</v>
      </c>
      <c r="B38" s="3">
        <v>110981.77</v>
      </c>
      <c r="C38" s="3">
        <v>1482.49</v>
      </c>
      <c r="D38" s="3">
        <v>-1747.16</v>
      </c>
      <c r="E38" s="3">
        <f t="shared" si="1"/>
        <v>-0.01549877214</v>
      </c>
      <c r="H38" s="15"/>
      <c r="I38" s="15"/>
      <c r="J38" s="1"/>
      <c r="K38" s="1"/>
      <c r="L38" s="1"/>
    </row>
    <row r="39" ht="15.75" customHeight="1">
      <c r="A39" s="15">
        <v>36791.0</v>
      </c>
      <c r="B39" s="3">
        <v>109851.0</v>
      </c>
      <c r="C39" s="3">
        <v>1482.49</v>
      </c>
      <c r="D39" s="3">
        <v>-2877.93</v>
      </c>
      <c r="E39" s="3">
        <f t="shared" si="1"/>
        <v>-0.02552964887</v>
      </c>
      <c r="H39" s="15"/>
      <c r="I39" s="15"/>
      <c r="J39" s="1"/>
      <c r="K39" s="1"/>
      <c r="L39" s="1"/>
    </row>
    <row r="40" ht="15.75" customHeight="1">
      <c r="A40" s="15">
        <v>36798.0</v>
      </c>
      <c r="B40" s="3">
        <v>111455.95</v>
      </c>
      <c r="C40" s="3">
        <v>1482.49</v>
      </c>
      <c r="D40" s="3">
        <v>-1272.98</v>
      </c>
      <c r="E40" s="3">
        <f t="shared" si="1"/>
        <v>-0.0112923985</v>
      </c>
      <c r="H40" s="15"/>
      <c r="I40" s="15"/>
      <c r="J40" s="1"/>
      <c r="K40" s="1"/>
      <c r="L40" s="1"/>
    </row>
    <row r="41" ht="15.75" customHeight="1">
      <c r="A41" s="15">
        <v>36805.0</v>
      </c>
      <c r="B41" s="3">
        <v>114850.2</v>
      </c>
      <c r="C41" s="3">
        <v>1482.49</v>
      </c>
      <c r="D41" s="3">
        <v>0.0</v>
      </c>
      <c r="E41" s="3">
        <f t="shared" si="1"/>
        <v>0</v>
      </c>
      <c r="H41" s="15"/>
      <c r="I41" s="15"/>
      <c r="J41" s="1"/>
      <c r="K41" s="1"/>
      <c r="L41" s="1"/>
    </row>
    <row r="42" ht="15.75" customHeight="1">
      <c r="A42" s="15">
        <v>36812.0</v>
      </c>
      <c r="B42" s="3">
        <v>115258.01</v>
      </c>
      <c r="C42" s="3">
        <v>1482.49</v>
      </c>
      <c r="D42" s="3">
        <v>0.0</v>
      </c>
      <c r="E42" s="3">
        <f t="shared" si="1"/>
        <v>0</v>
      </c>
      <c r="H42" s="15"/>
      <c r="I42" s="15"/>
      <c r="J42" s="1"/>
      <c r="K42" s="1"/>
      <c r="L42" s="1"/>
    </row>
    <row r="43" ht="15.75" customHeight="1">
      <c r="A43" s="15">
        <v>36819.0</v>
      </c>
      <c r="B43" s="3">
        <v>115987.5</v>
      </c>
      <c r="C43" s="3">
        <v>1482.49</v>
      </c>
      <c r="D43" s="3">
        <v>0.0</v>
      </c>
      <c r="E43" s="3">
        <f t="shared" si="1"/>
        <v>0</v>
      </c>
      <c r="H43" s="15"/>
      <c r="I43" s="15"/>
      <c r="J43" s="1"/>
      <c r="K43" s="1"/>
      <c r="L43" s="1"/>
    </row>
    <row r="44" ht="15.75" customHeight="1">
      <c r="A44" s="15">
        <v>36826.0</v>
      </c>
      <c r="B44" s="3">
        <v>115091.38</v>
      </c>
      <c r="C44" s="3">
        <v>1482.49</v>
      </c>
      <c r="D44" s="3">
        <v>-896.13</v>
      </c>
      <c r="E44" s="3">
        <f t="shared" si="1"/>
        <v>-0.007726091174</v>
      </c>
      <c r="H44" s="15"/>
      <c r="I44" s="15"/>
      <c r="J44" s="1"/>
      <c r="K44" s="1"/>
      <c r="L44" s="1"/>
    </row>
    <row r="45" ht="15.75" customHeight="1">
      <c r="A45" s="15">
        <v>36833.0</v>
      </c>
      <c r="B45" s="3">
        <v>114663.88</v>
      </c>
      <c r="C45" s="3">
        <v>1482.49</v>
      </c>
      <c r="D45" s="3">
        <v>-1323.63</v>
      </c>
      <c r="E45" s="3">
        <f t="shared" si="1"/>
        <v>-0.01141183317</v>
      </c>
      <c r="H45" s="15"/>
      <c r="I45" s="15"/>
      <c r="J45" s="1"/>
      <c r="K45" s="1"/>
      <c r="L45" s="1"/>
    </row>
    <row r="46" ht="15.75" customHeight="1">
      <c r="A46" s="15">
        <v>36840.0</v>
      </c>
      <c r="B46" s="3">
        <v>116711.52</v>
      </c>
      <c r="C46" s="3">
        <v>1482.49</v>
      </c>
      <c r="D46" s="3">
        <v>0.0</v>
      </c>
      <c r="E46" s="3">
        <f t="shared" si="1"/>
        <v>0</v>
      </c>
      <c r="H46" s="15"/>
      <c r="I46" s="15"/>
      <c r="J46" s="1"/>
      <c r="K46" s="1"/>
      <c r="L46" s="1"/>
    </row>
    <row r="47" ht="15.75" customHeight="1">
      <c r="A47" s="15">
        <v>36847.0</v>
      </c>
      <c r="B47" s="3">
        <v>115963.39</v>
      </c>
      <c r="C47" s="3">
        <v>1482.49</v>
      </c>
      <c r="D47" s="3">
        <v>-748.13</v>
      </c>
      <c r="E47" s="3">
        <f t="shared" si="1"/>
        <v>-0.006410078457</v>
      </c>
      <c r="H47" s="15"/>
      <c r="I47" s="15"/>
      <c r="J47" s="1"/>
      <c r="K47" s="1"/>
      <c r="L47" s="1"/>
    </row>
    <row r="48" ht="15.75" customHeight="1">
      <c r="A48" s="15">
        <v>36854.0</v>
      </c>
      <c r="B48" s="3">
        <v>117005.95</v>
      </c>
      <c r="C48" s="3">
        <v>1482.49</v>
      </c>
      <c r="D48" s="3">
        <v>0.0</v>
      </c>
      <c r="E48" s="3">
        <f t="shared" si="1"/>
        <v>0</v>
      </c>
      <c r="H48" s="15"/>
      <c r="I48" s="15"/>
      <c r="J48" s="1"/>
      <c r="K48" s="1"/>
      <c r="L48" s="1"/>
    </row>
    <row r="49" ht="15.75" customHeight="1">
      <c r="A49" s="15">
        <v>36861.0</v>
      </c>
      <c r="B49" s="3">
        <v>117411.63</v>
      </c>
      <c r="C49" s="3">
        <v>1482.49</v>
      </c>
      <c r="D49" s="3">
        <v>0.0</v>
      </c>
      <c r="E49" s="3">
        <f t="shared" si="1"/>
        <v>0</v>
      </c>
      <c r="H49" s="15"/>
      <c r="I49" s="15"/>
      <c r="J49" s="1"/>
      <c r="K49" s="1"/>
      <c r="L49" s="1"/>
    </row>
    <row r="50" ht="15.75" customHeight="1">
      <c r="A50" s="15">
        <v>36868.0</v>
      </c>
      <c r="B50" s="3">
        <v>119443.63</v>
      </c>
      <c r="C50" s="3">
        <v>1482.49</v>
      </c>
      <c r="D50" s="3">
        <v>0.0</v>
      </c>
      <c r="E50" s="3">
        <f t="shared" si="1"/>
        <v>0</v>
      </c>
      <c r="H50" s="15"/>
      <c r="I50" s="15"/>
      <c r="J50" s="1"/>
      <c r="K50" s="1"/>
      <c r="L50" s="1"/>
    </row>
    <row r="51" ht="15.75" customHeight="1">
      <c r="A51" s="15">
        <v>36875.0</v>
      </c>
      <c r="B51" s="3">
        <v>119300.33</v>
      </c>
      <c r="C51" s="3">
        <v>1482.49</v>
      </c>
      <c r="D51" s="3">
        <v>-143.3</v>
      </c>
      <c r="E51" s="3">
        <f t="shared" si="1"/>
        <v>-0.001199729111</v>
      </c>
      <c r="H51" s="15"/>
      <c r="I51" s="15"/>
      <c r="J51" s="1"/>
      <c r="K51" s="1"/>
      <c r="L51" s="1"/>
    </row>
    <row r="52" ht="15.75" customHeight="1">
      <c r="A52" s="15">
        <v>36882.0</v>
      </c>
      <c r="B52" s="3">
        <v>119844.18</v>
      </c>
      <c r="C52" s="3">
        <v>1482.49</v>
      </c>
      <c r="D52" s="3">
        <v>0.0</v>
      </c>
      <c r="E52" s="3">
        <f t="shared" si="1"/>
        <v>0</v>
      </c>
      <c r="H52" s="15"/>
      <c r="I52" s="15"/>
      <c r="J52" s="1"/>
      <c r="K52" s="1"/>
      <c r="L52" s="1"/>
    </row>
    <row r="53" ht="15.75" customHeight="1">
      <c r="A53" s="15">
        <v>36889.0</v>
      </c>
      <c r="B53" s="3">
        <v>120725.66</v>
      </c>
      <c r="C53" s="3">
        <v>1482.49</v>
      </c>
      <c r="D53" s="3">
        <v>0.0</v>
      </c>
      <c r="E53" s="3">
        <f t="shared" si="1"/>
        <v>0</v>
      </c>
      <c r="H53" s="15"/>
      <c r="I53" s="15"/>
      <c r="J53" s="1"/>
      <c r="K53" s="1"/>
      <c r="L53" s="1"/>
    </row>
    <row r="54" ht="15.75" customHeight="1">
      <c r="A54" s="15">
        <v>36896.0</v>
      </c>
      <c r="B54" s="3">
        <v>121156.95</v>
      </c>
      <c r="C54" s="3">
        <v>1482.49</v>
      </c>
      <c r="D54" s="3">
        <v>0.0</v>
      </c>
      <c r="E54" s="3">
        <f t="shared" si="1"/>
        <v>0</v>
      </c>
      <c r="H54" s="15"/>
      <c r="I54" s="15"/>
      <c r="J54" s="1"/>
      <c r="K54" s="1"/>
      <c r="L54" s="1"/>
    </row>
    <row r="55" ht="15.75" customHeight="1">
      <c r="A55" s="15">
        <v>36903.0</v>
      </c>
      <c r="B55" s="3">
        <v>119132.1</v>
      </c>
      <c r="C55" s="3">
        <v>1482.49</v>
      </c>
      <c r="D55" s="3">
        <v>-2024.84</v>
      </c>
      <c r="E55" s="3">
        <f t="shared" si="1"/>
        <v>-0.01671253692</v>
      </c>
      <c r="H55" s="15"/>
      <c r="I55" s="15"/>
      <c r="J55" s="1"/>
      <c r="K55" s="1"/>
      <c r="L55" s="1"/>
    </row>
    <row r="56" ht="15.75" customHeight="1">
      <c r="A56" s="15">
        <v>36910.0</v>
      </c>
      <c r="B56" s="3">
        <v>120341.44</v>
      </c>
      <c r="C56" s="3">
        <v>1482.49</v>
      </c>
      <c r="D56" s="3">
        <v>-815.51</v>
      </c>
      <c r="E56" s="3">
        <f t="shared" si="1"/>
        <v>-0.006731021208</v>
      </c>
      <c r="H56" s="15"/>
      <c r="I56" s="15"/>
      <c r="J56" s="1"/>
      <c r="K56" s="1"/>
      <c r="L56" s="1"/>
    </row>
    <row r="57" ht="15.75" customHeight="1">
      <c r="A57" s="15">
        <v>36916.0</v>
      </c>
      <c r="B57" s="3">
        <v>120960.91</v>
      </c>
      <c r="C57" s="3">
        <v>1482.49</v>
      </c>
      <c r="D57" s="3">
        <v>-196.03</v>
      </c>
      <c r="E57" s="3">
        <f t="shared" si="1"/>
        <v>-0.001617983946</v>
      </c>
      <c r="H57" s="15"/>
      <c r="I57" s="15"/>
      <c r="J57" s="1"/>
      <c r="K57" s="1"/>
      <c r="L57" s="1"/>
    </row>
    <row r="58" ht="15.75" customHeight="1">
      <c r="A58" s="15">
        <v>36924.0</v>
      </c>
      <c r="B58" s="3">
        <v>120846.97</v>
      </c>
      <c r="C58" s="3">
        <v>1482.49</v>
      </c>
      <c r="D58" s="3">
        <v>-309.98</v>
      </c>
      <c r="E58" s="3">
        <f t="shared" si="1"/>
        <v>-0.002558499533</v>
      </c>
      <c r="H58" s="15"/>
      <c r="I58" s="15"/>
      <c r="J58" s="1"/>
      <c r="K58" s="1"/>
      <c r="L58" s="1"/>
    </row>
    <row r="59" ht="15.75" customHeight="1">
      <c r="A59" s="15">
        <v>36931.0</v>
      </c>
      <c r="B59" s="3">
        <v>119513.18</v>
      </c>
      <c r="C59" s="3">
        <v>1482.49</v>
      </c>
      <c r="D59" s="3">
        <v>-1643.77</v>
      </c>
      <c r="E59" s="3">
        <f t="shared" si="1"/>
        <v>-0.01356727782</v>
      </c>
      <c r="H59" s="15"/>
      <c r="I59" s="15"/>
      <c r="J59" s="1"/>
      <c r="K59" s="1"/>
      <c r="L59" s="1"/>
    </row>
    <row r="60" ht="15.75" customHeight="1">
      <c r="A60" s="15">
        <v>36938.0</v>
      </c>
      <c r="B60" s="3">
        <v>119034.63</v>
      </c>
      <c r="C60" s="3">
        <v>1482.49</v>
      </c>
      <c r="D60" s="3">
        <v>-2122.32</v>
      </c>
      <c r="E60" s="3">
        <f t="shared" si="1"/>
        <v>-0.01751711313</v>
      </c>
      <c r="H60" s="15"/>
      <c r="I60" s="15"/>
      <c r="J60" s="1"/>
      <c r="K60" s="1"/>
      <c r="L60" s="1"/>
    </row>
    <row r="61" ht="15.75" customHeight="1">
      <c r="A61" s="15">
        <v>36945.0</v>
      </c>
      <c r="B61" s="3">
        <v>119785.61</v>
      </c>
      <c r="C61" s="3">
        <v>1482.49</v>
      </c>
      <c r="D61" s="3">
        <v>-1371.34</v>
      </c>
      <c r="E61" s="3">
        <f t="shared" si="1"/>
        <v>-0.01131870685</v>
      </c>
      <c r="H61" s="15"/>
      <c r="I61" s="15"/>
      <c r="J61" s="1"/>
      <c r="K61" s="1"/>
      <c r="L61" s="1"/>
    </row>
    <row r="62" ht="15.75" customHeight="1">
      <c r="A62" s="15">
        <v>36952.0</v>
      </c>
      <c r="B62" s="3">
        <v>122409.94</v>
      </c>
      <c r="C62" s="3">
        <v>426.74</v>
      </c>
      <c r="D62" s="3">
        <v>0.0</v>
      </c>
      <c r="E62" s="3">
        <f t="shared" si="1"/>
        <v>0</v>
      </c>
      <c r="H62" s="15"/>
      <c r="I62" s="15"/>
      <c r="J62" s="1"/>
      <c r="K62" s="1"/>
      <c r="L62" s="1"/>
    </row>
    <row r="63" ht="15.75" customHeight="1">
      <c r="A63" s="15">
        <v>36959.0</v>
      </c>
      <c r="B63" s="3">
        <v>122317.38</v>
      </c>
      <c r="C63" s="3">
        <v>426.74</v>
      </c>
      <c r="D63" s="3">
        <v>-92.56</v>
      </c>
      <c r="E63" s="3">
        <f t="shared" si="1"/>
        <v>-0.0007561477442</v>
      </c>
      <c r="H63" s="15"/>
      <c r="I63" s="15"/>
      <c r="J63" s="1"/>
      <c r="K63" s="1"/>
      <c r="L63" s="1"/>
    </row>
    <row r="64" ht="15.75" customHeight="1">
      <c r="A64" s="15">
        <v>36966.0</v>
      </c>
      <c r="B64" s="3">
        <v>121410.09</v>
      </c>
      <c r="C64" s="3">
        <v>426.74</v>
      </c>
      <c r="D64" s="3">
        <v>-999.84</v>
      </c>
      <c r="E64" s="3">
        <f t="shared" si="1"/>
        <v>-0.008167964138</v>
      </c>
      <c r="H64" s="15"/>
      <c r="I64" s="15"/>
      <c r="J64" s="1"/>
      <c r="K64" s="1"/>
      <c r="L64" s="1"/>
    </row>
    <row r="65" ht="15.75" customHeight="1">
      <c r="A65" s="15">
        <v>36973.0</v>
      </c>
      <c r="B65" s="3">
        <v>120732.26</v>
      </c>
      <c r="C65" s="3">
        <v>426.74</v>
      </c>
      <c r="D65" s="3">
        <v>-1677.68</v>
      </c>
      <c r="E65" s="3">
        <f t="shared" si="1"/>
        <v>-0.01370542294</v>
      </c>
      <c r="H65" s="15"/>
      <c r="I65" s="15"/>
      <c r="J65" s="1"/>
      <c r="K65" s="1"/>
      <c r="L65" s="1"/>
    </row>
    <row r="66" ht="15.75" customHeight="1">
      <c r="A66" s="15">
        <v>36980.0</v>
      </c>
      <c r="B66" s="3">
        <v>119863.89</v>
      </c>
      <c r="C66" s="3">
        <v>426.74</v>
      </c>
      <c r="D66" s="3">
        <v>-2546.05</v>
      </c>
      <c r="E66" s="3">
        <f t="shared" si="1"/>
        <v>-0.02079937299</v>
      </c>
      <c r="H66" s="15"/>
      <c r="I66" s="15"/>
      <c r="J66" s="1"/>
      <c r="K66" s="1"/>
      <c r="L66" s="1"/>
    </row>
    <row r="67" ht="15.75" customHeight="1">
      <c r="A67" s="15">
        <v>36987.0</v>
      </c>
      <c r="B67" s="3">
        <v>122218.2</v>
      </c>
      <c r="C67" s="3">
        <v>426.74</v>
      </c>
      <c r="D67" s="3">
        <v>-191.74</v>
      </c>
      <c r="E67" s="3">
        <f t="shared" si="1"/>
        <v>-0.001566376064</v>
      </c>
      <c r="H67" s="15"/>
      <c r="I67" s="15"/>
      <c r="J67" s="1"/>
      <c r="K67" s="1"/>
      <c r="L67" s="1"/>
    </row>
    <row r="68" ht="15.75" customHeight="1">
      <c r="A68" s="15">
        <v>36993.0</v>
      </c>
      <c r="B68" s="3">
        <v>121886.33</v>
      </c>
      <c r="C68" s="3">
        <v>426.74</v>
      </c>
      <c r="D68" s="3">
        <v>-523.61</v>
      </c>
      <c r="E68" s="3">
        <f t="shared" si="1"/>
        <v>-0.004277512104</v>
      </c>
      <c r="H68" s="15"/>
      <c r="I68" s="15"/>
      <c r="J68" s="1"/>
      <c r="K68" s="1"/>
      <c r="L68" s="1"/>
    </row>
    <row r="69" ht="15.75" customHeight="1">
      <c r="A69" s="15">
        <v>37001.0</v>
      </c>
      <c r="B69" s="3">
        <v>121668.48</v>
      </c>
      <c r="C69" s="3">
        <v>426.74</v>
      </c>
      <c r="D69" s="3">
        <v>-741.46</v>
      </c>
      <c r="E69" s="3">
        <f t="shared" si="1"/>
        <v>-0.006057187839</v>
      </c>
      <c r="H69" s="15"/>
      <c r="I69" s="15"/>
      <c r="J69" s="1"/>
      <c r="K69" s="1"/>
      <c r="L69" s="1"/>
    </row>
    <row r="70" ht="15.75" customHeight="1">
      <c r="A70" s="15">
        <v>37008.0</v>
      </c>
      <c r="B70" s="3">
        <v>121919.41</v>
      </c>
      <c r="C70" s="3">
        <v>426.74</v>
      </c>
      <c r="D70" s="3">
        <v>-490.53</v>
      </c>
      <c r="E70" s="3">
        <f t="shared" si="1"/>
        <v>-0.004007272612</v>
      </c>
      <c r="H70" s="15"/>
      <c r="I70" s="15"/>
      <c r="J70" s="1"/>
      <c r="K70" s="1"/>
      <c r="L70" s="1"/>
    </row>
    <row r="71" ht="15.75" customHeight="1">
      <c r="A71" s="15">
        <v>37015.0</v>
      </c>
      <c r="B71" s="3">
        <v>122904.86</v>
      </c>
      <c r="C71" s="3">
        <v>426.74</v>
      </c>
      <c r="D71" s="3">
        <v>0.0</v>
      </c>
      <c r="E71" s="3">
        <f t="shared" si="1"/>
        <v>0</v>
      </c>
      <c r="H71" s="15"/>
      <c r="I71" s="15"/>
      <c r="J71" s="1"/>
      <c r="K71" s="1"/>
      <c r="L71" s="1"/>
    </row>
    <row r="72" ht="15.75" customHeight="1">
      <c r="A72" s="15">
        <v>37022.0</v>
      </c>
      <c r="B72" s="3">
        <v>124831.7</v>
      </c>
      <c r="C72" s="3">
        <v>426.74</v>
      </c>
      <c r="D72" s="3">
        <v>0.0</v>
      </c>
      <c r="E72" s="3">
        <f t="shared" si="1"/>
        <v>0</v>
      </c>
      <c r="H72" s="15"/>
      <c r="I72" s="15"/>
      <c r="J72" s="1"/>
      <c r="K72" s="1"/>
      <c r="L72" s="1"/>
    </row>
    <row r="73" ht="15.75" customHeight="1">
      <c r="A73" s="15">
        <v>37029.0</v>
      </c>
      <c r="B73" s="3">
        <v>126380.91</v>
      </c>
      <c r="C73" s="3">
        <v>426.74</v>
      </c>
      <c r="D73" s="3">
        <v>0.0</v>
      </c>
      <c r="E73" s="3">
        <f t="shared" si="1"/>
        <v>0</v>
      </c>
      <c r="H73" s="15"/>
      <c r="I73" s="15"/>
      <c r="J73" s="1"/>
      <c r="K73" s="1"/>
      <c r="L73" s="1"/>
    </row>
    <row r="74" ht="15.75" customHeight="1">
      <c r="A74" s="15">
        <v>37036.0</v>
      </c>
      <c r="B74" s="3">
        <v>125836.73</v>
      </c>
      <c r="C74" s="3">
        <v>426.74</v>
      </c>
      <c r="D74" s="3">
        <v>-544.18</v>
      </c>
      <c r="E74" s="3">
        <f t="shared" si="1"/>
        <v>-0.004305871828</v>
      </c>
      <c r="H74" s="15"/>
      <c r="I74" s="15"/>
      <c r="J74" s="1"/>
      <c r="K74" s="1"/>
      <c r="L74" s="1"/>
    </row>
    <row r="75" ht="15.75" customHeight="1">
      <c r="A75" s="15">
        <v>37043.0</v>
      </c>
      <c r="B75" s="3">
        <v>126770.4</v>
      </c>
      <c r="C75" s="3">
        <v>426.74</v>
      </c>
      <c r="D75" s="3">
        <v>0.0</v>
      </c>
      <c r="E75" s="3">
        <f t="shared" si="1"/>
        <v>0</v>
      </c>
      <c r="H75" s="15"/>
      <c r="I75" s="15"/>
      <c r="J75" s="1"/>
      <c r="K75" s="1"/>
      <c r="L75" s="1"/>
    </row>
    <row r="76" ht="15.75" customHeight="1">
      <c r="A76" s="15">
        <v>37050.0</v>
      </c>
      <c r="B76" s="3">
        <v>128626.82</v>
      </c>
      <c r="C76" s="3">
        <v>426.74</v>
      </c>
      <c r="D76" s="3">
        <v>0.0</v>
      </c>
      <c r="E76" s="3">
        <f t="shared" si="1"/>
        <v>0</v>
      </c>
      <c r="H76" s="15"/>
      <c r="I76" s="15"/>
      <c r="J76" s="1"/>
      <c r="K76" s="1"/>
      <c r="L76" s="1"/>
    </row>
    <row r="77" ht="15.75" customHeight="1">
      <c r="A77" s="15">
        <v>37057.0</v>
      </c>
      <c r="B77" s="3">
        <v>130306.72</v>
      </c>
      <c r="C77" s="3">
        <v>426.74</v>
      </c>
      <c r="D77" s="3">
        <v>0.0</v>
      </c>
      <c r="E77" s="3">
        <f t="shared" si="1"/>
        <v>0</v>
      </c>
      <c r="H77" s="15"/>
      <c r="I77" s="15"/>
      <c r="J77" s="1"/>
      <c r="K77" s="1"/>
      <c r="L77" s="1"/>
    </row>
    <row r="78" ht="15.75" customHeight="1">
      <c r="A78" s="15">
        <v>37064.0</v>
      </c>
      <c r="B78" s="3">
        <v>132971.14</v>
      </c>
      <c r="C78" s="3">
        <v>426.74</v>
      </c>
      <c r="D78" s="3">
        <v>0.0</v>
      </c>
      <c r="E78" s="3">
        <f t="shared" si="1"/>
        <v>0</v>
      </c>
      <c r="H78" s="15"/>
      <c r="I78" s="15"/>
      <c r="J78" s="1"/>
      <c r="K78" s="1"/>
      <c r="L78" s="1"/>
    </row>
    <row r="79" ht="15.75" customHeight="1">
      <c r="A79" s="15">
        <v>37071.0</v>
      </c>
      <c r="B79" s="3">
        <v>135144.63</v>
      </c>
      <c r="C79" s="3">
        <v>426.74</v>
      </c>
      <c r="D79" s="3">
        <v>0.0</v>
      </c>
      <c r="E79" s="3">
        <f t="shared" si="1"/>
        <v>0</v>
      </c>
      <c r="H79" s="15"/>
      <c r="I79" s="15"/>
      <c r="J79" s="1"/>
      <c r="K79" s="1"/>
      <c r="L79" s="1"/>
    </row>
    <row r="80" ht="15.75" customHeight="1">
      <c r="A80" s="15">
        <v>37078.0</v>
      </c>
      <c r="B80" s="3">
        <v>130435.29</v>
      </c>
      <c r="C80" s="3">
        <v>426.74</v>
      </c>
      <c r="D80" s="3">
        <v>-4709.34</v>
      </c>
      <c r="E80" s="3">
        <f t="shared" si="1"/>
        <v>-0.0348466676</v>
      </c>
      <c r="H80" s="15"/>
      <c r="I80" s="15"/>
      <c r="J80" s="1"/>
      <c r="K80" s="1"/>
      <c r="L80" s="1"/>
    </row>
    <row r="81" ht="15.75" customHeight="1">
      <c r="A81" s="15">
        <v>37085.0</v>
      </c>
      <c r="B81" s="3">
        <v>132300.06</v>
      </c>
      <c r="C81" s="3">
        <v>426.74</v>
      </c>
      <c r="D81" s="3">
        <v>-2844.56</v>
      </c>
      <c r="E81" s="3">
        <f t="shared" si="1"/>
        <v>-0.02104826511</v>
      </c>
      <c r="H81" s="15"/>
      <c r="I81" s="15"/>
      <c r="J81" s="1"/>
      <c r="K81" s="1"/>
      <c r="L81" s="1"/>
    </row>
    <row r="82" ht="15.75" customHeight="1">
      <c r="A82" s="15">
        <v>37092.0</v>
      </c>
      <c r="B82" s="3">
        <v>133190.47</v>
      </c>
      <c r="C82" s="3">
        <v>426.74</v>
      </c>
      <c r="D82" s="3">
        <v>-1954.16</v>
      </c>
      <c r="E82" s="3">
        <f t="shared" si="1"/>
        <v>-0.01445976803</v>
      </c>
      <c r="H82" s="15"/>
      <c r="I82" s="15"/>
      <c r="J82" s="1"/>
      <c r="K82" s="1"/>
      <c r="L82" s="1"/>
    </row>
    <row r="83" ht="15.75" customHeight="1">
      <c r="A83" s="15">
        <v>37099.0</v>
      </c>
      <c r="B83" s="3">
        <v>133114.7</v>
      </c>
      <c r="C83" s="3">
        <v>426.74</v>
      </c>
      <c r="D83" s="3">
        <v>-2029.92</v>
      </c>
      <c r="E83" s="3">
        <f t="shared" si="1"/>
        <v>-0.01502035264</v>
      </c>
      <c r="H83" s="15"/>
      <c r="I83" s="15"/>
      <c r="J83" s="1"/>
      <c r="K83" s="1"/>
      <c r="L83" s="1"/>
    </row>
    <row r="84" ht="15.75" customHeight="1">
      <c r="A84" s="15">
        <v>37106.0</v>
      </c>
      <c r="B84" s="3">
        <v>134570.77</v>
      </c>
      <c r="C84" s="3">
        <v>8172.15</v>
      </c>
      <c r="D84" s="3">
        <v>-573.86</v>
      </c>
      <c r="E84" s="3">
        <f t="shared" si="1"/>
        <v>-0.004246265649</v>
      </c>
      <c r="H84" s="15"/>
      <c r="I84" s="15"/>
      <c r="J84" s="1"/>
      <c r="K84" s="1"/>
      <c r="L84" s="1"/>
    </row>
    <row r="85" ht="15.75" customHeight="1">
      <c r="A85" s="15">
        <v>37113.0</v>
      </c>
      <c r="B85" s="3">
        <v>137566.67</v>
      </c>
      <c r="C85" s="3">
        <v>8172.15</v>
      </c>
      <c r="D85" s="3">
        <v>0.0</v>
      </c>
      <c r="E85" s="3">
        <f t="shared" si="1"/>
        <v>0</v>
      </c>
      <c r="H85" s="15"/>
      <c r="I85" s="15"/>
      <c r="J85" s="1"/>
      <c r="K85" s="1"/>
      <c r="L85" s="1"/>
    </row>
    <row r="86" ht="15.75" customHeight="1">
      <c r="A86" s="15">
        <v>37120.0</v>
      </c>
      <c r="B86" s="3">
        <v>135514.56</v>
      </c>
      <c r="C86" s="3">
        <v>8172.15</v>
      </c>
      <c r="D86" s="3">
        <v>-2052.11</v>
      </c>
      <c r="E86" s="3">
        <f t="shared" si="1"/>
        <v>-0.01491720342</v>
      </c>
      <c r="H86" s="15"/>
      <c r="I86" s="15"/>
      <c r="J86" s="1"/>
      <c r="K86" s="1"/>
      <c r="L86" s="1"/>
    </row>
    <row r="87" ht="15.75" customHeight="1">
      <c r="A87" s="15">
        <v>37127.0</v>
      </c>
      <c r="B87" s="3">
        <v>137335.16</v>
      </c>
      <c r="C87" s="3">
        <v>8172.15</v>
      </c>
      <c r="D87" s="3">
        <v>-231.52</v>
      </c>
      <c r="E87" s="3">
        <f t="shared" si="1"/>
        <v>-0.001682965794</v>
      </c>
      <c r="H87" s="15"/>
      <c r="I87" s="15"/>
      <c r="J87" s="1"/>
      <c r="K87" s="1"/>
      <c r="L87" s="1"/>
    </row>
    <row r="88" ht="15.75" customHeight="1">
      <c r="A88" s="15">
        <v>37134.0</v>
      </c>
      <c r="B88" s="3">
        <v>138135.73</v>
      </c>
      <c r="C88" s="3">
        <v>8172.15</v>
      </c>
      <c r="D88" s="3">
        <v>0.0</v>
      </c>
      <c r="E88" s="3">
        <f t="shared" si="1"/>
        <v>0</v>
      </c>
      <c r="H88" s="15"/>
      <c r="I88" s="15"/>
      <c r="J88" s="1"/>
      <c r="K88" s="1"/>
      <c r="L88" s="1"/>
    </row>
    <row r="89" ht="15.75" customHeight="1">
      <c r="A89" s="15">
        <v>37141.0</v>
      </c>
      <c r="B89" s="3">
        <v>136894.09</v>
      </c>
      <c r="C89" s="3">
        <v>8172.15</v>
      </c>
      <c r="D89" s="3">
        <v>-1241.64</v>
      </c>
      <c r="E89" s="3">
        <f t="shared" si="1"/>
        <v>-0.008988550609</v>
      </c>
      <c r="H89" s="15"/>
      <c r="I89" s="15"/>
      <c r="J89" s="1"/>
      <c r="K89" s="1"/>
      <c r="L89" s="1"/>
    </row>
    <row r="90" ht="15.75" customHeight="1">
      <c r="A90" s="15">
        <v>37148.0</v>
      </c>
      <c r="B90" s="3">
        <v>134541.44</v>
      </c>
      <c r="C90" s="3">
        <v>8172.15</v>
      </c>
      <c r="D90" s="3">
        <v>-3594.3</v>
      </c>
      <c r="E90" s="3">
        <f t="shared" si="1"/>
        <v>-0.02602006012</v>
      </c>
      <c r="H90" s="15"/>
      <c r="I90" s="15"/>
      <c r="J90" s="1"/>
      <c r="K90" s="1"/>
      <c r="L90" s="1"/>
    </row>
    <row r="91" ht="15.75" customHeight="1">
      <c r="A91" s="15">
        <v>37155.0</v>
      </c>
      <c r="B91" s="3">
        <v>133519.98</v>
      </c>
      <c r="C91" s="3">
        <v>15813.1</v>
      </c>
      <c r="D91" s="3">
        <v>-4615.75</v>
      </c>
      <c r="E91" s="3">
        <f t="shared" si="1"/>
        <v>-0.03341459882</v>
      </c>
      <c r="H91" s="15"/>
      <c r="I91" s="15"/>
      <c r="J91" s="1"/>
      <c r="K91" s="1"/>
      <c r="L91" s="1"/>
    </row>
    <row r="92" ht="15.75" customHeight="1">
      <c r="A92" s="15">
        <v>37162.0</v>
      </c>
      <c r="B92" s="3">
        <v>134419.39</v>
      </c>
      <c r="C92" s="3">
        <v>35235.94</v>
      </c>
      <c r="D92" s="3">
        <v>-3716.34</v>
      </c>
      <c r="E92" s="3">
        <f t="shared" si="1"/>
        <v>-0.026903539</v>
      </c>
      <c r="H92" s="15"/>
      <c r="I92" s="15"/>
      <c r="J92" s="1"/>
      <c r="K92" s="1"/>
      <c r="L92" s="1"/>
    </row>
    <row r="93" ht="15.75" customHeight="1">
      <c r="A93" s="15">
        <v>37169.0</v>
      </c>
      <c r="B93" s="3">
        <v>135316.73</v>
      </c>
      <c r="C93" s="3">
        <v>39313.45</v>
      </c>
      <c r="D93" s="3">
        <v>-2819.0</v>
      </c>
      <c r="E93" s="3">
        <f t="shared" si="1"/>
        <v>-0.02040746446</v>
      </c>
      <c r="H93" s="15"/>
      <c r="I93" s="15"/>
      <c r="J93" s="1"/>
      <c r="K93" s="1"/>
      <c r="L93" s="1"/>
    </row>
    <row r="94" ht="15.75" customHeight="1">
      <c r="A94" s="15">
        <v>37176.0</v>
      </c>
      <c r="B94" s="3">
        <v>136739.17</v>
      </c>
      <c r="C94" s="3">
        <v>39313.45</v>
      </c>
      <c r="D94" s="3">
        <v>-1396.56</v>
      </c>
      <c r="E94" s="3">
        <f t="shared" si="1"/>
        <v>-0.01011005625</v>
      </c>
      <c r="H94" s="15"/>
      <c r="I94" s="15"/>
      <c r="J94" s="1"/>
      <c r="K94" s="1"/>
      <c r="L94" s="1"/>
    </row>
    <row r="95" ht="15.75" customHeight="1">
      <c r="A95" s="15">
        <v>37183.0</v>
      </c>
      <c r="B95" s="3">
        <v>135222.47</v>
      </c>
      <c r="C95" s="3">
        <v>39313.45</v>
      </c>
      <c r="D95" s="3">
        <v>-2913.27</v>
      </c>
      <c r="E95" s="3">
        <f t="shared" si="1"/>
        <v>-0.02108990918</v>
      </c>
      <c r="H95" s="15"/>
      <c r="I95" s="15"/>
      <c r="J95" s="1"/>
      <c r="K95" s="1"/>
      <c r="L95" s="1"/>
    </row>
    <row r="96" ht="15.75" customHeight="1">
      <c r="A96" s="15">
        <v>37190.0</v>
      </c>
      <c r="B96" s="3">
        <v>135888.77</v>
      </c>
      <c r="C96" s="3">
        <v>39313.45</v>
      </c>
      <c r="D96" s="3">
        <v>-2246.97</v>
      </c>
      <c r="E96" s="3">
        <f t="shared" si="1"/>
        <v>-0.01626639248</v>
      </c>
      <c r="H96" s="15"/>
      <c r="I96" s="15"/>
      <c r="J96" s="1"/>
      <c r="K96" s="1"/>
      <c r="L96" s="1"/>
    </row>
    <row r="97" ht="15.75" customHeight="1">
      <c r="A97" s="15">
        <v>37197.0</v>
      </c>
      <c r="B97" s="3">
        <v>136093.42</v>
      </c>
      <c r="C97" s="3">
        <v>1462.1</v>
      </c>
      <c r="D97" s="3">
        <v>-2042.31</v>
      </c>
      <c r="E97" s="3">
        <f t="shared" si="1"/>
        <v>-0.01478480622</v>
      </c>
      <c r="H97" s="15"/>
      <c r="I97" s="15"/>
      <c r="J97" s="1"/>
      <c r="K97" s="1"/>
      <c r="L97" s="1"/>
    </row>
    <row r="98" ht="15.75" customHeight="1">
      <c r="A98" s="15">
        <v>37204.0</v>
      </c>
      <c r="B98" s="3">
        <v>137396.8</v>
      </c>
      <c r="C98" s="3">
        <v>1462.1</v>
      </c>
      <c r="D98" s="3">
        <v>-738.94</v>
      </c>
      <c r="E98" s="3">
        <f t="shared" si="1"/>
        <v>-0.005349376298</v>
      </c>
      <c r="H98" s="15"/>
      <c r="I98" s="15"/>
      <c r="J98" s="1"/>
      <c r="K98" s="1"/>
      <c r="L98" s="1"/>
    </row>
    <row r="99" ht="15.75" customHeight="1">
      <c r="A99" s="15">
        <v>37211.0</v>
      </c>
      <c r="B99" s="3">
        <v>134775.95</v>
      </c>
      <c r="C99" s="3">
        <v>1462.1</v>
      </c>
      <c r="D99" s="3">
        <v>-3359.78</v>
      </c>
      <c r="E99" s="3">
        <f t="shared" si="1"/>
        <v>-0.02432230966</v>
      </c>
      <c r="H99" s="15"/>
      <c r="I99" s="15"/>
      <c r="J99" s="1"/>
      <c r="K99" s="1"/>
      <c r="L99" s="1"/>
    </row>
    <row r="100" ht="15.75" customHeight="1">
      <c r="A100" s="15">
        <v>37218.0</v>
      </c>
      <c r="B100" s="3">
        <v>135124.06</v>
      </c>
      <c r="C100" s="3">
        <v>1462.1</v>
      </c>
      <c r="D100" s="3">
        <v>-3011.67</v>
      </c>
      <c r="E100" s="3">
        <f t="shared" si="1"/>
        <v>-0.02180225203</v>
      </c>
      <c r="H100" s="15"/>
      <c r="I100" s="15"/>
      <c r="J100" s="1"/>
      <c r="K100" s="1"/>
      <c r="L100" s="1"/>
    </row>
    <row r="101" ht="15.75" customHeight="1">
      <c r="A101" s="15">
        <v>37225.0</v>
      </c>
      <c r="B101" s="3">
        <v>136227.45</v>
      </c>
      <c r="C101" s="3">
        <v>1462.1</v>
      </c>
      <c r="D101" s="3">
        <v>-1908.28</v>
      </c>
      <c r="E101" s="3">
        <f t="shared" si="1"/>
        <v>-0.01381452865</v>
      </c>
      <c r="H101" s="15"/>
      <c r="I101" s="15"/>
      <c r="J101" s="1"/>
      <c r="K101" s="1"/>
      <c r="L101" s="1"/>
    </row>
    <row r="102" ht="15.75" customHeight="1">
      <c r="A102" s="15">
        <v>37232.0</v>
      </c>
      <c r="B102" s="3">
        <v>135031.0</v>
      </c>
      <c r="C102" s="3">
        <v>1462.1</v>
      </c>
      <c r="D102" s="3">
        <v>-3104.73</v>
      </c>
      <c r="E102" s="3">
        <f t="shared" si="1"/>
        <v>-0.02247593725</v>
      </c>
      <c r="H102" s="15"/>
      <c r="I102" s="15"/>
      <c r="J102" s="1"/>
      <c r="K102" s="1"/>
      <c r="L102" s="1"/>
    </row>
    <row r="103" ht="15.75" customHeight="1">
      <c r="A103" s="15">
        <v>37239.0</v>
      </c>
      <c r="B103" s="3">
        <v>133396.22</v>
      </c>
      <c r="C103" s="3">
        <v>1462.1</v>
      </c>
      <c r="D103" s="3">
        <v>-4739.52</v>
      </c>
      <c r="E103" s="3">
        <f t="shared" si="1"/>
        <v>-0.03431060161</v>
      </c>
      <c r="H103" s="15"/>
      <c r="I103" s="15"/>
      <c r="J103" s="1"/>
      <c r="K103" s="1"/>
      <c r="L103" s="1"/>
    </row>
    <row r="104" ht="15.75" customHeight="1">
      <c r="A104" s="15">
        <v>37246.0</v>
      </c>
      <c r="B104" s="3">
        <v>134468.7</v>
      </c>
      <c r="C104" s="3">
        <v>1462.1</v>
      </c>
      <c r="D104" s="3">
        <v>-3667.03</v>
      </c>
      <c r="E104" s="3">
        <f t="shared" si="1"/>
        <v>-0.02654657126</v>
      </c>
      <c r="H104" s="15"/>
      <c r="I104" s="15"/>
      <c r="J104" s="1"/>
      <c r="K104" s="1"/>
      <c r="L104" s="1"/>
    </row>
    <row r="105" ht="15.75" customHeight="1">
      <c r="A105" s="15">
        <v>37253.0</v>
      </c>
      <c r="B105" s="3">
        <v>136472.09</v>
      </c>
      <c r="C105" s="3">
        <v>1462.1</v>
      </c>
      <c r="D105" s="3">
        <v>-1663.64</v>
      </c>
      <c r="E105" s="3">
        <f t="shared" si="1"/>
        <v>-0.01204351691</v>
      </c>
      <c r="H105" s="15"/>
      <c r="I105" s="15"/>
      <c r="J105" s="1"/>
      <c r="K105" s="1"/>
      <c r="L105" s="1"/>
    </row>
    <row r="106" ht="15.75" customHeight="1">
      <c r="A106" s="15">
        <v>37260.0</v>
      </c>
      <c r="B106" s="3">
        <v>136741.3</v>
      </c>
      <c r="C106" s="3">
        <v>1462.1</v>
      </c>
      <c r="D106" s="3">
        <v>-1394.44</v>
      </c>
      <c r="E106" s="3">
        <f t="shared" si="1"/>
        <v>-0.01009470902</v>
      </c>
      <c r="H106" s="15"/>
      <c r="I106" s="15"/>
      <c r="J106" s="1"/>
      <c r="K106" s="1"/>
      <c r="L106" s="1"/>
    </row>
    <row r="107" ht="15.75" customHeight="1">
      <c r="A107" s="15">
        <v>37267.0</v>
      </c>
      <c r="B107" s="3">
        <v>139205.23</v>
      </c>
      <c r="C107" s="3">
        <v>1462.1</v>
      </c>
      <c r="D107" s="3">
        <v>0.0</v>
      </c>
      <c r="E107" s="3">
        <f t="shared" si="1"/>
        <v>0</v>
      </c>
      <c r="H107" s="15"/>
      <c r="I107" s="15"/>
      <c r="J107" s="1"/>
      <c r="K107" s="1"/>
      <c r="L107" s="1"/>
    </row>
    <row r="108" ht="15.75" customHeight="1">
      <c r="A108" s="15">
        <v>37274.0</v>
      </c>
      <c r="B108" s="3">
        <v>137066.31</v>
      </c>
      <c r="C108" s="3">
        <v>1462.1</v>
      </c>
      <c r="D108" s="3">
        <v>-2138.92</v>
      </c>
      <c r="E108" s="3">
        <f t="shared" si="1"/>
        <v>-0.0153652273</v>
      </c>
      <c r="H108" s="15"/>
      <c r="I108" s="15"/>
      <c r="J108" s="1"/>
      <c r="K108" s="1"/>
      <c r="L108" s="1"/>
    </row>
    <row r="109" ht="15.75" customHeight="1">
      <c r="A109" s="15">
        <v>37281.0</v>
      </c>
      <c r="B109" s="3">
        <v>137278.81</v>
      </c>
      <c r="C109" s="3">
        <v>1462.1</v>
      </c>
      <c r="D109" s="3">
        <v>-1926.42</v>
      </c>
      <c r="E109" s="3">
        <f t="shared" si="1"/>
        <v>-0.01383870419</v>
      </c>
      <c r="H109" s="15"/>
      <c r="I109" s="15"/>
      <c r="J109" s="1"/>
      <c r="K109" s="1"/>
      <c r="L109" s="1"/>
    </row>
    <row r="110" ht="15.75" customHeight="1">
      <c r="A110" s="15">
        <v>37288.0</v>
      </c>
      <c r="B110" s="3">
        <v>140656.77</v>
      </c>
      <c r="C110" s="3">
        <v>1462.1</v>
      </c>
      <c r="D110" s="3">
        <v>0.0</v>
      </c>
      <c r="E110" s="3">
        <f t="shared" si="1"/>
        <v>0</v>
      </c>
      <c r="H110" s="15"/>
      <c r="I110" s="15"/>
      <c r="J110" s="1"/>
      <c r="K110" s="1"/>
      <c r="L110" s="1"/>
    </row>
    <row r="111" ht="15.75" customHeight="1">
      <c r="A111" s="15">
        <v>37295.0</v>
      </c>
      <c r="B111" s="3">
        <v>142479.25</v>
      </c>
      <c r="C111" s="3">
        <v>1462.1</v>
      </c>
      <c r="D111" s="3">
        <v>0.0</v>
      </c>
      <c r="E111" s="3">
        <f t="shared" si="1"/>
        <v>0</v>
      </c>
      <c r="H111" s="15"/>
      <c r="I111" s="15"/>
      <c r="J111" s="1"/>
      <c r="K111" s="1"/>
      <c r="L111" s="1"/>
    </row>
    <row r="112" ht="15.75" customHeight="1">
      <c r="A112" s="15">
        <v>37302.0</v>
      </c>
      <c r="B112" s="3">
        <v>143914.63</v>
      </c>
      <c r="C112" s="3">
        <v>1462.1</v>
      </c>
      <c r="D112" s="3">
        <v>0.0</v>
      </c>
      <c r="E112" s="3">
        <f t="shared" si="1"/>
        <v>0</v>
      </c>
      <c r="H112" s="15"/>
      <c r="I112" s="15"/>
      <c r="J112" s="1"/>
      <c r="K112" s="1"/>
      <c r="L112" s="1"/>
    </row>
    <row r="113" ht="15.75" customHeight="1">
      <c r="A113" s="15">
        <v>37309.0</v>
      </c>
      <c r="B113" s="3">
        <v>142516.28</v>
      </c>
      <c r="C113" s="3">
        <v>1462.1</v>
      </c>
      <c r="D113" s="3">
        <v>-1398.34</v>
      </c>
      <c r="E113" s="3">
        <f t="shared" si="1"/>
        <v>-0.009716454818</v>
      </c>
      <c r="H113" s="15"/>
      <c r="I113" s="15"/>
      <c r="J113" s="1"/>
      <c r="K113" s="1"/>
      <c r="L113" s="1"/>
    </row>
    <row r="114" ht="15.75" customHeight="1">
      <c r="A114" s="15">
        <v>37316.0</v>
      </c>
      <c r="B114" s="3">
        <v>143981.95</v>
      </c>
      <c r="C114" s="3">
        <v>1462.1</v>
      </c>
      <c r="D114" s="3">
        <v>0.0</v>
      </c>
      <c r="E114" s="3">
        <f t="shared" si="1"/>
        <v>0</v>
      </c>
      <c r="H114" s="15"/>
      <c r="I114" s="15"/>
      <c r="J114" s="1"/>
      <c r="K114" s="1"/>
      <c r="L114" s="1"/>
    </row>
    <row r="115" ht="15.75" customHeight="1">
      <c r="A115" s="15">
        <v>37323.0</v>
      </c>
      <c r="B115" s="3">
        <v>144732.5</v>
      </c>
      <c r="C115" s="3">
        <v>1462.1</v>
      </c>
      <c r="D115" s="3">
        <v>0.0</v>
      </c>
      <c r="E115" s="3">
        <f t="shared" si="1"/>
        <v>0</v>
      </c>
      <c r="H115" s="15"/>
      <c r="I115" s="15"/>
      <c r="J115" s="1"/>
      <c r="K115" s="1"/>
      <c r="L115" s="1"/>
    </row>
    <row r="116" ht="15.75" customHeight="1">
      <c r="A116" s="15">
        <v>37330.0</v>
      </c>
      <c r="B116" s="3">
        <v>145654.7</v>
      </c>
      <c r="C116" s="3">
        <v>1462.1</v>
      </c>
      <c r="D116" s="3">
        <v>0.0</v>
      </c>
      <c r="E116" s="3">
        <f t="shared" si="1"/>
        <v>0</v>
      </c>
      <c r="H116" s="15"/>
      <c r="I116" s="15"/>
      <c r="J116" s="1"/>
      <c r="K116" s="1"/>
      <c r="L116" s="1"/>
    </row>
    <row r="117" ht="15.75" customHeight="1">
      <c r="A117" s="15">
        <v>37337.0</v>
      </c>
      <c r="B117" s="3">
        <v>147704.84</v>
      </c>
      <c r="C117" s="3">
        <v>1462.1</v>
      </c>
      <c r="D117" s="3">
        <v>0.0</v>
      </c>
      <c r="E117" s="3">
        <f t="shared" si="1"/>
        <v>0</v>
      </c>
      <c r="H117" s="15"/>
      <c r="I117" s="15"/>
      <c r="J117" s="1"/>
      <c r="K117" s="1"/>
      <c r="L117" s="1"/>
    </row>
    <row r="118" ht="15.75" customHeight="1">
      <c r="A118" s="15">
        <v>37343.0</v>
      </c>
      <c r="B118" s="3">
        <v>147956.55</v>
      </c>
      <c r="C118" s="3">
        <v>1462.1</v>
      </c>
      <c r="D118" s="3">
        <v>0.0</v>
      </c>
      <c r="E118" s="3">
        <f t="shared" si="1"/>
        <v>0</v>
      </c>
      <c r="H118" s="15"/>
      <c r="I118" s="15"/>
      <c r="J118" s="1"/>
      <c r="K118" s="1"/>
      <c r="L118" s="1"/>
    </row>
    <row r="119" ht="15.75" customHeight="1">
      <c r="A119" s="15">
        <v>37351.0</v>
      </c>
      <c r="B119" s="3">
        <v>145956.58</v>
      </c>
      <c r="C119" s="3">
        <v>1462.1</v>
      </c>
      <c r="D119" s="3">
        <v>-1999.97</v>
      </c>
      <c r="E119" s="3">
        <f t="shared" si="1"/>
        <v>-0.01351727923</v>
      </c>
      <c r="H119" s="15"/>
      <c r="I119" s="15"/>
      <c r="J119" s="1"/>
      <c r="K119" s="1"/>
      <c r="L119" s="1"/>
    </row>
    <row r="120" ht="15.75" customHeight="1">
      <c r="A120" s="15">
        <v>37358.0</v>
      </c>
      <c r="B120" s="3">
        <v>145950.28</v>
      </c>
      <c r="C120" s="3">
        <v>1462.1</v>
      </c>
      <c r="D120" s="3">
        <v>-2006.27</v>
      </c>
      <c r="E120" s="3">
        <f t="shared" si="1"/>
        <v>-0.0135598593</v>
      </c>
      <c r="H120" s="15"/>
      <c r="I120" s="15"/>
      <c r="J120" s="1"/>
      <c r="K120" s="1"/>
      <c r="L120" s="1"/>
    </row>
    <row r="121" ht="15.75" customHeight="1">
      <c r="A121" s="15">
        <v>37365.0</v>
      </c>
      <c r="B121" s="3">
        <v>146300.36</v>
      </c>
      <c r="C121" s="3">
        <v>1462.1</v>
      </c>
      <c r="D121" s="3">
        <v>-1656.19</v>
      </c>
      <c r="E121" s="3">
        <f t="shared" si="1"/>
        <v>-0.01119375925</v>
      </c>
      <c r="H121" s="15"/>
      <c r="I121" s="15"/>
      <c r="J121" s="1"/>
      <c r="K121" s="1"/>
      <c r="L121" s="1"/>
    </row>
    <row r="122" ht="15.75" customHeight="1">
      <c r="A122" s="15">
        <v>37372.0</v>
      </c>
      <c r="B122" s="3">
        <v>146160.83</v>
      </c>
      <c r="C122" s="3">
        <v>10931.72</v>
      </c>
      <c r="D122" s="3">
        <v>-1795.72</v>
      </c>
      <c r="E122" s="3">
        <f t="shared" si="1"/>
        <v>-0.01213680638</v>
      </c>
      <c r="H122" s="15"/>
      <c r="I122" s="15"/>
      <c r="J122" s="1"/>
      <c r="K122" s="1"/>
      <c r="L122" s="1"/>
    </row>
    <row r="123" ht="15.75" customHeight="1">
      <c r="A123" s="15">
        <v>37379.0</v>
      </c>
      <c r="B123" s="3">
        <v>146564.05</v>
      </c>
      <c r="C123" s="3">
        <v>10931.72</v>
      </c>
      <c r="D123" s="3">
        <v>-1392.5</v>
      </c>
      <c r="E123" s="3">
        <f t="shared" si="1"/>
        <v>-0.009411546836</v>
      </c>
      <c r="H123" s="15"/>
      <c r="I123" s="15"/>
      <c r="J123" s="1"/>
      <c r="K123" s="1"/>
      <c r="L123" s="1"/>
    </row>
    <row r="124" ht="15.75" customHeight="1">
      <c r="A124" s="15">
        <v>37386.0</v>
      </c>
      <c r="B124" s="3">
        <v>146081.2</v>
      </c>
      <c r="C124" s="3">
        <v>19258.37</v>
      </c>
      <c r="D124" s="3">
        <v>-1875.34</v>
      </c>
      <c r="E124" s="3">
        <f t="shared" si="1"/>
        <v>-0.01267493734</v>
      </c>
      <c r="H124" s="15"/>
      <c r="I124" s="15"/>
      <c r="J124" s="1"/>
      <c r="K124" s="1"/>
      <c r="L124" s="1"/>
    </row>
    <row r="125" ht="15.75" customHeight="1">
      <c r="A125" s="15">
        <v>37393.0</v>
      </c>
      <c r="B125" s="3">
        <v>146767.39</v>
      </c>
      <c r="C125" s="3">
        <v>25555.97</v>
      </c>
      <c r="D125" s="3">
        <v>-1189.16</v>
      </c>
      <c r="E125" s="3">
        <f t="shared" si="1"/>
        <v>-0.008037224442</v>
      </c>
      <c r="H125" s="15"/>
      <c r="I125" s="15"/>
      <c r="J125" s="1"/>
      <c r="K125" s="1"/>
      <c r="L125" s="1"/>
    </row>
    <row r="126" ht="15.75" customHeight="1">
      <c r="A126" s="15">
        <v>37400.0</v>
      </c>
      <c r="B126" s="3">
        <v>148272.91</v>
      </c>
      <c r="C126" s="3">
        <v>25555.97</v>
      </c>
      <c r="D126" s="3">
        <v>0.0</v>
      </c>
      <c r="E126" s="3">
        <f t="shared" si="1"/>
        <v>0</v>
      </c>
      <c r="H126" s="15"/>
      <c r="I126" s="15"/>
      <c r="J126" s="1"/>
      <c r="K126" s="1"/>
      <c r="L126" s="1"/>
    </row>
    <row r="127" ht="15.75" customHeight="1">
      <c r="A127" s="15">
        <v>37407.0</v>
      </c>
      <c r="B127" s="3">
        <v>148149.91</v>
      </c>
      <c r="C127" s="3">
        <v>25555.97</v>
      </c>
      <c r="D127" s="3">
        <v>-123.0</v>
      </c>
      <c r="E127" s="3">
        <f t="shared" si="1"/>
        <v>-0.0008295513995</v>
      </c>
      <c r="H127" s="15"/>
      <c r="I127" s="15"/>
      <c r="J127" s="1"/>
      <c r="K127" s="1"/>
      <c r="L127" s="1"/>
    </row>
    <row r="128" ht="15.75" customHeight="1">
      <c r="A128" s="15">
        <v>37414.0</v>
      </c>
      <c r="B128" s="3">
        <v>149034.08</v>
      </c>
      <c r="C128" s="3">
        <v>25555.97</v>
      </c>
      <c r="D128" s="3">
        <v>0.0</v>
      </c>
      <c r="E128" s="3">
        <f t="shared" si="1"/>
        <v>0</v>
      </c>
      <c r="H128" s="15"/>
      <c r="I128" s="15"/>
      <c r="J128" s="1"/>
      <c r="K128" s="1"/>
      <c r="L128" s="1"/>
    </row>
    <row r="129" ht="15.75" customHeight="1">
      <c r="A129" s="15">
        <v>37421.0</v>
      </c>
      <c r="B129" s="3">
        <v>148559.23</v>
      </c>
      <c r="C129" s="3">
        <v>25555.97</v>
      </c>
      <c r="D129" s="3">
        <v>-474.84</v>
      </c>
      <c r="E129" s="3">
        <f t="shared" si="1"/>
        <v>-0.003186116894</v>
      </c>
      <c r="H129" s="15"/>
      <c r="I129" s="15"/>
      <c r="J129" s="1"/>
      <c r="K129" s="1"/>
      <c r="L129" s="1"/>
    </row>
    <row r="130" ht="15.75" customHeight="1">
      <c r="A130" s="15">
        <v>37428.0</v>
      </c>
      <c r="B130" s="3">
        <v>148346.0</v>
      </c>
      <c r="C130" s="3">
        <v>25555.97</v>
      </c>
      <c r="D130" s="3">
        <v>-688.08</v>
      </c>
      <c r="E130" s="3">
        <f t="shared" si="1"/>
        <v>-0.004616930571</v>
      </c>
      <c r="H130" s="15"/>
      <c r="I130" s="15"/>
      <c r="J130" s="1"/>
      <c r="K130" s="1"/>
      <c r="L130" s="1"/>
    </row>
    <row r="131" ht="15.75" customHeight="1">
      <c r="A131" s="15">
        <v>37435.0</v>
      </c>
      <c r="B131" s="3">
        <v>146805.89</v>
      </c>
      <c r="C131" s="3">
        <v>25555.97</v>
      </c>
      <c r="D131" s="3">
        <v>-2228.19</v>
      </c>
      <c r="E131" s="3">
        <f t="shared" si="1"/>
        <v>-0.01495087567</v>
      </c>
      <c r="H131" s="15"/>
      <c r="I131" s="15"/>
      <c r="J131" s="1"/>
      <c r="K131" s="1"/>
      <c r="L131" s="1"/>
    </row>
    <row r="132" ht="15.75" customHeight="1">
      <c r="A132" s="15">
        <v>37442.0</v>
      </c>
      <c r="B132" s="3">
        <v>146516.56</v>
      </c>
      <c r="C132" s="3">
        <v>25555.97</v>
      </c>
      <c r="D132" s="3">
        <v>-2517.52</v>
      </c>
      <c r="E132" s="3">
        <f t="shared" si="1"/>
        <v>-0.01689224371</v>
      </c>
      <c r="H132" s="15"/>
      <c r="I132" s="15"/>
      <c r="J132" s="1"/>
      <c r="K132" s="1"/>
      <c r="L132" s="1"/>
    </row>
    <row r="133" ht="15.75" customHeight="1">
      <c r="A133" s="15">
        <v>37449.0</v>
      </c>
      <c r="B133" s="3">
        <v>146884.31</v>
      </c>
      <c r="C133" s="3">
        <v>25555.97</v>
      </c>
      <c r="D133" s="3">
        <v>-2149.77</v>
      </c>
      <c r="E133" s="3">
        <f t="shared" si="1"/>
        <v>-0.01442468729</v>
      </c>
      <c r="H133" s="15"/>
      <c r="I133" s="15"/>
      <c r="J133" s="1"/>
      <c r="K133" s="1"/>
      <c r="L133" s="1"/>
    </row>
    <row r="134" ht="15.75" customHeight="1">
      <c r="A134" s="15">
        <v>37456.0</v>
      </c>
      <c r="B134" s="3">
        <v>144527.77</v>
      </c>
      <c r="C134" s="3">
        <v>34337.39</v>
      </c>
      <c r="D134" s="3">
        <v>-4506.31</v>
      </c>
      <c r="E134" s="3">
        <f t="shared" si="1"/>
        <v>-0.03023677537</v>
      </c>
      <c r="H134" s="15"/>
      <c r="I134" s="15"/>
      <c r="J134" s="1"/>
      <c r="K134" s="1"/>
      <c r="L134" s="1"/>
    </row>
    <row r="135" ht="15.75" customHeight="1">
      <c r="A135" s="15">
        <v>37463.0</v>
      </c>
      <c r="B135" s="3">
        <v>143544.25</v>
      </c>
      <c r="C135" s="3">
        <v>34337.39</v>
      </c>
      <c r="D135" s="3">
        <v>-5489.83</v>
      </c>
      <c r="E135" s="3">
        <f t="shared" si="1"/>
        <v>-0.03683607132</v>
      </c>
      <c r="H135" s="15"/>
      <c r="I135" s="15"/>
      <c r="J135" s="1"/>
      <c r="K135" s="1"/>
      <c r="L135" s="1"/>
    </row>
    <row r="136" ht="15.75" customHeight="1">
      <c r="A136" s="15">
        <v>37470.0</v>
      </c>
      <c r="B136" s="3">
        <v>144750.44</v>
      </c>
      <c r="C136" s="3">
        <v>34337.39</v>
      </c>
      <c r="D136" s="3">
        <v>-4283.64</v>
      </c>
      <c r="E136" s="3">
        <f t="shared" si="1"/>
        <v>-0.02874268758</v>
      </c>
      <c r="H136" s="15"/>
      <c r="I136" s="15"/>
      <c r="J136" s="1"/>
      <c r="K136" s="1"/>
      <c r="L136" s="1"/>
    </row>
    <row r="137" ht="15.75" customHeight="1">
      <c r="A137" s="15">
        <v>37477.0</v>
      </c>
      <c r="B137" s="3">
        <v>145478.14</v>
      </c>
      <c r="C137" s="3">
        <v>34337.39</v>
      </c>
      <c r="D137" s="3">
        <v>-3555.94</v>
      </c>
      <c r="E137" s="3">
        <f t="shared" si="1"/>
        <v>-0.02385991177</v>
      </c>
      <c r="H137" s="15"/>
      <c r="I137" s="15"/>
      <c r="J137" s="1"/>
      <c r="K137" s="1"/>
      <c r="L137" s="1"/>
    </row>
    <row r="138" ht="15.75" customHeight="1">
      <c r="A138" s="15">
        <v>37484.0</v>
      </c>
      <c r="B138" s="3">
        <v>146540.91</v>
      </c>
      <c r="C138" s="3">
        <v>34337.39</v>
      </c>
      <c r="D138" s="3">
        <v>-2493.17</v>
      </c>
      <c r="E138" s="3">
        <f t="shared" si="1"/>
        <v>-0.01672885826</v>
      </c>
      <c r="H138" s="15"/>
      <c r="I138" s="15"/>
      <c r="J138" s="1"/>
      <c r="K138" s="1"/>
      <c r="L138" s="1"/>
    </row>
    <row r="139" ht="15.75" customHeight="1">
      <c r="A139" s="15">
        <v>37491.0</v>
      </c>
      <c r="B139" s="3">
        <v>145997.75</v>
      </c>
      <c r="C139" s="3">
        <v>34337.39</v>
      </c>
      <c r="D139" s="3">
        <v>-3036.33</v>
      </c>
      <c r="E139" s="3">
        <f t="shared" si="1"/>
        <v>-0.02037339379</v>
      </c>
      <c r="H139" s="15"/>
      <c r="I139" s="15"/>
      <c r="J139" s="1"/>
      <c r="K139" s="1"/>
      <c r="L139" s="1"/>
    </row>
    <row r="140" ht="15.75" customHeight="1">
      <c r="A140" s="15">
        <v>37498.0</v>
      </c>
      <c r="B140" s="3">
        <v>147987.59</v>
      </c>
      <c r="C140" s="3">
        <v>34337.39</v>
      </c>
      <c r="D140" s="3">
        <v>-1046.48</v>
      </c>
      <c r="E140" s="3">
        <f t="shared" si="1"/>
        <v>-0.007021749656</v>
      </c>
      <c r="H140" s="15"/>
      <c r="I140" s="15"/>
      <c r="J140" s="1"/>
      <c r="K140" s="1"/>
      <c r="L140" s="1"/>
    </row>
    <row r="141" ht="15.75" customHeight="1">
      <c r="A141" s="15">
        <v>37505.0</v>
      </c>
      <c r="B141" s="3">
        <v>147538.77</v>
      </c>
      <c r="C141" s="3">
        <v>34337.39</v>
      </c>
      <c r="D141" s="3">
        <v>-1495.31</v>
      </c>
      <c r="E141" s="3">
        <f t="shared" si="1"/>
        <v>-0.01003334271</v>
      </c>
      <c r="H141" s="15"/>
      <c r="I141" s="15"/>
      <c r="J141" s="1"/>
      <c r="K141" s="1"/>
      <c r="L141" s="1"/>
    </row>
    <row r="142" ht="15.75" customHeight="1">
      <c r="A142" s="15">
        <v>37512.0</v>
      </c>
      <c r="B142" s="3">
        <v>147075.16</v>
      </c>
      <c r="C142" s="3">
        <v>34337.39</v>
      </c>
      <c r="D142" s="3">
        <v>-1958.92</v>
      </c>
      <c r="E142" s="3">
        <f t="shared" si="1"/>
        <v>-0.01314410771</v>
      </c>
      <c r="H142" s="15"/>
      <c r="I142" s="15"/>
      <c r="J142" s="1"/>
      <c r="K142" s="1"/>
      <c r="L142" s="1"/>
    </row>
    <row r="143" ht="15.75" customHeight="1">
      <c r="A143" s="15">
        <v>37519.0</v>
      </c>
      <c r="B143" s="3">
        <v>147264.59</v>
      </c>
      <c r="C143" s="3">
        <v>43571.58</v>
      </c>
      <c r="D143" s="3">
        <v>-1769.48</v>
      </c>
      <c r="E143" s="3">
        <f t="shared" si="1"/>
        <v>-0.01187298905</v>
      </c>
      <c r="H143" s="15"/>
      <c r="I143" s="15"/>
      <c r="J143" s="1"/>
      <c r="K143" s="1"/>
      <c r="L143" s="1"/>
    </row>
    <row r="144" ht="15.75" customHeight="1">
      <c r="A144" s="15">
        <v>37526.0</v>
      </c>
      <c r="B144" s="3">
        <v>147139.16</v>
      </c>
      <c r="C144" s="3">
        <v>43571.58</v>
      </c>
      <c r="D144" s="3">
        <v>-1894.92</v>
      </c>
      <c r="E144" s="3">
        <f t="shared" si="1"/>
        <v>-0.01271467573</v>
      </c>
      <c r="H144" s="15"/>
      <c r="I144" s="15"/>
      <c r="J144" s="1"/>
      <c r="K144" s="1"/>
      <c r="L144" s="1"/>
    </row>
    <row r="145" ht="15.75" customHeight="1">
      <c r="A145" s="15">
        <v>37533.0</v>
      </c>
      <c r="B145" s="3">
        <v>146793.03</v>
      </c>
      <c r="C145" s="3">
        <v>43571.58</v>
      </c>
      <c r="D145" s="3">
        <v>-2241.05</v>
      </c>
      <c r="E145" s="3">
        <f t="shared" si="1"/>
        <v>-0.01503716465</v>
      </c>
      <c r="H145" s="15"/>
      <c r="I145" s="15"/>
      <c r="J145" s="1"/>
      <c r="K145" s="1"/>
      <c r="L145" s="1"/>
    </row>
    <row r="146" ht="15.75" customHeight="1">
      <c r="A146" s="15">
        <v>37540.0</v>
      </c>
      <c r="B146" s="3">
        <v>146258.13</v>
      </c>
      <c r="C146" s="3">
        <v>59610.24</v>
      </c>
      <c r="D146" s="3">
        <v>-2775.95</v>
      </c>
      <c r="E146" s="3">
        <f t="shared" si="1"/>
        <v>-0.01862627662</v>
      </c>
      <c r="H146" s="15"/>
      <c r="I146" s="15"/>
      <c r="J146" s="1"/>
      <c r="K146" s="1"/>
      <c r="L146" s="1"/>
    </row>
    <row r="147" ht="15.75" customHeight="1">
      <c r="A147" s="15">
        <v>37547.0</v>
      </c>
      <c r="B147" s="3">
        <v>147363.41</v>
      </c>
      <c r="C147" s="3">
        <v>59610.24</v>
      </c>
      <c r="D147" s="3">
        <v>-1670.67</v>
      </c>
      <c r="E147" s="3">
        <f t="shared" si="1"/>
        <v>-0.01120998633</v>
      </c>
      <c r="H147" s="15"/>
      <c r="I147" s="15"/>
      <c r="J147" s="1"/>
      <c r="K147" s="1"/>
      <c r="L147" s="1"/>
    </row>
    <row r="148" ht="15.75" customHeight="1">
      <c r="A148" s="15">
        <v>37554.0</v>
      </c>
      <c r="B148" s="3">
        <v>147211.45</v>
      </c>
      <c r="C148" s="3">
        <v>59610.24</v>
      </c>
      <c r="D148" s="3">
        <v>-1822.63</v>
      </c>
      <c r="E148" s="3">
        <f t="shared" si="1"/>
        <v>-0.01222961889</v>
      </c>
      <c r="H148" s="15"/>
      <c r="I148" s="15"/>
      <c r="J148" s="1"/>
      <c r="K148" s="1"/>
      <c r="L148" s="1"/>
    </row>
    <row r="149" ht="15.75" customHeight="1">
      <c r="A149" s="15">
        <v>37561.0</v>
      </c>
      <c r="B149" s="3">
        <v>147065.02</v>
      </c>
      <c r="C149" s="3">
        <v>59610.24</v>
      </c>
      <c r="D149" s="3">
        <v>-1969.06</v>
      </c>
      <c r="E149" s="3">
        <f t="shared" si="1"/>
        <v>-0.01321214584</v>
      </c>
      <c r="H149" s="15"/>
      <c r="I149" s="15"/>
      <c r="J149" s="1"/>
      <c r="K149" s="1"/>
      <c r="L149" s="1"/>
    </row>
    <row r="150" ht="15.75" customHeight="1">
      <c r="A150" s="15">
        <v>37568.0</v>
      </c>
      <c r="B150" s="3">
        <v>146480.95</v>
      </c>
      <c r="C150" s="3">
        <v>59610.24</v>
      </c>
      <c r="D150" s="3">
        <v>-2553.13</v>
      </c>
      <c r="E150" s="3">
        <f t="shared" si="1"/>
        <v>-0.01713118234</v>
      </c>
      <c r="H150" s="15"/>
      <c r="I150" s="15"/>
      <c r="J150" s="1"/>
      <c r="K150" s="1"/>
      <c r="L150" s="1"/>
    </row>
    <row r="151" ht="15.75" customHeight="1">
      <c r="A151" s="15">
        <v>37575.0</v>
      </c>
      <c r="B151" s="3">
        <v>146915.67</v>
      </c>
      <c r="C151" s="3">
        <v>59610.24</v>
      </c>
      <c r="D151" s="3">
        <v>-2118.41</v>
      </c>
      <c r="E151" s="3">
        <f t="shared" si="1"/>
        <v>-0.01421426562</v>
      </c>
      <c r="H151" s="15"/>
      <c r="I151" s="15"/>
      <c r="J151" s="1"/>
      <c r="K151" s="1"/>
      <c r="L151" s="1"/>
    </row>
    <row r="152" ht="15.75" customHeight="1">
      <c r="A152" s="15">
        <v>37582.0</v>
      </c>
      <c r="B152" s="3">
        <v>147697.0</v>
      </c>
      <c r="C152" s="3">
        <v>59610.24</v>
      </c>
      <c r="D152" s="3">
        <v>-1337.08</v>
      </c>
      <c r="E152" s="3">
        <f t="shared" si="1"/>
        <v>-0.008971639238</v>
      </c>
      <c r="H152" s="15"/>
      <c r="I152" s="15"/>
      <c r="J152" s="1"/>
      <c r="K152" s="1"/>
      <c r="L152" s="1"/>
    </row>
    <row r="153" ht="15.75" customHeight="1">
      <c r="A153" s="15">
        <v>37589.0</v>
      </c>
      <c r="B153" s="3">
        <v>148094.52</v>
      </c>
      <c r="C153" s="3">
        <v>59610.24</v>
      </c>
      <c r="D153" s="3">
        <v>-939.56</v>
      </c>
      <c r="E153" s="3">
        <f t="shared" si="1"/>
        <v>-0.006304329855</v>
      </c>
      <c r="H153" s="15"/>
      <c r="I153" s="15"/>
      <c r="J153" s="1"/>
      <c r="K153" s="1"/>
      <c r="L153" s="1"/>
    </row>
    <row r="154" ht="15.75" customHeight="1">
      <c r="A154" s="15">
        <v>37596.0</v>
      </c>
      <c r="B154" s="3">
        <v>147500.2</v>
      </c>
      <c r="C154" s="3">
        <v>4181.34</v>
      </c>
      <c r="D154" s="3">
        <v>-1533.88</v>
      </c>
      <c r="E154" s="3">
        <f t="shared" si="1"/>
        <v>-0.01029214258</v>
      </c>
      <c r="H154" s="15"/>
      <c r="I154" s="15"/>
      <c r="J154" s="1"/>
      <c r="K154" s="1"/>
      <c r="L154" s="1"/>
    </row>
    <row r="155" ht="15.75" customHeight="1">
      <c r="A155" s="15">
        <v>37603.0</v>
      </c>
      <c r="B155" s="3">
        <v>149657.06</v>
      </c>
      <c r="C155" s="3">
        <v>4181.34</v>
      </c>
      <c r="D155" s="3">
        <v>0.0</v>
      </c>
      <c r="E155" s="3">
        <f t="shared" si="1"/>
        <v>0</v>
      </c>
      <c r="H155" s="15"/>
      <c r="I155" s="15"/>
      <c r="J155" s="1"/>
      <c r="K155" s="1"/>
      <c r="L155" s="1"/>
    </row>
    <row r="156" ht="15.75" customHeight="1">
      <c r="A156" s="15">
        <v>37610.0</v>
      </c>
      <c r="B156" s="3">
        <v>149327.52</v>
      </c>
      <c r="C156" s="3">
        <v>4181.34</v>
      </c>
      <c r="D156" s="3">
        <v>-329.55</v>
      </c>
      <c r="E156" s="3">
        <f t="shared" si="1"/>
        <v>-0.002202034438</v>
      </c>
      <c r="H156" s="15"/>
      <c r="I156" s="15"/>
      <c r="J156" s="1"/>
      <c r="K156" s="1"/>
      <c r="L156" s="1"/>
    </row>
    <row r="157" ht="15.75" customHeight="1">
      <c r="A157" s="15">
        <v>37617.0</v>
      </c>
      <c r="B157" s="3">
        <v>150250.89</v>
      </c>
      <c r="C157" s="3">
        <v>12545.76</v>
      </c>
      <c r="D157" s="3">
        <v>0.0</v>
      </c>
      <c r="E157" s="3">
        <f t="shared" si="1"/>
        <v>0</v>
      </c>
      <c r="H157" s="15"/>
      <c r="I157" s="15"/>
      <c r="J157" s="1"/>
      <c r="K157" s="1"/>
      <c r="L157" s="1"/>
    </row>
    <row r="158" ht="15.75" customHeight="1">
      <c r="A158" s="15">
        <v>37624.0</v>
      </c>
      <c r="B158" s="3">
        <v>151516.17</v>
      </c>
      <c r="C158" s="3">
        <v>2473.03</v>
      </c>
      <c r="D158" s="3">
        <v>0.0</v>
      </c>
      <c r="E158" s="3">
        <f t="shared" si="1"/>
        <v>0</v>
      </c>
      <c r="H158" s="15"/>
      <c r="I158" s="15"/>
      <c r="J158" s="1"/>
      <c r="K158" s="1"/>
      <c r="L158" s="1"/>
    </row>
    <row r="159" ht="15.75" customHeight="1">
      <c r="A159" s="15">
        <v>37631.0</v>
      </c>
      <c r="B159" s="3">
        <v>154075.11</v>
      </c>
      <c r="C159" s="3">
        <v>2473.03</v>
      </c>
      <c r="D159" s="3">
        <v>0.0</v>
      </c>
      <c r="E159" s="3">
        <f t="shared" si="1"/>
        <v>0</v>
      </c>
      <c r="H159" s="15"/>
      <c r="I159" s="15"/>
      <c r="J159" s="1"/>
      <c r="K159" s="1"/>
      <c r="L159" s="1"/>
    </row>
    <row r="160" ht="15.75" customHeight="1">
      <c r="A160" s="15">
        <v>37638.0</v>
      </c>
      <c r="B160" s="3">
        <v>152649.64</v>
      </c>
      <c r="C160" s="3">
        <v>2473.03</v>
      </c>
      <c r="D160" s="3">
        <v>-1425.47</v>
      </c>
      <c r="E160" s="3">
        <f t="shared" si="1"/>
        <v>-0.009251786353</v>
      </c>
      <c r="H160" s="15"/>
      <c r="I160" s="15"/>
      <c r="J160" s="1"/>
      <c r="K160" s="1"/>
      <c r="L160" s="1"/>
    </row>
    <row r="161" ht="15.75" customHeight="1">
      <c r="A161" s="15">
        <v>37645.0</v>
      </c>
      <c r="B161" s="3">
        <v>154400.55</v>
      </c>
      <c r="C161" s="3">
        <v>2473.03</v>
      </c>
      <c r="D161" s="3">
        <v>0.0</v>
      </c>
      <c r="E161" s="3">
        <f t="shared" si="1"/>
        <v>0</v>
      </c>
      <c r="H161" s="15"/>
      <c r="I161" s="15"/>
      <c r="J161" s="1"/>
      <c r="K161" s="1"/>
      <c r="L161" s="1"/>
    </row>
    <row r="162" ht="15.75" customHeight="1">
      <c r="A162" s="15">
        <v>37652.0</v>
      </c>
      <c r="B162" s="3">
        <v>153107.67</v>
      </c>
      <c r="C162" s="3">
        <v>2473.03</v>
      </c>
      <c r="D162" s="3">
        <v>-1292.88</v>
      </c>
      <c r="E162" s="3">
        <f t="shared" si="1"/>
        <v>-0.008373545301</v>
      </c>
      <c r="H162" s="15"/>
      <c r="I162" s="15"/>
      <c r="J162" s="1"/>
      <c r="K162" s="1"/>
      <c r="L162" s="1"/>
    </row>
    <row r="163" ht="15.75" customHeight="1">
      <c r="A163" s="15">
        <v>37659.0</v>
      </c>
      <c r="B163" s="3">
        <v>152803.22</v>
      </c>
      <c r="C163" s="3">
        <v>2473.03</v>
      </c>
      <c r="D163" s="3">
        <v>-1597.33</v>
      </c>
      <c r="E163" s="3">
        <f t="shared" si="1"/>
        <v>-0.0103453647</v>
      </c>
      <c r="H163" s="15"/>
      <c r="I163" s="15"/>
      <c r="J163" s="1"/>
      <c r="K163" s="1"/>
      <c r="L163" s="1"/>
    </row>
    <row r="164" ht="15.75" customHeight="1">
      <c r="A164" s="15">
        <v>37666.0</v>
      </c>
      <c r="B164" s="3">
        <v>151671.08</v>
      </c>
      <c r="C164" s="3">
        <v>2473.03</v>
      </c>
      <c r="D164" s="3">
        <v>-2729.47</v>
      </c>
      <c r="E164" s="3">
        <f t="shared" si="1"/>
        <v>-0.01767785154</v>
      </c>
      <c r="H164" s="15"/>
      <c r="I164" s="15"/>
      <c r="J164" s="1"/>
      <c r="K164" s="1"/>
      <c r="L164" s="1"/>
    </row>
    <row r="165" ht="15.75" customHeight="1">
      <c r="A165" s="15">
        <v>37673.0</v>
      </c>
      <c r="B165" s="3">
        <v>153698.91</v>
      </c>
      <c r="C165" s="3">
        <v>13996.86</v>
      </c>
      <c r="D165" s="3">
        <v>-701.64</v>
      </c>
      <c r="E165" s="3">
        <f t="shared" si="1"/>
        <v>-0.004544284331</v>
      </c>
      <c r="H165" s="15"/>
      <c r="I165" s="15"/>
      <c r="J165" s="1"/>
      <c r="K165" s="1"/>
      <c r="L165" s="1"/>
    </row>
    <row r="166" ht="15.75" customHeight="1">
      <c r="A166" s="15">
        <v>37680.0</v>
      </c>
      <c r="B166" s="3">
        <v>151838.22</v>
      </c>
      <c r="C166" s="3">
        <v>13996.86</v>
      </c>
      <c r="D166" s="3">
        <v>-2562.33</v>
      </c>
      <c r="E166" s="3">
        <f t="shared" si="1"/>
        <v>-0.01659534244</v>
      </c>
      <c r="H166" s="15"/>
      <c r="I166" s="15"/>
      <c r="J166" s="1"/>
      <c r="K166" s="1"/>
      <c r="L166" s="1"/>
    </row>
    <row r="167" ht="15.75" customHeight="1">
      <c r="A167" s="15">
        <v>37687.0</v>
      </c>
      <c r="B167" s="3">
        <v>151812.02</v>
      </c>
      <c r="C167" s="3">
        <v>13996.86</v>
      </c>
      <c r="D167" s="3">
        <v>-2588.53</v>
      </c>
      <c r="E167" s="3">
        <f t="shared" si="1"/>
        <v>-0.01676503095</v>
      </c>
      <c r="H167" s="15"/>
      <c r="I167" s="15"/>
      <c r="J167" s="1"/>
      <c r="K167" s="1"/>
      <c r="L167" s="1"/>
    </row>
    <row r="168" ht="15.75" customHeight="1">
      <c r="A168" s="15">
        <v>37694.0</v>
      </c>
      <c r="B168" s="3">
        <v>150233.45</v>
      </c>
      <c r="C168" s="3">
        <v>13996.86</v>
      </c>
      <c r="D168" s="3">
        <v>-4167.09</v>
      </c>
      <c r="E168" s="3">
        <f t="shared" si="1"/>
        <v>-0.02698882873</v>
      </c>
      <c r="H168" s="15"/>
      <c r="I168" s="15"/>
      <c r="J168" s="1"/>
      <c r="K168" s="1"/>
      <c r="L168" s="1"/>
    </row>
    <row r="169" ht="15.75" customHeight="1">
      <c r="A169" s="15">
        <v>37701.0</v>
      </c>
      <c r="B169" s="3">
        <v>154397.31</v>
      </c>
      <c r="C169" s="3">
        <v>21078.23</v>
      </c>
      <c r="D169" s="3">
        <v>-3.23</v>
      </c>
      <c r="E169" s="3">
        <f t="shared" si="1"/>
        <v>-0.0000209196146</v>
      </c>
      <c r="H169" s="15"/>
      <c r="I169" s="15"/>
      <c r="J169" s="1"/>
      <c r="K169" s="1"/>
      <c r="L169" s="1"/>
    </row>
    <row r="170" ht="15.75" customHeight="1">
      <c r="A170" s="15">
        <v>37708.0</v>
      </c>
      <c r="B170" s="3">
        <v>156583.75</v>
      </c>
      <c r="C170" s="3">
        <v>21078.23</v>
      </c>
      <c r="D170" s="3">
        <v>0.0</v>
      </c>
      <c r="E170" s="3">
        <f t="shared" si="1"/>
        <v>0</v>
      </c>
      <c r="H170" s="15"/>
      <c r="I170" s="15"/>
      <c r="J170" s="1"/>
      <c r="K170" s="1"/>
      <c r="L170" s="1"/>
    </row>
    <row r="171" ht="15.75" customHeight="1">
      <c r="A171" s="15">
        <v>37715.0</v>
      </c>
      <c r="B171" s="3">
        <v>157428.36</v>
      </c>
      <c r="C171" s="3">
        <v>21078.23</v>
      </c>
      <c r="D171" s="3">
        <v>0.0</v>
      </c>
      <c r="E171" s="3">
        <f t="shared" si="1"/>
        <v>0</v>
      </c>
      <c r="H171" s="15"/>
      <c r="I171" s="15"/>
      <c r="J171" s="1"/>
      <c r="K171" s="1"/>
      <c r="L171" s="1"/>
    </row>
    <row r="172" ht="15.75" customHeight="1">
      <c r="A172" s="15">
        <v>37722.0</v>
      </c>
      <c r="B172" s="3">
        <v>159667.09</v>
      </c>
      <c r="C172" s="3">
        <v>3110.97</v>
      </c>
      <c r="D172" s="3">
        <v>0.0</v>
      </c>
      <c r="E172" s="3">
        <f t="shared" si="1"/>
        <v>0</v>
      </c>
      <c r="H172" s="15"/>
      <c r="I172" s="15"/>
      <c r="J172" s="1"/>
      <c r="K172" s="1"/>
      <c r="L172" s="1"/>
    </row>
    <row r="173" ht="15.75" customHeight="1">
      <c r="A173" s="15">
        <v>37728.0</v>
      </c>
      <c r="B173" s="3">
        <v>158455.09</v>
      </c>
      <c r="C173" s="3">
        <v>3110.97</v>
      </c>
      <c r="D173" s="3">
        <v>-1212.0</v>
      </c>
      <c r="E173" s="3">
        <f t="shared" si="1"/>
        <v>-0.00759079407</v>
      </c>
      <c r="H173" s="15"/>
      <c r="I173" s="15"/>
      <c r="J173" s="1"/>
      <c r="K173" s="1"/>
      <c r="L173" s="1"/>
    </row>
    <row r="174" ht="15.75" customHeight="1">
      <c r="A174" s="15">
        <v>37735.0</v>
      </c>
      <c r="B174" s="3">
        <v>159650.98</v>
      </c>
      <c r="C174" s="3">
        <v>3110.97</v>
      </c>
      <c r="D174" s="3">
        <v>-16.11</v>
      </c>
      <c r="E174" s="3">
        <f t="shared" si="1"/>
        <v>-0.000100897436</v>
      </c>
      <c r="H174" s="15"/>
      <c r="I174" s="15"/>
      <c r="J174" s="1"/>
      <c r="K174" s="1"/>
      <c r="L174" s="1"/>
    </row>
    <row r="175" ht="15.75" customHeight="1">
      <c r="A175" s="15">
        <v>37743.0</v>
      </c>
      <c r="B175" s="3">
        <v>161121.27</v>
      </c>
      <c r="C175" s="3">
        <v>3110.97</v>
      </c>
      <c r="D175" s="3">
        <v>0.0</v>
      </c>
      <c r="E175" s="3">
        <f t="shared" si="1"/>
        <v>0</v>
      </c>
      <c r="H175" s="15"/>
      <c r="I175" s="15"/>
      <c r="J175" s="1"/>
      <c r="K175" s="1"/>
      <c r="L175" s="1"/>
    </row>
    <row r="176" ht="15.75" customHeight="1">
      <c r="A176" s="15">
        <v>37750.0</v>
      </c>
      <c r="B176" s="3">
        <v>163897.13</v>
      </c>
      <c r="C176" s="3">
        <v>3110.97</v>
      </c>
      <c r="D176" s="3">
        <v>0.0</v>
      </c>
      <c r="E176" s="3">
        <f t="shared" si="1"/>
        <v>0</v>
      </c>
      <c r="H176" s="15"/>
      <c r="I176" s="15"/>
      <c r="J176" s="1"/>
      <c r="K176" s="1"/>
      <c r="L176" s="1"/>
    </row>
    <row r="177" ht="15.75" customHeight="1">
      <c r="A177" s="15">
        <v>37757.0</v>
      </c>
      <c r="B177" s="3">
        <v>162464.67</v>
      </c>
      <c r="C177" s="3">
        <v>3110.97</v>
      </c>
      <c r="D177" s="3">
        <v>-1432.45</v>
      </c>
      <c r="E177" s="3">
        <f t="shared" si="1"/>
        <v>-0.008739933396</v>
      </c>
      <c r="H177" s="15"/>
      <c r="I177" s="15"/>
      <c r="J177" s="1"/>
      <c r="K177" s="1"/>
      <c r="L177" s="1"/>
    </row>
    <row r="178" ht="15.75" customHeight="1">
      <c r="A178" s="15">
        <v>37764.0</v>
      </c>
      <c r="B178" s="3">
        <v>166761.3</v>
      </c>
      <c r="C178" s="3">
        <v>3110.97</v>
      </c>
      <c r="D178" s="3">
        <v>0.0</v>
      </c>
      <c r="E178" s="3">
        <f t="shared" si="1"/>
        <v>0</v>
      </c>
      <c r="H178" s="15"/>
      <c r="I178" s="15"/>
      <c r="J178" s="1"/>
      <c r="K178" s="1"/>
      <c r="L178" s="1"/>
    </row>
    <row r="179" ht="15.75" customHeight="1">
      <c r="A179" s="15">
        <v>37771.0</v>
      </c>
      <c r="B179" s="3">
        <v>167777.19</v>
      </c>
      <c r="C179" s="3">
        <v>3110.97</v>
      </c>
      <c r="D179" s="3">
        <v>0.0</v>
      </c>
      <c r="E179" s="3">
        <f t="shared" si="1"/>
        <v>0</v>
      </c>
      <c r="H179" s="15"/>
      <c r="I179" s="15"/>
      <c r="J179" s="1"/>
      <c r="K179" s="1"/>
      <c r="L179" s="1"/>
    </row>
    <row r="180" ht="15.75" customHeight="1">
      <c r="A180" s="15">
        <v>37778.0</v>
      </c>
      <c r="B180" s="3">
        <v>168581.02</v>
      </c>
      <c r="C180" s="3">
        <v>3110.97</v>
      </c>
      <c r="D180" s="3">
        <v>0.0</v>
      </c>
      <c r="E180" s="3">
        <f t="shared" si="1"/>
        <v>0</v>
      </c>
      <c r="H180" s="15"/>
      <c r="I180" s="15"/>
      <c r="J180" s="1"/>
      <c r="K180" s="1"/>
      <c r="L180" s="1"/>
    </row>
    <row r="181" ht="15.75" customHeight="1">
      <c r="A181" s="15">
        <v>37785.0</v>
      </c>
      <c r="B181" s="3">
        <v>170187.33</v>
      </c>
      <c r="C181" s="3">
        <v>3110.97</v>
      </c>
      <c r="D181" s="3">
        <v>0.0</v>
      </c>
      <c r="E181" s="3">
        <f t="shared" si="1"/>
        <v>0</v>
      </c>
      <c r="H181" s="15"/>
      <c r="I181" s="15"/>
      <c r="J181" s="1"/>
      <c r="K181" s="1"/>
      <c r="L181" s="1"/>
    </row>
    <row r="182" ht="15.75" customHeight="1">
      <c r="A182" s="15">
        <v>37792.0</v>
      </c>
      <c r="B182" s="3">
        <v>173807.28</v>
      </c>
      <c r="C182" s="3">
        <v>3110.97</v>
      </c>
      <c r="D182" s="3">
        <v>0.0</v>
      </c>
      <c r="E182" s="3">
        <f t="shared" si="1"/>
        <v>0</v>
      </c>
      <c r="H182" s="15"/>
      <c r="I182" s="15"/>
      <c r="J182" s="1"/>
      <c r="K182" s="1"/>
      <c r="L182" s="1"/>
    </row>
    <row r="183" ht="15.75" customHeight="1">
      <c r="A183" s="15">
        <v>37799.0</v>
      </c>
      <c r="B183" s="3">
        <v>172530.0</v>
      </c>
      <c r="C183" s="3">
        <v>3110.97</v>
      </c>
      <c r="D183" s="3">
        <v>-1277.28</v>
      </c>
      <c r="E183" s="3">
        <f t="shared" si="1"/>
        <v>-0.007348829117</v>
      </c>
      <c r="H183" s="15"/>
      <c r="I183" s="15"/>
      <c r="J183" s="1"/>
      <c r="K183" s="1"/>
      <c r="L183" s="1"/>
    </row>
    <row r="184" ht="15.75" customHeight="1">
      <c r="A184" s="15">
        <v>37806.0</v>
      </c>
      <c r="B184" s="3">
        <v>171831.41</v>
      </c>
      <c r="C184" s="3">
        <v>3110.97</v>
      </c>
      <c r="D184" s="3">
        <v>-1975.88</v>
      </c>
      <c r="E184" s="3">
        <f t="shared" si="1"/>
        <v>-0.01136822347</v>
      </c>
      <c r="H184" s="15"/>
      <c r="I184" s="15"/>
      <c r="J184" s="1"/>
      <c r="K184" s="1"/>
      <c r="L184" s="1"/>
    </row>
    <row r="185" ht="15.75" customHeight="1">
      <c r="A185" s="15">
        <v>37813.0</v>
      </c>
      <c r="B185" s="3">
        <v>170945.11</v>
      </c>
      <c r="C185" s="3">
        <v>3110.97</v>
      </c>
      <c r="D185" s="3">
        <v>-2862.17</v>
      </c>
      <c r="E185" s="3">
        <f t="shared" si="1"/>
        <v>-0.01646749204</v>
      </c>
      <c r="H185" s="15"/>
      <c r="I185" s="15"/>
      <c r="J185" s="1"/>
      <c r="K185" s="1"/>
      <c r="L185" s="1"/>
    </row>
    <row r="186" ht="15.75" customHeight="1">
      <c r="A186" s="15">
        <v>37820.0</v>
      </c>
      <c r="B186" s="3">
        <v>172330.61</v>
      </c>
      <c r="C186" s="3">
        <v>3110.97</v>
      </c>
      <c r="D186" s="3">
        <v>-1476.67</v>
      </c>
      <c r="E186" s="3">
        <f t="shared" si="1"/>
        <v>-0.008496019269</v>
      </c>
      <c r="H186" s="15"/>
      <c r="I186" s="15"/>
      <c r="J186" s="1"/>
      <c r="K186" s="1"/>
      <c r="L186" s="1"/>
    </row>
    <row r="187" ht="15.75" customHeight="1">
      <c r="A187" s="15">
        <v>37827.0</v>
      </c>
      <c r="B187" s="3">
        <v>171548.3</v>
      </c>
      <c r="C187" s="3">
        <v>2537.53</v>
      </c>
      <c r="D187" s="3">
        <v>-2258.98</v>
      </c>
      <c r="E187" s="3">
        <f t="shared" si="1"/>
        <v>-0.01299703902</v>
      </c>
      <c r="H187" s="15"/>
      <c r="I187" s="15"/>
      <c r="J187" s="1"/>
      <c r="K187" s="1"/>
      <c r="L187" s="1"/>
    </row>
    <row r="188" ht="15.75" customHeight="1">
      <c r="A188" s="15">
        <v>37834.0</v>
      </c>
      <c r="B188" s="3">
        <v>174831.55</v>
      </c>
      <c r="C188" s="3">
        <v>2537.53</v>
      </c>
      <c r="D188" s="3">
        <v>0.0</v>
      </c>
      <c r="E188" s="3">
        <f t="shared" si="1"/>
        <v>0</v>
      </c>
      <c r="H188" s="15"/>
      <c r="I188" s="15"/>
      <c r="J188" s="1"/>
      <c r="K188" s="1"/>
      <c r="L188" s="1"/>
    </row>
    <row r="189" ht="15.75" customHeight="1">
      <c r="A189" s="15">
        <v>37841.0</v>
      </c>
      <c r="B189" s="3">
        <v>174228.86</v>
      </c>
      <c r="C189" s="3">
        <v>2537.53</v>
      </c>
      <c r="D189" s="3">
        <v>-602.69</v>
      </c>
      <c r="E189" s="3">
        <f t="shared" si="1"/>
        <v>-0.003447261092</v>
      </c>
      <c r="H189" s="15"/>
      <c r="I189" s="15"/>
      <c r="J189" s="1"/>
      <c r="K189" s="1"/>
      <c r="L189" s="1"/>
    </row>
    <row r="190" ht="15.75" customHeight="1">
      <c r="A190" s="15">
        <v>37848.0</v>
      </c>
      <c r="B190" s="3">
        <v>174995.22</v>
      </c>
      <c r="C190" s="3">
        <v>2537.53</v>
      </c>
      <c r="D190" s="3">
        <v>0.0</v>
      </c>
      <c r="E190" s="3">
        <f t="shared" si="1"/>
        <v>0</v>
      </c>
      <c r="H190" s="15"/>
      <c r="I190" s="15"/>
      <c r="J190" s="1"/>
      <c r="K190" s="1"/>
      <c r="L190" s="1"/>
    </row>
    <row r="191" ht="15.75" customHeight="1">
      <c r="A191" s="15">
        <v>37855.0</v>
      </c>
      <c r="B191" s="3">
        <v>176200.73</v>
      </c>
      <c r="C191" s="3">
        <v>2537.53</v>
      </c>
      <c r="D191" s="3">
        <v>0.0</v>
      </c>
      <c r="E191" s="3">
        <f t="shared" si="1"/>
        <v>0</v>
      </c>
      <c r="H191" s="15"/>
      <c r="I191" s="15"/>
      <c r="J191" s="1"/>
      <c r="K191" s="1"/>
      <c r="L191" s="1"/>
    </row>
    <row r="192" ht="15.75" customHeight="1">
      <c r="A192" s="15">
        <v>37862.0</v>
      </c>
      <c r="B192" s="3">
        <v>176073.41</v>
      </c>
      <c r="C192" s="3">
        <v>2537.53</v>
      </c>
      <c r="D192" s="3">
        <v>-127.33</v>
      </c>
      <c r="E192" s="3">
        <f t="shared" si="1"/>
        <v>-0.000722641728</v>
      </c>
      <c r="H192" s="15"/>
      <c r="I192" s="15"/>
      <c r="J192" s="1"/>
      <c r="K192" s="1"/>
      <c r="L192" s="1"/>
    </row>
    <row r="193" ht="15.75" customHeight="1">
      <c r="A193" s="15">
        <v>37869.0</v>
      </c>
      <c r="B193" s="3">
        <v>176234.55</v>
      </c>
      <c r="C193" s="3">
        <v>2537.53</v>
      </c>
      <c r="D193" s="3">
        <v>0.0</v>
      </c>
      <c r="E193" s="3">
        <f t="shared" si="1"/>
        <v>0</v>
      </c>
      <c r="H193" s="15"/>
      <c r="I193" s="15"/>
      <c r="J193" s="1"/>
      <c r="K193" s="1"/>
      <c r="L193" s="1"/>
    </row>
    <row r="194" ht="15.75" customHeight="1">
      <c r="A194" s="15">
        <v>37876.0</v>
      </c>
      <c r="B194" s="3">
        <v>175701.94</v>
      </c>
      <c r="C194" s="3">
        <v>2537.53</v>
      </c>
      <c r="D194" s="3">
        <v>-532.61</v>
      </c>
      <c r="E194" s="3">
        <f t="shared" si="1"/>
        <v>-0.003022165631</v>
      </c>
      <c r="H194" s="15"/>
      <c r="I194" s="15"/>
      <c r="J194" s="1"/>
      <c r="K194" s="1"/>
      <c r="L194" s="1"/>
    </row>
    <row r="195" ht="15.75" customHeight="1">
      <c r="A195" s="15">
        <v>37883.0</v>
      </c>
      <c r="B195" s="3">
        <v>180265.78</v>
      </c>
      <c r="C195" s="3">
        <v>2537.53</v>
      </c>
      <c r="D195" s="3">
        <v>0.0</v>
      </c>
      <c r="E195" s="3">
        <f t="shared" si="1"/>
        <v>0</v>
      </c>
      <c r="H195" s="15"/>
      <c r="I195" s="15"/>
      <c r="J195" s="1"/>
      <c r="K195" s="1"/>
      <c r="L195" s="1"/>
    </row>
    <row r="196" ht="15.75" customHeight="1">
      <c r="A196" s="15">
        <v>37890.0</v>
      </c>
      <c r="B196" s="3">
        <v>179337.3</v>
      </c>
      <c r="C196" s="3">
        <v>2537.53</v>
      </c>
      <c r="D196" s="3">
        <v>-928.48</v>
      </c>
      <c r="E196" s="3">
        <f t="shared" si="1"/>
        <v>-0.00515061705</v>
      </c>
      <c r="H196" s="15"/>
      <c r="I196" s="15"/>
      <c r="J196" s="1"/>
      <c r="K196" s="1"/>
      <c r="L196" s="1"/>
    </row>
    <row r="197" ht="15.75" customHeight="1">
      <c r="A197" s="15">
        <v>37897.0</v>
      </c>
      <c r="B197" s="3">
        <v>179964.25</v>
      </c>
      <c r="C197" s="3">
        <v>2537.53</v>
      </c>
      <c r="D197" s="3">
        <v>-301.53</v>
      </c>
      <c r="E197" s="3">
        <f t="shared" si="1"/>
        <v>-0.001672696837</v>
      </c>
      <c r="H197" s="15"/>
      <c r="I197" s="15"/>
      <c r="J197" s="1"/>
      <c r="K197" s="1"/>
      <c r="L197" s="1"/>
    </row>
    <row r="198" ht="15.75" customHeight="1">
      <c r="A198" s="15">
        <v>37904.0</v>
      </c>
      <c r="B198" s="3">
        <v>184530.8</v>
      </c>
      <c r="C198" s="3">
        <v>2537.53</v>
      </c>
      <c r="D198" s="3">
        <v>0.0</v>
      </c>
      <c r="E198" s="3">
        <f t="shared" si="1"/>
        <v>0</v>
      </c>
      <c r="H198" s="15"/>
      <c r="I198" s="15"/>
      <c r="J198" s="1"/>
      <c r="K198" s="1"/>
      <c r="L198" s="1"/>
    </row>
    <row r="199" ht="15.75" customHeight="1">
      <c r="A199" s="15">
        <v>37911.0</v>
      </c>
      <c r="B199" s="3">
        <v>185054.78</v>
      </c>
      <c r="C199" s="3">
        <v>2537.53</v>
      </c>
      <c r="D199" s="3">
        <v>0.0</v>
      </c>
      <c r="E199" s="3">
        <f t="shared" si="1"/>
        <v>0</v>
      </c>
      <c r="H199" s="15"/>
      <c r="I199" s="15"/>
      <c r="J199" s="1"/>
      <c r="K199" s="1"/>
      <c r="L199" s="1"/>
    </row>
    <row r="200" ht="15.75" customHeight="1">
      <c r="A200" s="15">
        <v>37918.0</v>
      </c>
      <c r="B200" s="3">
        <v>185031.92</v>
      </c>
      <c r="C200" s="3">
        <v>2537.53</v>
      </c>
      <c r="D200" s="3">
        <v>-22.86</v>
      </c>
      <c r="E200" s="3">
        <f t="shared" si="1"/>
        <v>-0.000123530989</v>
      </c>
      <c r="H200" s="15"/>
      <c r="I200" s="15"/>
      <c r="J200" s="1"/>
      <c r="K200" s="1"/>
      <c r="L200" s="1"/>
    </row>
    <row r="201" ht="15.75" customHeight="1">
      <c r="A201" s="15">
        <v>37925.0</v>
      </c>
      <c r="B201" s="3">
        <v>182528.42</v>
      </c>
      <c r="C201" s="3">
        <v>2537.53</v>
      </c>
      <c r="D201" s="3">
        <v>-2526.36</v>
      </c>
      <c r="E201" s="3">
        <f t="shared" si="1"/>
        <v>-0.01365195754</v>
      </c>
      <c r="H201" s="15"/>
      <c r="I201" s="15"/>
      <c r="J201" s="1"/>
      <c r="K201" s="1"/>
      <c r="L201" s="1"/>
    </row>
    <row r="202" ht="15.75" customHeight="1">
      <c r="A202" s="15">
        <v>37932.0</v>
      </c>
      <c r="B202" s="3">
        <v>183204.27</v>
      </c>
      <c r="C202" s="3">
        <v>2537.53</v>
      </c>
      <c r="D202" s="3">
        <v>-1850.52</v>
      </c>
      <c r="E202" s="3">
        <f t="shared" si="1"/>
        <v>-0.009999849774</v>
      </c>
      <c r="H202" s="15"/>
      <c r="I202" s="15"/>
      <c r="J202" s="1"/>
      <c r="K202" s="1"/>
      <c r="L202" s="1"/>
    </row>
    <row r="203" ht="15.75" customHeight="1">
      <c r="A203" s="15">
        <v>37939.0</v>
      </c>
      <c r="B203" s="3">
        <v>179913.95</v>
      </c>
      <c r="C203" s="3">
        <v>13788.28</v>
      </c>
      <c r="D203" s="3">
        <v>-5140.83</v>
      </c>
      <c r="E203" s="3">
        <f t="shared" si="1"/>
        <v>-0.02778004437</v>
      </c>
      <c r="H203" s="15"/>
      <c r="I203" s="15"/>
      <c r="J203" s="1"/>
      <c r="K203" s="1"/>
      <c r="L203" s="1"/>
    </row>
    <row r="204" ht="15.75" customHeight="1">
      <c r="A204" s="15">
        <v>37946.0</v>
      </c>
      <c r="B204" s="3">
        <v>180217.58</v>
      </c>
      <c r="C204" s="3">
        <v>43543.07</v>
      </c>
      <c r="D204" s="3">
        <v>-4837.2</v>
      </c>
      <c r="E204" s="3">
        <f t="shared" si="1"/>
        <v>-0.02613928697</v>
      </c>
      <c r="H204" s="15"/>
      <c r="I204" s="15"/>
      <c r="J204" s="1"/>
      <c r="K204" s="1"/>
      <c r="L204" s="1"/>
    </row>
    <row r="205" ht="15.75" customHeight="1">
      <c r="A205" s="15">
        <v>37953.0</v>
      </c>
      <c r="B205" s="3">
        <v>179976.59</v>
      </c>
      <c r="C205" s="3">
        <v>43543.07</v>
      </c>
      <c r="D205" s="3">
        <v>-5078.19</v>
      </c>
      <c r="E205" s="3">
        <f t="shared" si="1"/>
        <v>-0.02744155001</v>
      </c>
      <c r="H205" s="15"/>
      <c r="I205" s="15"/>
      <c r="J205" s="1"/>
      <c r="K205" s="1"/>
      <c r="L205" s="1"/>
    </row>
    <row r="206" ht="15.75" customHeight="1">
      <c r="A206" s="15">
        <v>37960.0</v>
      </c>
      <c r="B206" s="3">
        <v>182087.03</v>
      </c>
      <c r="C206" s="3">
        <v>43543.07</v>
      </c>
      <c r="D206" s="3">
        <v>-2967.75</v>
      </c>
      <c r="E206" s="3">
        <f t="shared" si="1"/>
        <v>-0.01603714316</v>
      </c>
      <c r="H206" s="15"/>
      <c r="I206" s="15"/>
      <c r="J206" s="1"/>
      <c r="K206" s="1"/>
      <c r="L206" s="1"/>
    </row>
    <row r="207" ht="15.75" customHeight="1">
      <c r="A207" s="15">
        <v>37967.0</v>
      </c>
      <c r="B207" s="3">
        <v>180131.09</v>
      </c>
      <c r="C207" s="3">
        <v>43543.07</v>
      </c>
      <c r="D207" s="3">
        <v>-4923.69</v>
      </c>
      <c r="E207" s="3">
        <f t="shared" si="1"/>
        <v>-0.02660666209</v>
      </c>
      <c r="H207" s="15"/>
      <c r="I207" s="15"/>
      <c r="J207" s="1"/>
      <c r="K207" s="1"/>
      <c r="L207" s="1"/>
    </row>
    <row r="208" ht="15.75" customHeight="1">
      <c r="A208" s="15">
        <v>37974.0</v>
      </c>
      <c r="B208" s="3">
        <v>183760.84</v>
      </c>
      <c r="C208" s="3">
        <v>43543.07</v>
      </c>
      <c r="D208" s="3">
        <v>-1293.94</v>
      </c>
      <c r="E208" s="3">
        <f t="shared" si="1"/>
        <v>-0.006992199823</v>
      </c>
      <c r="H208" s="15"/>
      <c r="I208" s="15"/>
      <c r="J208" s="1"/>
      <c r="K208" s="1"/>
      <c r="L208" s="1"/>
    </row>
    <row r="209" ht="15.75" customHeight="1">
      <c r="A209" s="15">
        <v>37979.0</v>
      </c>
      <c r="B209" s="3">
        <v>187333.67</v>
      </c>
      <c r="C209" s="3">
        <v>8950.55</v>
      </c>
      <c r="D209" s="3">
        <v>0.0</v>
      </c>
      <c r="E209" s="3">
        <f t="shared" si="1"/>
        <v>0</v>
      </c>
      <c r="H209" s="15"/>
      <c r="I209" s="15"/>
      <c r="J209" s="1"/>
      <c r="K209" s="1"/>
      <c r="L209" s="1"/>
    </row>
    <row r="210" ht="15.75" customHeight="1">
      <c r="A210" s="15">
        <v>37988.0</v>
      </c>
      <c r="B210" s="3">
        <v>190651.8</v>
      </c>
      <c r="C210" s="3">
        <v>8950.55</v>
      </c>
      <c r="D210" s="3">
        <v>0.0</v>
      </c>
      <c r="E210" s="3">
        <f t="shared" si="1"/>
        <v>0</v>
      </c>
      <c r="H210" s="15"/>
      <c r="I210" s="15"/>
      <c r="J210" s="1"/>
      <c r="K210" s="1"/>
      <c r="L210" s="1"/>
    </row>
    <row r="211" ht="15.75" customHeight="1">
      <c r="A211" s="15">
        <v>37995.0</v>
      </c>
      <c r="B211" s="3">
        <v>191059.83</v>
      </c>
      <c r="C211" s="3">
        <v>8950.55</v>
      </c>
      <c r="D211" s="3">
        <v>0.0</v>
      </c>
      <c r="E211" s="3">
        <f t="shared" si="1"/>
        <v>0</v>
      </c>
      <c r="H211" s="15"/>
      <c r="I211" s="15"/>
      <c r="J211" s="1"/>
      <c r="K211" s="1"/>
      <c r="L211" s="1"/>
    </row>
    <row r="212" ht="15.75" customHeight="1">
      <c r="A212" s="15">
        <v>38002.0</v>
      </c>
      <c r="B212" s="3">
        <v>193277.28</v>
      </c>
      <c r="C212" s="3">
        <v>8950.55</v>
      </c>
      <c r="D212" s="3">
        <v>0.0</v>
      </c>
      <c r="E212" s="3">
        <f t="shared" si="1"/>
        <v>0</v>
      </c>
      <c r="H212" s="15"/>
      <c r="I212" s="15"/>
      <c r="J212" s="1"/>
      <c r="K212" s="1"/>
      <c r="L212" s="1"/>
    </row>
    <row r="213" ht="15.75" customHeight="1">
      <c r="A213" s="15">
        <v>38009.0</v>
      </c>
      <c r="B213" s="3">
        <v>196786.48</v>
      </c>
      <c r="C213" s="3">
        <v>8950.55</v>
      </c>
      <c r="D213" s="3">
        <v>0.0</v>
      </c>
      <c r="E213" s="3">
        <f t="shared" si="1"/>
        <v>0</v>
      </c>
      <c r="H213" s="15"/>
      <c r="I213" s="15"/>
      <c r="J213" s="1"/>
      <c r="K213" s="1"/>
      <c r="L213" s="1"/>
    </row>
    <row r="214" ht="15.75" customHeight="1">
      <c r="A214" s="15">
        <v>38016.0</v>
      </c>
      <c r="B214" s="3">
        <v>191058.34</v>
      </c>
      <c r="C214" s="3">
        <v>8950.55</v>
      </c>
      <c r="D214" s="3">
        <v>-5728.14</v>
      </c>
      <c r="E214" s="3">
        <f t="shared" si="1"/>
        <v>-0.02910840216</v>
      </c>
      <c r="H214" s="15"/>
      <c r="I214" s="15"/>
      <c r="J214" s="1"/>
      <c r="K214" s="1"/>
      <c r="L214" s="1"/>
    </row>
    <row r="215" ht="15.75" customHeight="1">
      <c r="A215" s="15">
        <v>38023.0</v>
      </c>
      <c r="B215" s="3">
        <v>190881.97</v>
      </c>
      <c r="C215" s="3">
        <v>8950.55</v>
      </c>
      <c r="D215" s="3">
        <v>-5904.52</v>
      </c>
      <c r="E215" s="3">
        <f t="shared" si="1"/>
        <v>-0.03000470358</v>
      </c>
      <c r="H215" s="15"/>
      <c r="I215" s="15"/>
      <c r="J215" s="1"/>
      <c r="K215" s="1"/>
      <c r="L215" s="1"/>
    </row>
    <row r="216" ht="15.75" customHeight="1">
      <c r="A216" s="15">
        <v>38030.0</v>
      </c>
      <c r="B216" s="3">
        <v>196831.98</v>
      </c>
      <c r="C216" s="3">
        <v>8950.55</v>
      </c>
      <c r="D216" s="3">
        <v>0.0</v>
      </c>
      <c r="E216" s="3">
        <f t="shared" si="1"/>
        <v>0</v>
      </c>
      <c r="H216" s="15"/>
      <c r="I216" s="15"/>
      <c r="J216" s="1"/>
      <c r="K216" s="1"/>
      <c r="L216" s="1"/>
    </row>
    <row r="217" ht="15.75" customHeight="1">
      <c r="A217" s="15">
        <v>38037.0</v>
      </c>
      <c r="B217" s="3">
        <v>196349.69</v>
      </c>
      <c r="C217" s="3">
        <v>8950.55</v>
      </c>
      <c r="D217" s="3">
        <v>-482.3</v>
      </c>
      <c r="E217" s="3">
        <f t="shared" si="1"/>
        <v>-0.002450313206</v>
      </c>
      <c r="H217" s="15"/>
      <c r="I217" s="15"/>
      <c r="J217" s="1"/>
      <c r="K217" s="1"/>
      <c r="L217" s="1"/>
    </row>
    <row r="218" ht="15.75" customHeight="1">
      <c r="A218" s="15">
        <v>38044.0</v>
      </c>
      <c r="B218" s="3">
        <v>197368.77</v>
      </c>
      <c r="C218" s="3">
        <v>8950.55</v>
      </c>
      <c r="D218" s="3">
        <v>0.0</v>
      </c>
      <c r="E218" s="3">
        <f t="shared" si="1"/>
        <v>0</v>
      </c>
      <c r="H218" s="15"/>
      <c r="I218" s="15"/>
      <c r="J218" s="1"/>
      <c r="K218" s="1"/>
      <c r="L218" s="1"/>
    </row>
    <row r="219" ht="15.75" customHeight="1">
      <c r="A219" s="15">
        <v>38051.0</v>
      </c>
      <c r="B219" s="3">
        <v>199448.73</v>
      </c>
      <c r="C219" s="3">
        <v>8950.55</v>
      </c>
      <c r="D219" s="3">
        <v>0.0</v>
      </c>
      <c r="E219" s="3">
        <f t="shared" si="1"/>
        <v>0</v>
      </c>
      <c r="H219" s="15"/>
      <c r="I219" s="15"/>
      <c r="J219" s="1"/>
      <c r="K219" s="1"/>
      <c r="L219" s="1"/>
    </row>
    <row r="220" ht="15.75" customHeight="1">
      <c r="A220" s="15">
        <v>38058.0</v>
      </c>
      <c r="B220" s="3">
        <v>198334.56</v>
      </c>
      <c r="C220" s="3">
        <v>8950.55</v>
      </c>
      <c r="D220" s="3">
        <v>-1114.17</v>
      </c>
      <c r="E220" s="3">
        <f t="shared" si="1"/>
        <v>-0.005586247654</v>
      </c>
      <c r="H220" s="15"/>
      <c r="I220" s="15"/>
      <c r="J220" s="1"/>
      <c r="K220" s="1"/>
      <c r="L220" s="1"/>
    </row>
    <row r="221" ht="15.75" customHeight="1">
      <c r="A221" s="15">
        <v>38065.0</v>
      </c>
      <c r="B221" s="3">
        <v>200423.52</v>
      </c>
      <c r="C221" s="3">
        <v>8950.55</v>
      </c>
      <c r="D221" s="3">
        <v>0.0</v>
      </c>
      <c r="E221" s="3">
        <f t="shared" si="1"/>
        <v>0</v>
      </c>
      <c r="H221" s="15"/>
      <c r="I221" s="15"/>
      <c r="J221" s="1"/>
      <c r="K221" s="1"/>
      <c r="L221" s="1"/>
    </row>
    <row r="222" ht="15.75" customHeight="1">
      <c r="A222" s="15">
        <v>38072.0</v>
      </c>
      <c r="B222" s="3">
        <v>201758.22</v>
      </c>
      <c r="C222" s="3">
        <v>8950.55</v>
      </c>
      <c r="D222" s="3">
        <v>0.0</v>
      </c>
      <c r="E222" s="3">
        <f t="shared" si="1"/>
        <v>0</v>
      </c>
      <c r="H222" s="15"/>
      <c r="I222" s="15"/>
      <c r="J222" s="1"/>
      <c r="K222" s="1"/>
      <c r="L222" s="1"/>
    </row>
    <row r="223" ht="15.75" customHeight="1">
      <c r="A223" s="15">
        <v>38079.0</v>
      </c>
      <c r="B223" s="3">
        <v>205096.47</v>
      </c>
      <c r="C223" s="3">
        <v>8950.55</v>
      </c>
      <c r="D223" s="3">
        <v>0.0</v>
      </c>
      <c r="E223" s="3">
        <f t="shared" si="1"/>
        <v>0</v>
      </c>
      <c r="H223" s="15"/>
      <c r="I223" s="15"/>
      <c r="J223" s="1"/>
      <c r="K223" s="1"/>
      <c r="L223" s="1"/>
    </row>
    <row r="224" ht="15.75" customHeight="1">
      <c r="A224" s="15">
        <v>38085.0</v>
      </c>
      <c r="B224" s="3">
        <v>204810.31</v>
      </c>
      <c r="C224" s="3">
        <v>8950.55</v>
      </c>
      <c r="D224" s="3">
        <v>-286.16</v>
      </c>
      <c r="E224" s="3">
        <f t="shared" si="1"/>
        <v>-0.001395245857</v>
      </c>
      <c r="H224" s="15"/>
      <c r="I224" s="15"/>
      <c r="J224" s="1"/>
      <c r="K224" s="1"/>
      <c r="L224" s="1"/>
    </row>
    <row r="225" ht="15.75" customHeight="1">
      <c r="A225" s="15">
        <v>38093.0</v>
      </c>
      <c r="B225" s="3">
        <v>204120.86</v>
      </c>
      <c r="C225" s="3">
        <v>8950.55</v>
      </c>
      <c r="D225" s="3">
        <v>-975.61</v>
      </c>
      <c r="E225" s="3">
        <f t="shared" si="1"/>
        <v>-0.004756834674</v>
      </c>
      <c r="H225" s="15"/>
      <c r="I225" s="15"/>
      <c r="J225" s="1"/>
      <c r="K225" s="1"/>
      <c r="L225" s="1"/>
    </row>
    <row r="226" ht="15.75" customHeight="1">
      <c r="A226" s="15">
        <v>38100.0</v>
      </c>
      <c r="B226" s="3">
        <v>208007.84</v>
      </c>
      <c r="C226" s="3">
        <v>8950.55</v>
      </c>
      <c r="D226" s="3">
        <v>0.0</v>
      </c>
      <c r="E226" s="3">
        <f t="shared" si="1"/>
        <v>0</v>
      </c>
      <c r="H226" s="15"/>
      <c r="I226" s="15"/>
      <c r="J226" s="1"/>
      <c r="K226" s="1"/>
      <c r="L226" s="1"/>
    </row>
    <row r="227" ht="15.75" customHeight="1">
      <c r="A227" s="15">
        <v>38107.0</v>
      </c>
      <c r="B227" s="3">
        <v>205438.86</v>
      </c>
      <c r="C227" s="3">
        <v>5374.27</v>
      </c>
      <c r="D227" s="3">
        <v>-2568.98</v>
      </c>
      <c r="E227" s="3">
        <f t="shared" si="1"/>
        <v>-0.01235039987</v>
      </c>
      <c r="H227" s="15"/>
      <c r="I227" s="15"/>
      <c r="J227" s="1"/>
      <c r="K227" s="1"/>
      <c r="L227" s="1"/>
    </row>
    <row r="228" ht="15.75" customHeight="1">
      <c r="A228" s="15">
        <v>38114.0</v>
      </c>
      <c r="B228" s="3">
        <v>208492.41</v>
      </c>
      <c r="C228" s="3">
        <v>5374.27</v>
      </c>
      <c r="D228" s="3">
        <v>0.0</v>
      </c>
      <c r="E228" s="3">
        <f t="shared" si="1"/>
        <v>0</v>
      </c>
      <c r="H228" s="15"/>
      <c r="I228" s="15"/>
      <c r="J228" s="1"/>
      <c r="K228" s="1"/>
      <c r="L228" s="1"/>
    </row>
    <row r="229" ht="15.75" customHeight="1">
      <c r="A229" s="15">
        <v>38121.0</v>
      </c>
      <c r="B229" s="3">
        <v>203036.48</v>
      </c>
      <c r="C229" s="3">
        <v>5374.27</v>
      </c>
      <c r="D229" s="3">
        <v>-5455.92</v>
      </c>
      <c r="E229" s="3">
        <f t="shared" si="1"/>
        <v>-0.02616843462</v>
      </c>
      <c r="H229" s="15"/>
      <c r="I229" s="15"/>
      <c r="J229" s="1"/>
      <c r="K229" s="1"/>
      <c r="L229" s="1"/>
    </row>
    <row r="230" ht="15.75" customHeight="1">
      <c r="A230" s="15">
        <v>38128.0</v>
      </c>
      <c r="B230" s="3">
        <v>204909.44</v>
      </c>
      <c r="C230" s="3">
        <v>5374.27</v>
      </c>
      <c r="D230" s="3">
        <v>-3582.97</v>
      </c>
      <c r="E230" s="3">
        <f t="shared" si="1"/>
        <v>-0.01718513398</v>
      </c>
      <c r="H230" s="15"/>
      <c r="I230" s="15"/>
      <c r="J230" s="1"/>
      <c r="K230" s="1"/>
      <c r="L230" s="1"/>
    </row>
    <row r="231" ht="15.75" customHeight="1">
      <c r="A231" s="15">
        <v>38135.0</v>
      </c>
      <c r="B231" s="3">
        <v>211647.27</v>
      </c>
      <c r="C231" s="3">
        <v>14888.91</v>
      </c>
      <c r="D231" s="3">
        <v>0.0</v>
      </c>
      <c r="E231" s="3">
        <f t="shared" si="1"/>
        <v>0</v>
      </c>
      <c r="H231" s="15"/>
      <c r="I231" s="15"/>
      <c r="J231" s="1"/>
      <c r="K231" s="1"/>
      <c r="L231" s="1"/>
    </row>
    <row r="232" ht="15.75" customHeight="1">
      <c r="A232" s="15">
        <v>38142.0</v>
      </c>
      <c r="B232" s="3">
        <v>212672.81</v>
      </c>
      <c r="C232" s="3">
        <v>1586.12</v>
      </c>
      <c r="D232" s="3">
        <v>0.0</v>
      </c>
      <c r="E232" s="3">
        <f t="shared" si="1"/>
        <v>0</v>
      </c>
      <c r="H232" s="15"/>
      <c r="I232" s="15"/>
      <c r="J232" s="1"/>
      <c r="K232" s="1"/>
      <c r="L232" s="1"/>
    </row>
    <row r="233" ht="15.75" customHeight="1">
      <c r="A233" s="15">
        <v>38149.0</v>
      </c>
      <c r="B233" s="3">
        <v>212154.83</v>
      </c>
      <c r="C233" s="3">
        <v>1586.12</v>
      </c>
      <c r="D233" s="3">
        <v>-517.98</v>
      </c>
      <c r="E233" s="3">
        <f t="shared" si="1"/>
        <v>-0.002435572276</v>
      </c>
      <c r="H233" s="15"/>
      <c r="I233" s="15"/>
      <c r="J233" s="1"/>
      <c r="K233" s="1"/>
      <c r="L233" s="1"/>
    </row>
    <row r="234" ht="15.75" customHeight="1">
      <c r="A234" s="15">
        <v>38156.0</v>
      </c>
      <c r="B234" s="3">
        <v>219033.58</v>
      </c>
      <c r="C234" s="3">
        <v>1586.12</v>
      </c>
      <c r="D234" s="3">
        <v>0.0</v>
      </c>
      <c r="E234" s="3">
        <f t="shared" si="1"/>
        <v>0</v>
      </c>
      <c r="H234" s="15"/>
      <c r="I234" s="15"/>
      <c r="J234" s="1"/>
      <c r="K234" s="1"/>
      <c r="L234" s="1"/>
    </row>
    <row r="235" ht="15.75" customHeight="1">
      <c r="A235" s="15">
        <v>38163.0</v>
      </c>
      <c r="B235" s="3">
        <v>217893.34</v>
      </c>
      <c r="C235" s="3">
        <v>1586.12</v>
      </c>
      <c r="D235" s="3">
        <v>-1140.23</v>
      </c>
      <c r="E235" s="3">
        <f t="shared" si="1"/>
        <v>-0.005205731468</v>
      </c>
      <c r="H235" s="15"/>
      <c r="I235" s="15"/>
      <c r="J235" s="1"/>
      <c r="K235" s="1"/>
      <c r="L235" s="1"/>
    </row>
    <row r="236" ht="15.75" customHeight="1">
      <c r="A236" s="15">
        <v>38170.0</v>
      </c>
      <c r="B236" s="3">
        <v>218410.23</v>
      </c>
      <c r="C236" s="3">
        <v>1586.12</v>
      </c>
      <c r="D236" s="3">
        <v>-623.34</v>
      </c>
      <c r="E236" s="3">
        <f t="shared" si="1"/>
        <v>-0.002845865004</v>
      </c>
      <c r="H236" s="15"/>
      <c r="I236" s="15"/>
      <c r="J236" s="1"/>
      <c r="K236" s="1"/>
      <c r="L236" s="1"/>
    </row>
    <row r="237" ht="15.75" customHeight="1">
      <c r="A237" s="15">
        <v>38177.0</v>
      </c>
      <c r="B237" s="3">
        <v>221159.08</v>
      </c>
      <c r="C237" s="3">
        <v>1586.12</v>
      </c>
      <c r="D237" s="3">
        <v>0.0</v>
      </c>
      <c r="E237" s="3">
        <f t="shared" si="1"/>
        <v>0</v>
      </c>
      <c r="H237" s="15"/>
      <c r="I237" s="15"/>
      <c r="J237" s="1"/>
      <c r="K237" s="1"/>
      <c r="L237" s="1"/>
    </row>
    <row r="238" ht="15.75" customHeight="1">
      <c r="A238" s="15">
        <v>38184.0</v>
      </c>
      <c r="B238" s="3">
        <v>221216.39</v>
      </c>
      <c r="C238" s="3">
        <v>1586.12</v>
      </c>
      <c r="D238" s="3">
        <v>0.0</v>
      </c>
      <c r="E238" s="3">
        <f t="shared" si="1"/>
        <v>0</v>
      </c>
      <c r="H238" s="15"/>
      <c r="I238" s="15"/>
      <c r="J238" s="1"/>
      <c r="K238" s="1"/>
      <c r="L238" s="1"/>
    </row>
    <row r="239" ht="15.75" customHeight="1">
      <c r="A239" s="15">
        <v>38191.0</v>
      </c>
      <c r="B239" s="3">
        <v>221918.3</v>
      </c>
      <c r="C239" s="3">
        <v>1586.12</v>
      </c>
      <c r="D239" s="3">
        <v>0.0</v>
      </c>
      <c r="E239" s="3">
        <f t="shared" si="1"/>
        <v>0</v>
      </c>
      <c r="H239" s="15"/>
      <c r="I239" s="15"/>
      <c r="J239" s="1"/>
      <c r="K239" s="1"/>
      <c r="L239" s="1"/>
    </row>
    <row r="240" ht="15.75" customHeight="1">
      <c r="A240" s="15">
        <v>38198.0</v>
      </c>
      <c r="B240" s="3">
        <v>228468.45</v>
      </c>
      <c r="C240" s="3">
        <v>1586.12</v>
      </c>
      <c r="D240" s="3">
        <v>0.0</v>
      </c>
      <c r="E240" s="3">
        <f t="shared" si="1"/>
        <v>0</v>
      </c>
      <c r="H240" s="15"/>
      <c r="I240" s="15"/>
      <c r="J240" s="1"/>
      <c r="K240" s="1"/>
      <c r="L240" s="1"/>
    </row>
    <row r="241" ht="15.75" customHeight="1">
      <c r="A241" s="15">
        <v>38205.0</v>
      </c>
      <c r="B241" s="3">
        <v>227486.75</v>
      </c>
      <c r="C241" s="3">
        <v>1586.12</v>
      </c>
      <c r="D241" s="3">
        <v>-981.7</v>
      </c>
      <c r="E241" s="3">
        <f t="shared" si="1"/>
        <v>-0.004296873376</v>
      </c>
      <c r="H241" s="15"/>
      <c r="I241" s="15"/>
      <c r="J241" s="1"/>
      <c r="K241" s="1"/>
      <c r="L241" s="1"/>
    </row>
    <row r="242" ht="15.75" customHeight="1">
      <c r="A242" s="15">
        <v>38212.0</v>
      </c>
      <c r="B242" s="3">
        <v>222466.0</v>
      </c>
      <c r="C242" s="3">
        <v>1586.12</v>
      </c>
      <c r="D242" s="3">
        <v>-6002.45</v>
      </c>
      <c r="E242" s="3">
        <f t="shared" si="1"/>
        <v>-0.02627255536</v>
      </c>
      <c r="H242" s="15"/>
      <c r="I242" s="15"/>
      <c r="J242" s="1"/>
      <c r="K242" s="1"/>
      <c r="L242" s="1"/>
    </row>
    <row r="243" ht="15.75" customHeight="1">
      <c r="A243" s="15">
        <v>38219.0</v>
      </c>
      <c r="B243" s="3">
        <v>224324.16</v>
      </c>
      <c r="C243" s="3">
        <v>1586.12</v>
      </c>
      <c r="D243" s="3">
        <v>-4144.3</v>
      </c>
      <c r="E243" s="3">
        <f t="shared" si="1"/>
        <v>-0.0181394849</v>
      </c>
      <c r="H243" s="15"/>
      <c r="I243" s="15"/>
      <c r="J243" s="1"/>
      <c r="K243" s="1"/>
      <c r="L243" s="1"/>
    </row>
    <row r="244" ht="15.75" customHeight="1">
      <c r="A244" s="15">
        <v>38226.0</v>
      </c>
      <c r="B244" s="3">
        <v>231565.83</v>
      </c>
      <c r="C244" s="3">
        <v>4779.7</v>
      </c>
      <c r="D244" s="3">
        <v>0.0</v>
      </c>
      <c r="E244" s="3">
        <f t="shared" si="1"/>
        <v>0</v>
      </c>
      <c r="H244" s="15"/>
      <c r="I244" s="15"/>
      <c r="J244" s="1"/>
      <c r="K244" s="1"/>
      <c r="L244" s="1"/>
    </row>
    <row r="245" ht="15.75" customHeight="1">
      <c r="A245" s="15">
        <v>38233.0</v>
      </c>
      <c r="B245" s="3">
        <v>233104.58</v>
      </c>
      <c r="C245" s="3">
        <v>4779.7</v>
      </c>
      <c r="D245" s="3">
        <v>0.0</v>
      </c>
      <c r="E245" s="3">
        <f t="shared" si="1"/>
        <v>0</v>
      </c>
      <c r="H245" s="15"/>
      <c r="I245" s="15"/>
      <c r="J245" s="1"/>
      <c r="K245" s="1"/>
      <c r="L245" s="1"/>
    </row>
    <row r="246" ht="15.75" customHeight="1">
      <c r="A246" s="15">
        <v>38240.0</v>
      </c>
      <c r="B246" s="3">
        <v>236101.22</v>
      </c>
      <c r="C246" s="3">
        <v>4779.7</v>
      </c>
      <c r="D246" s="3">
        <v>0.0</v>
      </c>
      <c r="E246" s="3">
        <f t="shared" si="1"/>
        <v>0</v>
      </c>
      <c r="H246" s="15"/>
      <c r="I246" s="15"/>
      <c r="J246" s="1"/>
      <c r="K246" s="1"/>
      <c r="L246" s="1"/>
    </row>
    <row r="247" ht="15.75" customHeight="1">
      <c r="A247" s="15">
        <v>38247.0</v>
      </c>
      <c r="B247" s="3">
        <v>239939.3</v>
      </c>
      <c r="C247" s="3">
        <v>4779.7</v>
      </c>
      <c r="D247" s="3">
        <v>0.0</v>
      </c>
      <c r="E247" s="3">
        <f t="shared" si="1"/>
        <v>0</v>
      </c>
      <c r="H247" s="15"/>
      <c r="I247" s="15"/>
      <c r="J247" s="1"/>
      <c r="K247" s="1"/>
      <c r="L247" s="1"/>
    </row>
    <row r="248" ht="15.75" customHeight="1">
      <c r="A248" s="15">
        <v>38254.0</v>
      </c>
      <c r="B248" s="3">
        <v>242591.7</v>
      </c>
      <c r="C248" s="3">
        <v>4779.7</v>
      </c>
      <c r="D248" s="3">
        <v>0.0</v>
      </c>
      <c r="E248" s="3">
        <f t="shared" si="1"/>
        <v>0</v>
      </c>
      <c r="H248" s="15"/>
      <c r="I248" s="15"/>
      <c r="J248" s="1"/>
      <c r="K248" s="1"/>
      <c r="L248" s="1"/>
    </row>
    <row r="249" ht="15.75" customHeight="1">
      <c r="A249" s="15">
        <v>38261.0</v>
      </c>
      <c r="B249" s="3">
        <v>242497.92</v>
      </c>
      <c r="C249" s="3">
        <v>4779.7</v>
      </c>
      <c r="D249" s="3">
        <v>-93.78</v>
      </c>
      <c r="E249" s="3">
        <f t="shared" si="1"/>
        <v>-0.0003865754682</v>
      </c>
      <c r="H249" s="15"/>
      <c r="I249" s="15"/>
      <c r="J249" s="1"/>
      <c r="K249" s="1"/>
      <c r="L249" s="1"/>
    </row>
    <row r="250" ht="15.75" customHeight="1">
      <c r="A250" s="15">
        <v>38268.0</v>
      </c>
      <c r="B250" s="3">
        <v>243537.64</v>
      </c>
      <c r="C250" s="3">
        <v>4779.7</v>
      </c>
      <c r="D250" s="3">
        <v>0.0</v>
      </c>
      <c r="E250" s="3">
        <f t="shared" si="1"/>
        <v>0</v>
      </c>
      <c r="H250" s="15"/>
      <c r="I250" s="15"/>
      <c r="J250" s="1"/>
      <c r="K250" s="1"/>
      <c r="L250" s="1"/>
    </row>
    <row r="251" ht="15.75" customHeight="1">
      <c r="A251" s="15">
        <v>38275.0</v>
      </c>
      <c r="B251" s="3">
        <v>252533.92</v>
      </c>
      <c r="C251" s="3">
        <v>3477.16</v>
      </c>
      <c r="D251" s="3">
        <v>0.0</v>
      </c>
      <c r="E251" s="3">
        <f t="shared" si="1"/>
        <v>0</v>
      </c>
      <c r="H251" s="15"/>
      <c r="I251" s="15"/>
      <c r="J251" s="1"/>
      <c r="K251" s="1"/>
      <c r="L251" s="1"/>
    </row>
    <row r="252" ht="15.75" customHeight="1">
      <c r="A252" s="15">
        <v>38282.0</v>
      </c>
      <c r="B252" s="3">
        <v>259435.27</v>
      </c>
      <c r="C252" s="3">
        <v>3477.16</v>
      </c>
      <c r="D252" s="3">
        <v>0.0</v>
      </c>
      <c r="E252" s="3">
        <f t="shared" si="1"/>
        <v>0</v>
      </c>
      <c r="H252" s="15"/>
      <c r="I252" s="15"/>
      <c r="J252" s="1"/>
      <c r="K252" s="1"/>
      <c r="L252" s="1"/>
    </row>
    <row r="253" ht="15.75" customHeight="1">
      <c r="A253" s="15">
        <v>38289.0</v>
      </c>
      <c r="B253" s="3">
        <v>265218.44</v>
      </c>
      <c r="C253" s="3">
        <v>3477.16</v>
      </c>
      <c r="D253" s="3">
        <v>0.0</v>
      </c>
      <c r="E253" s="3">
        <f t="shared" si="1"/>
        <v>0</v>
      </c>
      <c r="H253" s="15"/>
      <c r="I253" s="15"/>
      <c r="J253" s="1"/>
      <c r="K253" s="1"/>
      <c r="L253" s="1"/>
    </row>
    <row r="254" ht="15.75" customHeight="1">
      <c r="A254" s="15">
        <v>38296.0</v>
      </c>
      <c r="B254" s="3">
        <v>267534.78</v>
      </c>
      <c r="C254" s="3">
        <v>3477.16</v>
      </c>
      <c r="D254" s="3">
        <v>0.0</v>
      </c>
      <c r="E254" s="3">
        <f t="shared" si="1"/>
        <v>0</v>
      </c>
      <c r="H254" s="15"/>
      <c r="I254" s="15"/>
      <c r="J254" s="1"/>
      <c r="K254" s="1"/>
      <c r="L254" s="1"/>
    </row>
    <row r="255" ht="15.75" customHeight="1">
      <c r="A255" s="15">
        <v>38303.0</v>
      </c>
      <c r="B255" s="3">
        <v>268599.81</v>
      </c>
      <c r="C255" s="3">
        <v>3477.16</v>
      </c>
      <c r="D255" s="3">
        <v>0.0</v>
      </c>
      <c r="E255" s="3">
        <f t="shared" si="1"/>
        <v>0</v>
      </c>
      <c r="H255" s="15"/>
      <c r="I255" s="15"/>
      <c r="J255" s="1"/>
      <c r="K255" s="1"/>
      <c r="L255" s="1"/>
    </row>
    <row r="256" ht="15.75" customHeight="1">
      <c r="A256" s="15">
        <v>38310.0</v>
      </c>
      <c r="B256" s="3">
        <v>268319.16</v>
      </c>
      <c r="C256" s="3">
        <v>3477.16</v>
      </c>
      <c r="D256" s="3">
        <v>-280.66</v>
      </c>
      <c r="E256" s="3">
        <f t="shared" si="1"/>
        <v>-0.001044900218</v>
      </c>
      <c r="H256" s="15"/>
      <c r="I256" s="15"/>
      <c r="J256" s="1"/>
      <c r="K256" s="1"/>
      <c r="L256" s="1"/>
    </row>
    <row r="257" ht="15.75" customHeight="1">
      <c r="A257" s="15">
        <v>38317.0</v>
      </c>
      <c r="B257" s="3">
        <v>270955.22</v>
      </c>
      <c r="C257" s="3">
        <v>3477.16</v>
      </c>
      <c r="D257" s="3">
        <v>0.0</v>
      </c>
      <c r="E257" s="3">
        <f t="shared" si="1"/>
        <v>0</v>
      </c>
      <c r="H257" s="15"/>
      <c r="I257" s="15"/>
      <c r="J257" s="1"/>
      <c r="K257" s="1"/>
      <c r="L257" s="1"/>
    </row>
    <row r="258" ht="15.75" customHeight="1">
      <c r="A258" s="15">
        <v>38324.0</v>
      </c>
      <c r="B258" s="3">
        <v>273080.72</v>
      </c>
      <c r="C258" s="3">
        <v>3477.16</v>
      </c>
      <c r="D258" s="3">
        <v>0.0</v>
      </c>
      <c r="E258" s="3">
        <f t="shared" si="1"/>
        <v>0</v>
      </c>
      <c r="H258" s="15"/>
      <c r="I258" s="15"/>
      <c r="J258" s="1"/>
      <c r="K258" s="1"/>
      <c r="L258" s="1"/>
    </row>
    <row r="259" ht="15.75" customHeight="1">
      <c r="A259" s="15">
        <v>38331.0</v>
      </c>
      <c r="B259" s="3">
        <v>269216.31</v>
      </c>
      <c r="C259" s="3">
        <v>3477.16</v>
      </c>
      <c r="D259" s="3">
        <v>-3864.41</v>
      </c>
      <c r="E259" s="3">
        <f t="shared" si="1"/>
        <v>-0.0141511638</v>
      </c>
      <c r="H259" s="15"/>
      <c r="I259" s="15"/>
      <c r="J259" s="1"/>
      <c r="K259" s="1"/>
      <c r="L259" s="1"/>
    </row>
    <row r="260" ht="15.75" customHeight="1">
      <c r="A260" s="15">
        <v>38338.0</v>
      </c>
      <c r="B260" s="3">
        <v>275177.22</v>
      </c>
      <c r="C260" s="3">
        <v>3477.16</v>
      </c>
      <c r="D260" s="3">
        <v>0.0</v>
      </c>
      <c r="E260" s="3">
        <f t="shared" si="1"/>
        <v>0</v>
      </c>
      <c r="H260" s="15"/>
      <c r="I260" s="15"/>
      <c r="J260" s="1"/>
      <c r="K260" s="1"/>
      <c r="L260" s="1"/>
    </row>
    <row r="261" ht="15.75" customHeight="1">
      <c r="A261" s="15">
        <v>38345.0</v>
      </c>
      <c r="B261" s="3">
        <v>283427.28</v>
      </c>
      <c r="C261" s="3">
        <v>3477.16</v>
      </c>
      <c r="D261" s="3">
        <v>0.0</v>
      </c>
      <c r="E261" s="3">
        <f t="shared" si="1"/>
        <v>0</v>
      </c>
      <c r="H261" s="15"/>
      <c r="I261" s="15"/>
      <c r="J261" s="1"/>
      <c r="K261" s="1"/>
      <c r="L261" s="1"/>
    </row>
    <row r="262" ht="15.75" customHeight="1">
      <c r="A262" s="15">
        <v>38352.0</v>
      </c>
      <c r="B262" s="3">
        <v>284725.25</v>
      </c>
      <c r="C262" s="3">
        <v>491.17</v>
      </c>
      <c r="D262" s="3">
        <v>0.0</v>
      </c>
      <c r="E262" s="3">
        <f t="shared" si="1"/>
        <v>0</v>
      </c>
      <c r="H262" s="15"/>
      <c r="I262" s="15"/>
      <c r="J262" s="1"/>
      <c r="K262" s="1"/>
      <c r="L262" s="1"/>
    </row>
    <row r="263" ht="15.75" customHeight="1">
      <c r="A263" s="15">
        <v>38359.0</v>
      </c>
      <c r="B263" s="3">
        <v>290297.22</v>
      </c>
      <c r="C263" s="3">
        <v>491.17</v>
      </c>
      <c r="D263" s="3">
        <v>0.0</v>
      </c>
      <c r="E263" s="3">
        <f t="shared" si="1"/>
        <v>0</v>
      </c>
      <c r="H263" s="15"/>
      <c r="I263" s="15"/>
      <c r="J263" s="1"/>
      <c r="K263" s="1"/>
      <c r="L263" s="1"/>
    </row>
    <row r="264" ht="15.75" customHeight="1">
      <c r="A264" s="15">
        <v>38366.0</v>
      </c>
      <c r="B264" s="3">
        <v>294029.06</v>
      </c>
      <c r="C264" s="3">
        <v>491.17</v>
      </c>
      <c r="D264" s="3">
        <v>0.0</v>
      </c>
      <c r="E264" s="3">
        <f t="shared" si="1"/>
        <v>0</v>
      </c>
      <c r="H264" s="15"/>
      <c r="I264" s="15"/>
      <c r="J264" s="1"/>
      <c r="K264" s="1"/>
      <c r="L264" s="1"/>
    </row>
    <row r="265" ht="15.75" customHeight="1">
      <c r="A265" s="15">
        <v>38373.0</v>
      </c>
      <c r="B265" s="3">
        <v>296228.69</v>
      </c>
      <c r="C265" s="3">
        <v>491.17</v>
      </c>
      <c r="D265" s="3">
        <v>0.0</v>
      </c>
      <c r="E265" s="3">
        <f t="shared" si="1"/>
        <v>0</v>
      </c>
      <c r="H265" s="15"/>
      <c r="I265" s="15"/>
      <c r="J265" s="1"/>
      <c r="K265" s="1"/>
      <c r="L265" s="1"/>
    </row>
    <row r="266" ht="15.75" customHeight="1">
      <c r="A266" s="15">
        <v>38380.0</v>
      </c>
      <c r="B266" s="3">
        <v>298283.78</v>
      </c>
      <c r="C266" s="3">
        <v>491.17</v>
      </c>
      <c r="D266" s="3">
        <v>0.0</v>
      </c>
      <c r="E266" s="3">
        <f t="shared" si="1"/>
        <v>0</v>
      </c>
      <c r="H266" s="15"/>
      <c r="I266" s="15"/>
      <c r="J266" s="1"/>
      <c r="K266" s="1"/>
      <c r="L266" s="1"/>
    </row>
    <row r="267" ht="15.75" customHeight="1">
      <c r="A267" s="15">
        <v>38387.0</v>
      </c>
      <c r="B267" s="3">
        <v>304758.25</v>
      </c>
      <c r="C267" s="3">
        <v>491.17</v>
      </c>
      <c r="D267" s="3">
        <v>0.0</v>
      </c>
      <c r="E267" s="3">
        <f t="shared" si="1"/>
        <v>0</v>
      </c>
      <c r="H267" s="15"/>
      <c r="I267" s="15"/>
      <c r="J267" s="1"/>
      <c r="K267" s="1"/>
      <c r="L267" s="1"/>
    </row>
    <row r="268" ht="15.75" customHeight="1">
      <c r="A268" s="15">
        <v>38394.0</v>
      </c>
      <c r="B268" s="3">
        <v>306752.38</v>
      </c>
      <c r="C268" s="3">
        <v>491.17</v>
      </c>
      <c r="D268" s="3">
        <v>0.0</v>
      </c>
      <c r="E268" s="3">
        <f t="shared" si="1"/>
        <v>0</v>
      </c>
      <c r="H268" s="15"/>
      <c r="I268" s="15"/>
      <c r="J268" s="1"/>
      <c r="K268" s="1"/>
      <c r="L268" s="1"/>
    </row>
    <row r="269" ht="15.75" customHeight="1">
      <c r="A269" s="15">
        <v>38401.0</v>
      </c>
      <c r="B269" s="3">
        <v>304828.75</v>
      </c>
      <c r="C269" s="3">
        <v>491.17</v>
      </c>
      <c r="D269" s="3">
        <v>-1923.63</v>
      </c>
      <c r="E269" s="3">
        <f t="shared" si="1"/>
        <v>-0.00627095379</v>
      </c>
      <c r="H269" s="15"/>
      <c r="I269" s="15"/>
      <c r="J269" s="1"/>
      <c r="K269" s="1"/>
      <c r="L269" s="1"/>
    </row>
    <row r="270" ht="15.75" customHeight="1">
      <c r="A270" s="15">
        <v>38408.0</v>
      </c>
      <c r="B270" s="3">
        <v>298516.28</v>
      </c>
      <c r="C270" s="3">
        <v>491.17</v>
      </c>
      <c r="D270" s="3">
        <v>-8236.09</v>
      </c>
      <c r="E270" s="3">
        <f t="shared" si="1"/>
        <v>-0.02684931084</v>
      </c>
      <c r="H270" s="15"/>
      <c r="I270" s="15"/>
      <c r="J270" s="1"/>
      <c r="K270" s="1"/>
      <c r="L270" s="1"/>
    </row>
    <row r="271" ht="15.75" customHeight="1">
      <c r="A271" s="15">
        <v>38415.0</v>
      </c>
      <c r="B271" s="3">
        <v>303585.31</v>
      </c>
      <c r="C271" s="3">
        <v>491.17</v>
      </c>
      <c r="D271" s="3">
        <v>-3167.06</v>
      </c>
      <c r="E271" s="3">
        <f t="shared" si="1"/>
        <v>-0.01032448387</v>
      </c>
      <c r="H271" s="15"/>
      <c r="I271" s="15"/>
      <c r="J271" s="1"/>
      <c r="K271" s="1"/>
      <c r="L271" s="1"/>
    </row>
    <row r="272" ht="15.75" customHeight="1">
      <c r="A272" s="15">
        <v>38422.0</v>
      </c>
      <c r="B272" s="3">
        <v>312796.03</v>
      </c>
      <c r="C272" s="3">
        <v>491.17</v>
      </c>
      <c r="D272" s="3">
        <v>0.0</v>
      </c>
      <c r="E272" s="3">
        <f t="shared" si="1"/>
        <v>0</v>
      </c>
      <c r="H272" s="15"/>
      <c r="I272" s="15"/>
      <c r="J272" s="1"/>
      <c r="K272" s="1"/>
      <c r="L272" s="1"/>
    </row>
    <row r="273" ht="15.75" customHeight="1">
      <c r="A273" s="15">
        <v>38429.0</v>
      </c>
      <c r="B273" s="3">
        <v>317350.44</v>
      </c>
      <c r="C273" s="3">
        <v>491.17</v>
      </c>
      <c r="D273" s="3">
        <v>0.0</v>
      </c>
      <c r="E273" s="3">
        <f t="shared" si="1"/>
        <v>0</v>
      </c>
      <c r="H273" s="15"/>
      <c r="I273" s="15"/>
      <c r="J273" s="1"/>
      <c r="K273" s="1"/>
      <c r="L273" s="1"/>
    </row>
    <row r="274" ht="15.75" customHeight="1">
      <c r="A274" s="15">
        <v>38435.0</v>
      </c>
      <c r="B274" s="3">
        <v>304035.75</v>
      </c>
      <c r="C274" s="3">
        <v>491.17</v>
      </c>
      <c r="D274" s="3">
        <v>-13314.69</v>
      </c>
      <c r="E274" s="3">
        <f t="shared" si="1"/>
        <v>-0.04195579499</v>
      </c>
      <c r="H274" s="15"/>
      <c r="I274" s="15"/>
      <c r="J274" s="1"/>
      <c r="K274" s="1"/>
      <c r="L274" s="1"/>
    </row>
    <row r="275" ht="15.75" customHeight="1">
      <c r="A275" s="15">
        <v>38443.0</v>
      </c>
      <c r="B275" s="3">
        <v>306929.06</v>
      </c>
      <c r="C275" s="3">
        <v>491.17</v>
      </c>
      <c r="D275" s="3">
        <v>-10421.38</v>
      </c>
      <c r="E275" s="3">
        <f t="shared" si="1"/>
        <v>-0.03283871294</v>
      </c>
      <c r="H275" s="15"/>
      <c r="I275" s="15"/>
      <c r="J275" s="1"/>
      <c r="K275" s="1"/>
      <c r="L275" s="1"/>
    </row>
    <row r="276" ht="15.75" customHeight="1">
      <c r="A276" s="15">
        <v>38450.0</v>
      </c>
      <c r="B276" s="3">
        <v>307639.69</v>
      </c>
      <c r="C276" s="3">
        <v>491.17</v>
      </c>
      <c r="D276" s="3">
        <v>-9710.75</v>
      </c>
      <c r="E276" s="3">
        <f t="shared" si="1"/>
        <v>-0.0305994534</v>
      </c>
      <c r="H276" s="15"/>
      <c r="I276" s="15"/>
      <c r="J276" s="1"/>
      <c r="K276" s="1"/>
      <c r="L276" s="1"/>
    </row>
    <row r="277" ht="15.75" customHeight="1">
      <c r="A277" s="15">
        <v>38457.0</v>
      </c>
      <c r="B277" s="3">
        <v>297569.84</v>
      </c>
      <c r="C277" s="3">
        <v>491.17</v>
      </c>
      <c r="D277" s="3">
        <v>-19780.59</v>
      </c>
      <c r="E277" s="3">
        <f t="shared" si="1"/>
        <v>-0.06233043194</v>
      </c>
      <c r="H277" s="15"/>
      <c r="I277" s="15"/>
      <c r="J277" s="1"/>
      <c r="K277" s="1"/>
      <c r="L277" s="1"/>
    </row>
    <row r="278" ht="15.75" customHeight="1">
      <c r="A278" s="15">
        <v>38464.0</v>
      </c>
      <c r="B278" s="3">
        <v>300006.06</v>
      </c>
      <c r="C278" s="3">
        <v>491.17</v>
      </c>
      <c r="D278" s="3">
        <v>-17344.38</v>
      </c>
      <c r="E278" s="3">
        <f t="shared" si="1"/>
        <v>-0.05465371342</v>
      </c>
      <c r="H278" s="15"/>
      <c r="I278" s="15"/>
      <c r="J278" s="1"/>
      <c r="K278" s="1"/>
      <c r="L278" s="1"/>
    </row>
    <row r="279" ht="15.75" customHeight="1">
      <c r="A279" s="15">
        <v>38471.0</v>
      </c>
      <c r="B279" s="3">
        <v>291237.56</v>
      </c>
      <c r="C279" s="3">
        <v>23403.64</v>
      </c>
      <c r="D279" s="3">
        <v>-26112.88</v>
      </c>
      <c r="E279" s="3">
        <f t="shared" si="1"/>
        <v>-0.08228405166</v>
      </c>
      <c r="H279" s="15"/>
      <c r="I279" s="15"/>
      <c r="J279" s="1"/>
      <c r="K279" s="1"/>
      <c r="L279" s="1"/>
    </row>
    <row r="280" ht="15.75" customHeight="1">
      <c r="A280" s="15">
        <v>38478.0</v>
      </c>
      <c r="B280" s="3">
        <v>284863.75</v>
      </c>
      <c r="C280" s="3">
        <v>23403.64</v>
      </c>
      <c r="D280" s="3">
        <v>-32486.69</v>
      </c>
      <c r="E280" s="3">
        <f t="shared" si="1"/>
        <v>-0.1023685047</v>
      </c>
      <c r="H280" s="15"/>
      <c r="I280" s="15"/>
      <c r="J280" s="1"/>
      <c r="K280" s="1"/>
      <c r="L280" s="1"/>
    </row>
    <row r="281" ht="15.75" customHeight="1">
      <c r="A281" s="15">
        <v>38485.0</v>
      </c>
      <c r="B281" s="3">
        <v>289925.25</v>
      </c>
      <c r="C281" s="3">
        <v>23403.64</v>
      </c>
      <c r="D281" s="3">
        <v>-27425.19</v>
      </c>
      <c r="E281" s="3">
        <f t="shared" si="1"/>
        <v>-0.08641925942</v>
      </c>
      <c r="H281" s="15"/>
      <c r="I281" s="15"/>
      <c r="J281" s="1"/>
      <c r="K281" s="1"/>
      <c r="L281" s="1"/>
    </row>
    <row r="282" ht="15.75" customHeight="1">
      <c r="A282" s="15">
        <v>38492.0</v>
      </c>
      <c r="B282" s="3">
        <v>295591.75</v>
      </c>
      <c r="C282" s="3">
        <v>75502.25</v>
      </c>
      <c r="D282" s="3">
        <v>-21758.69</v>
      </c>
      <c r="E282" s="3">
        <f t="shared" si="1"/>
        <v>-0.06856360432</v>
      </c>
      <c r="H282" s="15"/>
      <c r="I282" s="15"/>
      <c r="J282" s="1"/>
      <c r="K282" s="1"/>
      <c r="L282" s="1"/>
    </row>
    <row r="283" ht="15.75" customHeight="1">
      <c r="A283" s="15">
        <v>38499.0</v>
      </c>
      <c r="B283" s="3">
        <v>299211.97</v>
      </c>
      <c r="C283" s="3">
        <v>75502.25</v>
      </c>
      <c r="D283" s="3">
        <v>-18138.47</v>
      </c>
      <c r="E283" s="3">
        <f t="shared" si="1"/>
        <v>-0.05715596298</v>
      </c>
      <c r="H283" s="15"/>
      <c r="I283" s="15"/>
      <c r="J283" s="1"/>
      <c r="K283" s="1"/>
      <c r="L283" s="1"/>
    </row>
    <row r="284" ht="15.75" customHeight="1">
      <c r="A284" s="15">
        <v>38506.0</v>
      </c>
      <c r="B284" s="3">
        <v>306001.06</v>
      </c>
      <c r="C284" s="3">
        <v>38020.36</v>
      </c>
      <c r="D284" s="3">
        <v>-11349.38</v>
      </c>
      <c r="E284" s="3">
        <f t="shared" si="1"/>
        <v>-0.03576292505</v>
      </c>
      <c r="H284" s="15"/>
      <c r="I284" s="15"/>
      <c r="J284" s="1"/>
      <c r="K284" s="1"/>
      <c r="L284" s="1"/>
    </row>
    <row r="285" ht="15.75" customHeight="1">
      <c r="A285" s="15">
        <v>38513.0</v>
      </c>
      <c r="B285" s="3">
        <v>310509.66</v>
      </c>
      <c r="C285" s="3">
        <v>18885.4</v>
      </c>
      <c r="D285" s="3">
        <v>-6840.78</v>
      </c>
      <c r="E285" s="3">
        <f t="shared" si="1"/>
        <v>-0.0215559178</v>
      </c>
      <c r="H285" s="15"/>
      <c r="I285" s="15"/>
      <c r="J285" s="1"/>
      <c r="K285" s="1"/>
      <c r="L285" s="1"/>
    </row>
    <row r="286" ht="15.75" customHeight="1">
      <c r="A286" s="15">
        <v>38520.0</v>
      </c>
      <c r="B286" s="3">
        <v>319563.47</v>
      </c>
      <c r="C286" s="3">
        <v>18885.4</v>
      </c>
      <c r="D286" s="3">
        <v>0.0</v>
      </c>
      <c r="E286" s="3">
        <f t="shared" si="1"/>
        <v>0</v>
      </c>
      <c r="H286" s="15"/>
      <c r="I286" s="15"/>
      <c r="J286" s="1"/>
      <c r="K286" s="1"/>
      <c r="L286" s="1"/>
    </row>
    <row r="287" ht="15.75" customHeight="1">
      <c r="A287" s="15">
        <v>38527.0</v>
      </c>
      <c r="B287" s="3">
        <v>314696.78</v>
      </c>
      <c r="C287" s="3">
        <v>18885.4</v>
      </c>
      <c r="D287" s="3">
        <v>-4866.69</v>
      </c>
      <c r="E287" s="3">
        <f t="shared" si="1"/>
        <v>-0.01522918123</v>
      </c>
      <c r="H287" s="15"/>
      <c r="I287" s="15"/>
      <c r="J287" s="1"/>
      <c r="K287" s="1"/>
      <c r="L287" s="1"/>
    </row>
    <row r="288" ht="15.75" customHeight="1">
      <c r="A288" s="15">
        <v>38534.0</v>
      </c>
      <c r="B288" s="3">
        <v>318668.56</v>
      </c>
      <c r="C288" s="3">
        <v>18885.4</v>
      </c>
      <c r="D288" s="3">
        <v>-894.91</v>
      </c>
      <c r="E288" s="3">
        <f t="shared" si="1"/>
        <v>-0.002800413952</v>
      </c>
      <c r="H288" s="15"/>
      <c r="I288" s="15"/>
      <c r="J288" s="1"/>
      <c r="K288" s="1"/>
      <c r="L288" s="1"/>
    </row>
    <row r="289" ht="15.75" customHeight="1">
      <c r="A289" s="15">
        <v>38541.0</v>
      </c>
      <c r="B289" s="3">
        <v>317836.22</v>
      </c>
      <c r="C289" s="3">
        <v>18885.4</v>
      </c>
      <c r="D289" s="3">
        <v>-1727.25</v>
      </c>
      <c r="E289" s="3">
        <f t="shared" si="1"/>
        <v>-0.005405029555</v>
      </c>
      <c r="H289" s="15"/>
      <c r="I289" s="15"/>
      <c r="J289" s="1"/>
      <c r="K289" s="1"/>
      <c r="L289" s="1"/>
    </row>
    <row r="290" ht="15.75" customHeight="1">
      <c r="A290" s="15">
        <v>38548.0</v>
      </c>
      <c r="B290" s="3">
        <v>321260.09</v>
      </c>
      <c r="C290" s="3">
        <v>18885.4</v>
      </c>
      <c r="D290" s="3">
        <v>0.0</v>
      </c>
      <c r="E290" s="3">
        <f t="shared" si="1"/>
        <v>0</v>
      </c>
      <c r="H290" s="15"/>
      <c r="I290" s="15"/>
      <c r="J290" s="1"/>
      <c r="K290" s="1"/>
      <c r="L290" s="1"/>
    </row>
    <row r="291" ht="15.75" customHeight="1">
      <c r="A291" s="15">
        <v>38555.0</v>
      </c>
      <c r="B291" s="3">
        <v>329260.31</v>
      </c>
      <c r="C291" s="3">
        <v>18885.4</v>
      </c>
      <c r="D291" s="3">
        <v>0.0</v>
      </c>
      <c r="E291" s="3">
        <f t="shared" si="1"/>
        <v>0</v>
      </c>
      <c r="H291" s="15"/>
      <c r="I291" s="15"/>
      <c r="J291" s="1"/>
      <c r="K291" s="1"/>
      <c r="L291" s="1"/>
    </row>
    <row r="292" ht="15.75" customHeight="1">
      <c r="A292" s="15">
        <v>38562.0</v>
      </c>
      <c r="B292" s="3">
        <v>331320.81</v>
      </c>
      <c r="C292" s="3">
        <v>18885.4</v>
      </c>
      <c r="D292" s="3">
        <v>0.0</v>
      </c>
      <c r="E292" s="3">
        <f t="shared" si="1"/>
        <v>0</v>
      </c>
      <c r="H292" s="15"/>
      <c r="I292" s="15"/>
      <c r="J292" s="1"/>
      <c r="K292" s="1"/>
      <c r="L292" s="1"/>
    </row>
    <row r="293" ht="15.75" customHeight="1">
      <c r="A293" s="15">
        <v>38569.0</v>
      </c>
      <c r="B293" s="3">
        <v>329706.84</v>
      </c>
      <c r="C293" s="3">
        <v>18885.4</v>
      </c>
      <c r="D293" s="3">
        <v>-1613.97</v>
      </c>
      <c r="E293" s="3">
        <f t="shared" si="1"/>
        <v>-0.004871320941</v>
      </c>
      <c r="H293" s="15"/>
      <c r="I293" s="15"/>
      <c r="J293" s="1"/>
      <c r="K293" s="1"/>
      <c r="L293" s="1"/>
    </row>
    <row r="294" ht="15.75" customHeight="1">
      <c r="A294" s="15">
        <v>38576.0</v>
      </c>
      <c r="B294" s="3">
        <v>331063.63</v>
      </c>
      <c r="C294" s="3">
        <v>18885.4</v>
      </c>
      <c r="D294" s="3">
        <v>-257.19</v>
      </c>
      <c r="E294" s="3">
        <f t="shared" si="1"/>
        <v>-0.0007762567042</v>
      </c>
      <c r="H294" s="15"/>
      <c r="I294" s="15"/>
      <c r="J294" s="1"/>
      <c r="K294" s="1"/>
      <c r="L294" s="1"/>
    </row>
    <row r="295" ht="15.75" customHeight="1">
      <c r="A295" s="15">
        <v>38583.0</v>
      </c>
      <c r="B295" s="3">
        <v>338853.22</v>
      </c>
      <c r="C295" s="3">
        <v>15601.88</v>
      </c>
      <c r="D295" s="3">
        <v>0.0</v>
      </c>
      <c r="E295" s="3">
        <f t="shared" si="1"/>
        <v>0</v>
      </c>
      <c r="H295" s="15"/>
      <c r="I295" s="15"/>
      <c r="J295" s="1"/>
      <c r="K295" s="1"/>
      <c r="L295" s="1"/>
    </row>
    <row r="296" ht="15.75" customHeight="1">
      <c r="A296" s="15">
        <v>38590.0</v>
      </c>
      <c r="B296" s="3">
        <v>343207.03</v>
      </c>
      <c r="C296" s="3">
        <v>15601.88</v>
      </c>
      <c r="D296" s="3">
        <v>0.0</v>
      </c>
      <c r="E296" s="3">
        <f t="shared" si="1"/>
        <v>0</v>
      </c>
      <c r="H296" s="15"/>
      <c r="I296" s="15"/>
      <c r="J296" s="1"/>
      <c r="K296" s="1"/>
      <c r="L296" s="1"/>
    </row>
    <row r="297" ht="15.75" customHeight="1">
      <c r="A297" s="15">
        <v>38597.0</v>
      </c>
      <c r="B297" s="3">
        <v>347715.25</v>
      </c>
      <c r="C297" s="3">
        <v>13218.94</v>
      </c>
      <c r="D297" s="3">
        <v>0.0</v>
      </c>
      <c r="E297" s="3">
        <f t="shared" si="1"/>
        <v>0</v>
      </c>
      <c r="H297" s="15"/>
      <c r="I297" s="15"/>
      <c r="J297" s="1"/>
      <c r="K297" s="1"/>
      <c r="L297" s="1"/>
    </row>
    <row r="298" ht="15.75" customHeight="1">
      <c r="A298" s="15">
        <v>38604.0</v>
      </c>
      <c r="B298" s="3">
        <v>344856.09</v>
      </c>
      <c r="C298" s="3">
        <v>13218.94</v>
      </c>
      <c r="D298" s="3">
        <v>-2859.16</v>
      </c>
      <c r="E298" s="3">
        <f t="shared" si="1"/>
        <v>-0.008222705216</v>
      </c>
      <c r="H298" s="15"/>
      <c r="I298" s="15"/>
      <c r="J298" s="1"/>
      <c r="K298" s="1"/>
      <c r="L298" s="1"/>
    </row>
    <row r="299" ht="15.75" customHeight="1">
      <c r="A299" s="15">
        <v>38611.0</v>
      </c>
      <c r="B299" s="3">
        <v>350772.44</v>
      </c>
      <c r="C299" s="3">
        <v>13218.94</v>
      </c>
      <c r="D299" s="3">
        <v>0.0</v>
      </c>
      <c r="E299" s="3">
        <f t="shared" si="1"/>
        <v>0</v>
      </c>
      <c r="H299" s="15"/>
      <c r="I299" s="15"/>
      <c r="J299" s="1"/>
      <c r="K299" s="1"/>
      <c r="L299" s="1"/>
    </row>
    <row r="300" ht="15.75" customHeight="1">
      <c r="A300" s="15">
        <v>38618.0</v>
      </c>
      <c r="B300" s="3">
        <v>351562.97</v>
      </c>
      <c r="C300" s="3">
        <v>13218.94</v>
      </c>
      <c r="D300" s="3">
        <v>0.0</v>
      </c>
      <c r="E300" s="3">
        <f t="shared" si="1"/>
        <v>0</v>
      </c>
      <c r="H300" s="15"/>
      <c r="I300" s="15"/>
      <c r="J300" s="1"/>
      <c r="K300" s="1"/>
      <c r="L300" s="1"/>
    </row>
    <row r="301" ht="15.75" customHeight="1">
      <c r="A301" s="15">
        <v>38625.0</v>
      </c>
      <c r="B301" s="3">
        <v>355152.06</v>
      </c>
      <c r="C301" s="3">
        <v>13218.94</v>
      </c>
      <c r="D301" s="3">
        <v>0.0</v>
      </c>
      <c r="E301" s="3">
        <f t="shared" si="1"/>
        <v>0</v>
      </c>
      <c r="H301" s="15"/>
      <c r="I301" s="15"/>
      <c r="J301" s="1"/>
      <c r="K301" s="1"/>
      <c r="L301" s="1"/>
    </row>
    <row r="302" ht="15.75" customHeight="1">
      <c r="A302" s="15">
        <v>38632.0</v>
      </c>
      <c r="B302" s="3">
        <v>337442.72</v>
      </c>
      <c r="C302" s="3">
        <v>13218.94</v>
      </c>
      <c r="D302" s="3">
        <v>-17709.34</v>
      </c>
      <c r="E302" s="3">
        <f t="shared" si="1"/>
        <v>-0.0498641061</v>
      </c>
      <c r="H302" s="15"/>
      <c r="I302" s="15"/>
      <c r="J302" s="1"/>
      <c r="K302" s="1"/>
      <c r="L302" s="1"/>
    </row>
    <row r="303" ht="15.75" customHeight="1">
      <c r="A303" s="15">
        <v>38639.0</v>
      </c>
      <c r="B303" s="3">
        <v>336750.34</v>
      </c>
      <c r="C303" s="3">
        <v>13218.94</v>
      </c>
      <c r="D303" s="3">
        <v>-18401.72</v>
      </c>
      <c r="E303" s="3">
        <f t="shared" si="1"/>
        <v>-0.05181363723</v>
      </c>
      <c r="H303" s="15"/>
      <c r="I303" s="15"/>
      <c r="J303" s="1"/>
      <c r="K303" s="1"/>
      <c r="L303" s="1"/>
    </row>
    <row r="304" ht="15.75" customHeight="1">
      <c r="A304" s="15">
        <v>38646.0</v>
      </c>
      <c r="B304" s="3">
        <v>331925.94</v>
      </c>
      <c r="C304" s="3">
        <v>13218.94</v>
      </c>
      <c r="D304" s="3">
        <v>-23226.13</v>
      </c>
      <c r="E304" s="3">
        <f t="shared" si="1"/>
        <v>-0.06539770599</v>
      </c>
      <c r="H304" s="15"/>
      <c r="I304" s="15"/>
      <c r="J304" s="1"/>
      <c r="K304" s="1"/>
      <c r="L304" s="1"/>
    </row>
    <row r="305" ht="15.75" customHeight="1">
      <c r="A305" s="15">
        <v>38653.0</v>
      </c>
      <c r="B305" s="3">
        <v>332614.25</v>
      </c>
      <c r="C305" s="3">
        <v>68215.51</v>
      </c>
      <c r="D305" s="3">
        <v>-22537.81</v>
      </c>
      <c r="E305" s="3">
        <f t="shared" si="1"/>
        <v>-0.06345960657</v>
      </c>
      <c r="H305" s="15"/>
      <c r="I305" s="15"/>
      <c r="J305" s="1"/>
      <c r="K305" s="1"/>
      <c r="L305" s="1"/>
    </row>
    <row r="306" ht="15.75" customHeight="1">
      <c r="A306" s="15">
        <v>38660.0</v>
      </c>
      <c r="B306" s="3">
        <v>343207.34</v>
      </c>
      <c r="C306" s="3">
        <v>68215.51</v>
      </c>
      <c r="D306" s="3">
        <v>-11944.72</v>
      </c>
      <c r="E306" s="3">
        <f t="shared" si="1"/>
        <v>-0.03363269243</v>
      </c>
      <c r="H306" s="15"/>
      <c r="I306" s="15"/>
      <c r="J306" s="1"/>
      <c r="K306" s="1"/>
      <c r="L306" s="1"/>
    </row>
    <row r="307" ht="15.75" customHeight="1">
      <c r="A307" s="15">
        <v>38667.0</v>
      </c>
      <c r="B307" s="3">
        <v>346134.81</v>
      </c>
      <c r="C307" s="3">
        <v>47805.11</v>
      </c>
      <c r="D307" s="3">
        <v>-9017.25</v>
      </c>
      <c r="E307" s="3">
        <f t="shared" si="1"/>
        <v>-0.0253898288</v>
      </c>
      <c r="H307" s="15"/>
      <c r="I307" s="15"/>
      <c r="J307" s="1"/>
      <c r="K307" s="1"/>
      <c r="L307" s="1"/>
    </row>
    <row r="308" ht="15.75" customHeight="1">
      <c r="A308" s="15">
        <v>38674.0</v>
      </c>
      <c r="B308" s="3">
        <v>356975.41</v>
      </c>
      <c r="C308" s="3">
        <v>26175.16</v>
      </c>
      <c r="D308" s="3">
        <v>0.0</v>
      </c>
      <c r="E308" s="3">
        <f t="shared" si="1"/>
        <v>0</v>
      </c>
      <c r="H308" s="15"/>
      <c r="I308" s="15"/>
      <c r="J308" s="1"/>
      <c r="K308" s="1"/>
      <c r="L308" s="1"/>
    </row>
    <row r="309" ht="15.75" customHeight="1">
      <c r="A309" s="15">
        <v>38681.0</v>
      </c>
      <c r="B309" s="3">
        <v>351846.19</v>
      </c>
      <c r="C309" s="3">
        <v>3775.7</v>
      </c>
      <c r="D309" s="3">
        <v>-5129.22</v>
      </c>
      <c r="E309" s="3">
        <f t="shared" si="1"/>
        <v>-0.01436855272</v>
      </c>
      <c r="H309" s="15"/>
      <c r="I309" s="15"/>
      <c r="J309" s="1"/>
      <c r="K309" s="1"/>
      <c r="L309" s="1"/>
    </row>
    <row r="310" ht="15.75" customHeight="1">
      <c r="A310" s="15">
        <v>38688.0</v>
      </c>
      <c r="B310" s="3">
        <v>349245.38</v>
      </c>
      <c r="C310" s="3">
        <v>3775.7</v>
      </c>
      <c r="D310" s="3">
        <v>-7730.03</v>
      </c>
      <c r="E310" s="3">
        <f t="shared" si="1"/>
        <v>-0.02165423663</v>
      </c>
      <c r="H310" s="15"/>
      <c r="I310" s="15"/>
      <c r="J310" s="1"/>
      <c r="K310" s="1"/>
      <c r="L310" s="1"/>
    </row>
    <row r="311" ht="15.75" customHeight="1">
      <c r="A311" s="15">
        <v>38695.0</v>
      </c>
      <c r="B311" s="3">
        <v>344950.13</v>
      </c>
      <c r="C311" s="3">
        <v>26493.45</v>
      </c>
      <c r="D311" s="3">
        <v>-12025.28</v>
      </c>
      <c r="E311" s="3">
        <f t="shared" si="1"/>
        <v>-0.03368657802</v>
      </c>
      <c r="H311" s="15"/>
      <c r="I311" s="15"/>
      <c r="J311" s="1"/>
      <c r="K311" s="1"/>
      <c r="L311" s="1"/>
    </row>
    <row r="312" ht="15.75" customHeight="1">
      <c r="A312" s="15">
        <v>38702.0</v>
      </c>
      <c r="B312" s="3">
        <v>349700.88</v>
      </c>
      <c r="C312" s="3">
        <v>4864.65</v>
      </c>
      <c r="D312" s="3">
        <v>-7274.53</v>
      </c>
      <c r="E312" s="3">
        <f t="shared" si="1"/>
        <v>-0.02037823838</v>
      </c>
      <c r="H312" s="15"/>
      <c r="I312" s="15"/>
      <c r="J312" s="1"/>
      <c r="K312" s="1"/>
      <c r="L312" s="1"/>
    </row>
    <row r="313" ht="15.75" customHeight="1">
      <c r="A313" s="15">
        <v>38709.0</v>
      </c>
      <c r="B313" s="3">
        <v>361460.38</v>
      </c>
      <c r="C313" s="3">
        <v>4864.65</v>
      </c>
      <c r="D313" s="3">
        <v>0.0</v>
      </c>
      <c r="E313" s="3">
        <f t="shared" si="1"/>
        <v>0</v>
      </c>
      <c r="H313" s="15"/>
      <c r="I313" s="15"/>
      <c r="J313" s="1"/>
      <c r="K313" s="1"/>
      <c r="L313" s="1"/>
    </row>
    <row r="314" ht="15.75" customHeight="1">
      <c r="A314" s="15">
        <v>38716.0</v>
      </c>
      <c r="B314" s="3">
        <v>367717.25</v>
      </c>
      <c r="C314" s="3">
        <v>4864.65</v>
      </c>
      <c r="D314" s="3">
        <v>0.0</v>
      </c>
      <c r="E314" s="3">
        <f t="shared" si="1"/>
        <v>0</v>
      </c>
      <c r="H314" s="15"/>
      <c r="I314" s="15"/>
      <c r="J314" s="1"/>
      <c r="K314" s="1"/>
      <c r="L314" s="1"/>
    </row>
    <row r="315" ht="15.75" customHeight="1">
      <c r="A315" s="15">
        <v>38723.0</v>
      </c>
      <c r="B315" s="3">
        <v>369187.34</v>
      </c>
      <c r="C315" s="3">
        <v>4864.65</v>
      </c>
      <c r="D315" s="3">
        <v>0.0</v>
      </c>
      <c r="E315" s="3">
        <f t="shared" si="1"/>
        <v>0</v>
      </c>
      <c r="H315" s="15"/>
      <c r="I315" s="15"/>
      <c r="J315" s="1"/>
      <c r="K315" s="1"/>
      <c r="L315" s="1"/>
    </row>
    <row r="316" ht="15.75" customHeight="1">
      <c r="A316" s="15">
        <v>38730.0</v>
      </c>
      <c r="B316" s="3">
        <v>377308.09</v>
      </c>
      <c r="C316" s="3">
        <v>4864.65</v>
      </c>
      <c r="D316" s="3">
        <v>0.0</v>
      </c>
      <c r="E316" s="3">
        <f t="shared" si="1"/>
        <v>0</v>
      </c>
      <c r="H316" s="15"/>
      <c r="I316" s="15"/>
      <c r="J316" s="1"/>
      <c r="K316" s="1"/>
      <c r="L316" s="1"/>
    </row>
    <row r="317" ht="15.75" customHeight="1">
      <c r="A317" s="15">
        <v>38737.0</v>
      </c>
      <c r="B317" s="3">
        <v>376798.63</v>
      </c>
      <c r="C317" s="3">
        <v>4864.65</v>
      </c>
      <c r="D317" s="3">
        <v>-509.47</v>
      </c>
      <c r="E317" s="3">
        <f t="shared" si="1"/>
        <v>-0.001350275845</v>
      </c>
      <c r="H317" s="15"/>
      <c r="I317" s="15"/>
      <c r="J317" s="1"/>
      <c r="K317" s="1"/>
      <c r="L317" s="1"/>
    </row>
    <row r="318" ht="15.75" customHeight="1">
      <c r="A318" s="15">
        <v>38744.0</v>
      </c>
      <c r="B318" s="3">
        <v>381124.25</v>
      </c>
      <c r="C318" s="3">
        <v>4864.65</v>
      </c>
      <c r="D318" s="3">
        <v>0.0</v>
      </c>
      <c r="E318" s="3">
        <f t="shared" si="1"/>
        <v>0</v>
      </c>
      <c r="H318" s="15"/>
      <c r="I318" s="15"/>
      <c r="J318" s="1"/>
      <c r="K318" s="1"/>
      <c r="L318" s="1"/>
    </row>
    <row r="319" ht="15.75" customHeight="1">
      <c r="A319" s="15">
        <v>38751.0</v>
      </c>
      <c r="B319" s="3">
        <v>373447.91</v>
      </c>
      <c r="C319" s="3">
        <v>4864.65</v>
      </c>
      <c r="D319" s="3">
        <v>-7676.34</v>
      </c>
      <c r="E319" s="3">
        <f t="shared" si="1"/>
        <v>-0.02014130562</v>
      </c>
      <c r="H319" s="15"/>
      <c r="I319" s="15"/>
      <c r="J319" s="1"/>
      <c r="K319" s="1"/>
      <c r="L319" s="1"/>
    </row>
    <row r="320" ht="15.75" customHeight="1">
      <c r="A320" s="15">
        <v>38758.0</v>
      </c>
      <c r="B320" s="3">
        <v>369075.28</v>
      </c>
      <c r="C320" s="3">
        <v>4864.65</v>
      </c>
      <c r="D320" s="3">
        <v>-12048.97</v>
      </c>
      <c r="E320" s="3">
        <f t="shared" si="1"/>
        <v>-0.03161428327</v>
      </c>
      <c r="H320" s="15"/>
      <c r="I320" s="15"/>
      <c r="J320" s="1"/>
      <c r="K320" s="1"/>
      <c r="L320" s="1"/>
    </row>
    <row r="321" ht="15.75" customHeight="1">
      <c r="A321" s="15">
        <v>38765.0</v>
      </c>
      <c r="B321" s="3">
        <v>365358.59</v>
      </c>
      <c r="C321" s="3">
        <v>4864.65</v>
      </c>
      <c r="D321" s="3">
        <v>-15765.66</v>
      </c>
      <c r="E321" s="3">
        <f t="shared" si="1"/>
        <v>-0.04136619488</v>
      </c>
      <c r="H321" s="15"/>
      <c r="I321" s="15"/>
      <c r="J321" s="1"/>
      <c r="K321" s="1"/>
      <c r="L321" s="1"/>
    </row>
    <row r="322" ht="15.75" customHeight="1">
      <c r="A322" s="15">
        <v>38772.0</v>
      </c>
      <c r="B322" s="3">
        <v>371338.5</v>
      </c>
      <c r="C322" s="3">
        <v>4864.65</v>
      </c>
      <c r="D322" s="3">
        <v>-9785.75</v>
      </c>
      <c r="E322" s="3">
        <f t="shared" si="1"/>
        <v>-0.02567600986</v>
      </c>
      <c r="H322" s="15"/>
      <c r="I322" s="15"/>
      <c r="J322" s="1"/>
      <c r="K322" s="1"/>
      <c r="L322" s="1"/>
    </row>
    <row r="323" ht="15.75" customHeight="1">
      <c r="A323" s="15">
        <v>38779.0</v>
      </c>
      <c r="B323" s="3">
        <v>378033.28</v>
      </c>
      <c r="C323" s="3">
        <v>4864.65</v>
      </c>
      <c r="D323" s="3">
        <v>-3090.97</v>
      </c>
      <c r="E323" s="3">
        <f t="shared" si="1"/>
        <v>-0.008110137311</v>
      </c>
      <c r="H323" s="15"/>
      <c r="I323" s="15"/>
      <c r="J323" s="1"/>
      <c r="K323" s="1"/>
      <c r="L323" s="1"/>
    </row>
    <row r="324" ht="15.75" customHeight="1">
      <c r="A324" s="15">
        <v>38786.0</v>
      </c>
      <c r="B324" s="3">
        <v>383094.16</v>
      </c>
      <c r="C324" s="3">
        <v>4864.65</v>
      </c>
      <c r="D324" s="3">
        <v>0.0</v>
      </c>
      <c r="E324" s="3">
        <f t="shared" si="1"/>
        <v>0</v>
      </c>
      <c r="H324" s="15"/>
      <c r="I324" s="15"/>
      <c r="J324" s="1"/>
      <c r="K324" s="1"/>
      <c r="L324" s="1"/>
    </row>
    <row r="325" ht="15.75" customHeight="1">
      <c r="A325" s="15">
        <v>38793.0</v>
      </c>
      <c r="B325" s="3">
        <v>389454.38</v>
      </c>
      <c r="C325" s="3">
        <v>4864.65</v>
      </c>
      <c r="D325" s="3">
        <v>0.0</v>
      </c>
      <c r="E325" s="3">
        <f t="shared" si="1"/>
        <v>0</v>
      </c>
      <c r="H325" s="15"/>
      <c r="I325" s="15"/>
      <c r="J325" s="1"/>
      <c r="K325" s="1"/>
      <c r="L325" s="1"/>
    </row>
    <row r="326" ht="15.75" customHeight="1">
      <c r="A326" s="15">
        <v>38800.0</v>
      </c>
      <c r="B326" s="3">
        <v>397516.31</v>
      </c>
      <c r="C326" s="3">
        <v>4864.65</v>
      </c>
      <c r="D326" s="3">
        <v>0.0</v>
      </c>
      <c r="E326" s="3">
        <f t="shared" si="1"/>
        <v>0</v>
      </c>
      <c r="H326" s="15"/>
      <c r="I326" s="15"/>
      <c r="J326" s="1"/>
      <c r="K326" s="1"/>
      <c r="L326" s="1"/>
    </row>
    <row r="327" ht="15.75" customHeight="1">
      <c r="A327" s="15">
        <v>38807.0</v>
      </c>
      <c r="B327" s="3">
        <v>418418.09</v>
      </c>
      <c r="C327" s="3">
        <v>4864.65</v>
      </c>
      <c r="D327" s="3">
        <v>0.0</v>
      </c>
      <c r="E327" s="3">
        <f t="shared" si="1"/>
        <v>0</v>
      </c>
      <c r="H327" s="15"/>
      <c r="I327" s="15"/>
      <c r="J327" s="1"/>
      <c r="K327" s="1"/>
      <c r="L327" s="1"/>
    </row>
    <row r="328" ht="15.75" customHeight="1">
      <c r="A328" s="15">
        <v>38814.0</v>
      </c>
      <c r="B328" s="3">
        <v>429132.59</v>
      </c>
      <c r="C328" s="3">
        <v>4864.65</v>
      </c>
      <c r="D328" s="3">
        <v>0.0</v>
      </c>
      <c r="E328" s="3">
        <f t="shared" si="1"/>
        <v>0</v>
      </c>
      <c r="H328" s="15"/>
      <c r="I328" s="15"/>
      <c r="J328" s="1"/>
      <c r="K328" s="1"/>
      <c r="L328" s="1"/>
    </row>
    <row r="329" ht="15.75" customHeight="1">
      <c r="A329" s="15">
        <v>38820.0</v>
      </c>
      <c r="B329" s="3">
        <v>418463.38</v>
      </c>
      <c r="C329" s="3">
        <v>4864.65</v>
      </c>
      <c r="D329" s="3">
        <v>-10669.22</v>
      </c>
      <c r="E329" s="3">
        <f t="shared" si="1"/>
        <v>-0.02486229256</v>
      </c>
      <c r="H329" s="15"/>
      <c r="I329" s="15"/>
      <c r="J329" s="1"/>
      <c r="K329" s="1"/>
      <c r="L329" s="1"/>
    </row>
    <row r="330" ht="15.75" customHeight="1">
      <c r="A330" s="15">
        <v>38828.0</v>
      </c>
      <c r="B330" s="3">
        <v>433183.69</v>
      </c>
      <c r="C330" s="3">
        <v>4864.65</v>
      </c>
      <c r="D330" s="3">
        <v>0.0</v>
      </c>
      <c r="E330" s="3">
        <f t="shared" si="1"/>
        <v>0</v>
      </c>
      <c r="H330" s="15"/>
      <c r="I330" s="15"/>
      <c r="J330" s="1"/>
      <c r="K330" s="1"/>
      <c r="L330" s="1"/>
    </row>
    <row r="331" ht="15.75" customHeight="1">
      <c r="A331" s="15">
        <v>38835.0</v>
      </c>
      <c r="B331" s="3">
        <v>439081.69</v>
      </c>
      <c r="C331" s="3">
        <v>4864.65</v>
      </c>
      <c r="D331" s="3">
        <v>0.0</v>
      </c>
      <c r="E331" s="3">
        <f t="shared" si="1"/>
        <v>0</v>
      </c>
      <c r="H331" s="15"/>
      <c r="I331" s="15"/>
      <c r="J331" s="1"/>
      <c r="K331" s="1"/>
      <c r="L331" s="1"/>
    </row>
    <row r="332" ht="15.75" customHeight="1">
      <c r="A332" s="15">
        <v>38842.0</v>
      </c>
      <c r="B332" s="3">
        <v>435859.09</v>
      </c>
      <c r="C332" s="3">
        <v>4864.65</v>
      </c>
      <c r="D332" s="3">
        <v>-3222.59</v>
      </c>
      <c r="E332" s="3">
        <f t="shared" si="1"/>
        <v>-0.007339385981</v>
      </c>
      <c r="H332" s="15"/>
      <c r="I332" s="15"/>
      <c r="J332" s="1"/>
      <c r="K332" s="1"/>
      <c r="L332" s="1"/>
    </row>
    <row r="333" ht="15.75" customHeight="1">
      <c r="A333" s="15">
        <v>38849.0</v>
      </c>
      <c r="B333" s="3">
        <v>446773.16</v>
      </c>
      <c r="C333" s="3">
        <v>4864.65</v>
      </c>
      <c r="D333" s="3">
        <v>0.0</v>
      </c>
      <c r="E333" s="3">
        <f t="shared" si="1"/>
        <v>0</v>
      </c>
      <c r="H333" s="15"/>
      <c r="I333" s="15"/>
      <c r="J333" s="1"/>
      <c r="K333" s="1"/>
      <c r="L333" s="1"/>
    </row>
    <row r="334" ht="15.75" customHeight="1">
      <c r="A334" s="15">
        <v>38856.0</v>
      </c>
      <c r="B334" s="3">
        <v>416303.13</v>
      </c>
      <c r="C334" s="3">
        <v>4864.65</v>
      </c>
      <c r="D334" s="3">
        <v>-30470.03</v>
      </c>
      <c r="E334" s="3">
        <f t="shared" si="1"/>
        <v>-0.06820022492</v>
      </c>
      <c r="H334" s="15"/>
      <c r="I334" s="15"/>
      <c r="J334" s="1"/>
      <c r="K334" s="1"/>
      <c r="L334" s="1"/>
    </row>
    <row r="335" ht="15.75" customHeight="1">
      <c r="A335" s="15">
        <v>38863.0</v>
      </c>
      <c r="B335" s="3">
        <v>408635.88</v>
      </c>
      <c r="C335" s="3">
        <v>4864.65</v>
      </c>
      <c r="D335" s="3">
        <v>-38137.28</v>
      </c>
      <c r="E335" s="3">
        <f t="shared" si="1"/>
        <v>-0.08536161841</v>
      </c>
      <c r="H335" s="15"/>
      <c r="I335" s="15"/>
      <c r="J335" s="1"/>
      <c r="K335" s="1"/>
      <c r="L335" s="1"/>
    </row>
    <row r="336" ht="15.75" customHeight="1">
      <c r="A336" s="15">
        <v>38870.0</v>
      </c>
      <c r="B336" s="3">
        <v>418188.91</v>
      </c>
      <c r="C336" s="3">
        <v>4864.65</v>
      </c>
      <c r="D336" s="3">
        <v>-28584.25</v>
      </c>
      <c r="E336" s="3">
        <f t="shared" si="1"/>
        <v>-0.06397933573</v>
      </c>
      <c r="H336" s="15"/>
      <c r="I336" s="15"/>
      <c r="J336" s="1"/>
      <c r="K336" s="1"/>
      <c r="L336" s="1"/>
    </row>
    <row r="337" ht="15.75" customHeight="1">
      <c r="A337" s="15">
        <v>38877.0</v>
      </c>
      <c r="B337" s="3">
        <v>416019.09</v>
      </c>
      <c r="C337" s="3">
        <v>110287.0</v>
      </c>
      <c r="D337" s="3">
        <v>-30754.06</v>
      </c>
      <c r="E337" s="3">
        <f t="shared" si="1"/>
        <v>-0.06883596141</v>
      </c>
      <c r="H337" s="15"/>
      <c r="I337" s="15"/>
      <c r="J337" s="1"/>
      <c r="K337" s="1"/>
      <c r="L337" s="1"/>
    </row>
    <row r="338" ht="15.75" customHeight="1">
      <c r="A338" s="15">
        <v>38884.0</v>
      </c>
      <c r="B338" s="3">
        <v>418241.06</v>
      </c>
      <c r="C338" s="3">
        <v>110287.0</v>
      </c>
      <c r="D338" s="3">
        <v>-28532.09</v>
      </c>
      <c r="E338" s="3">
        <f t="shared" si="1"/>
        <v>-0.06386258745</v>
      </c>
      <c r="H338" s="15"/>
      <c r="I338" s="15"/>
      <c r="J338" s="1"/>
      <c r="K338" s="1"/>
      <c r="L338" s="1"/>
    </row>
    <row r="339" ht="15.75" customHeight="1">
      <c r="A339" s="15">
        <v>38891.0</v>
      </c>
      <c r="B339" s="3">
        <v>418430.88</v>
      </c>
      <c r="C339" s="3">
        <v>110287.0</v>
      </c>
      <c r="D339" s="3">
        <v>-28342.28</v>
      </c>
      <c r="E339" s="3">
        <f t="shared" si="1"/>
        <v>-0.06343774098</v>
      </c>
      <c r="H339" s="15"/>
      <c r="I339" s="15"/>
      <c r="J339" s="1"/>
      <c r="K339" s="1"/>
      <c r="L339" s="1"/>
    </row>
    <row r="340" ht="15.75" customHeight="1">
      <c r="A340" s="15">
        <v>38898.0</v>
      </c>
      <c r="B340" s="3">
        <v>424333.13</v>
      </c>
      <c r="C340" s="3">
        <v>110287.0</v>
      </c>
      <c r="D340" s="3">
        <v>-22440.03</v>
      </c>
      <c r="E340" s="3">
        <f t="shared" si="1"/>
        <v>-0.05022689814</v>
      </c>
      <c r="H340" s="15"/>
      <c r="I340" s="15"/>
      <c r="J340" s="1"/>
      <c r="K340" s="1"/>
      <c r="L340" s="1"/>
    </row>
    <row r="341" ht="15.75" customHeight="1">
      <c r="A341" s="15">
        <v>38905.0</v>
      </c>
      <c r="B341" s="3">
        <v>430351.16</v>
      </c>
      <c r="C341" s="3">
        <v>110287.0</v>
      </c>
      <c r="D341" s="3">
        <v>-16422.0</v>
      </c>
      <c r="E341" s="3">
        <f t="shared" si="1"/>
        <v>-0.03675690814</v>
      </c>
      <c r="H341" s="15"/>
      <c r="I341" s="15"/>
      <c r="J341" s="1"/>
      <c r="K341" s="1"/>
      <c r="L341" s="1"/>
    </row>
    <row r="342" ht="15.75" customHeight="1">
      <c r="A342" s="15">
        <v>38912.0</v>
      </c>
      <c r="B342" s="3">
        <v>423149.47</v>
      </c>
      <c r="C342" s="3">
        <v>110287.0</v>
      </c>
      <c r="D342" s="3">
        <v>-23623.69</v>
      </c>
      <c r="E342" s="3">
        <f t="shared" si="1"/>
        <v>-0.05287625156</v>
      </c>
      <c r="H342" s="15"/>
      <c r="I342" s="15"/>
      <c r="J342" s="1"/>
      <c r="K342" s="1"/>
      <c r="L342" s="1"/>
    </row>
    <row r="343" ht="15.75" customHeight="1">
      <c r="A343" s="15">
        <v>38919.0</v>
      </c>
      <c r="B343" s="3">
        <v>425092.97</v>
      </c>
      <c r="C343" s="3">
        <v>181443.06</v>
      </c>
      <c r="D343" s="3">
        <v>-21680.19</v>
      </c>
      <c r="E343" s="3">
        <f t="shared" si="1"/>
        <v>-0.0485261693</v>
      </c>
      <c r="H343" s="15"/>
      <c r="I343" s="15"/>
      <c r="J343" s="1"/>
      <c r="K343" s="1"/>
      <c r="L343" s="1"/>
    </row>
    <row r="344" ht="15.75" customHeight="1">
      <c r="A344" s="15">
        <v>38926.0</v>
      </c>
      <c r="B344" s="3">
        <v>427927.72</v>
      </c>
      <c r="C344" s="3">
        <v>217106.19</v>
      </c>
      <c r="D344" s="3">
        <v>-18845.44</v>
      </c>
      <c r="E344" s="3">
        <f t="shared" si="1"/>
        <v>-0.04218122682</v>
      </c>
      <c r="H344" s="15"/>
      <c r="I344" s="15"/>
      <c r="J344" s="1"/>
      <c r="K344" s="1"/>
      <c r="L344" s="1"/>
    </row>
    <row r="345" ht="15.75" customHeight="1">
      <c r="A345" s="15">
        <v>38933.0</v>
      </c>
      <c r="B345" s="3">
        <v>425934.31</v>
      </c>
      <c r="C345" s="3">
        <v>217106.19</v>
      </c>
      <c r="D345" s="3">
        <v>-20838.84</v>
      </c>
      <c r="E345" s="3">
        <f t="shared" si="1"/>
        <v>-0.04664299888</v>
      </c>
      <c r="H345" s="15"/>
      <c r="I345" s="15"/>
      <c r="J345" s="1"/>
      <c r="K345" s="1"/>
      <c r="L345" s="1"/>
    </row>
    <row r="346" ht="15.75" customHeight="1">
      <c r="A346" s="15">
        <v>38940.0</v>
      </c>
      <c r="B346" s="3">
        <v>425727.69</v>
      </c>
      <c r="C346" s="3">
        <v>217106.19</v>
      </c>
      <c r="D346" s="3">
        <v>-21045.47</v>
      </c>
      <c r="E346" s="3">
        <f t="shared" si="1"/>
        <v>-0.04710549309</v>
      </c>
      <c r="H346" s="15"/>
      <c r="I346" s="15"/>
      <c r="J346" s="1"/>
      <c r="K346" s="1"/>
      <c r="L346" s="1"/>
    </row>
    <row r="347" ht="15.75" customHeight="1">
      <c r="A347" s="15">
        <v>38947.0</v>
      </c>
      <c r="B347" s="3">
        <v>428531.5</v>
      </c>
      <c r="C347" s="3">
        <v>217106.19</v>
      </c>
      <c r="D347" s="3">
        <v>-18241.66</v>
      </c>
      <c r="E347" s="3">
        <f t="shared" si="1"/>
        <v>-0.04082980276</v>
      </c>
      <c r="H347" s="15"/>
      <c r="I347" s="15"/>
      <c r="J347" s="1"/>
      <c r="K347" s="1"/>
      <c r="L347" s="1"/>
    </row>
    <row r="348" ht="15.75" customHeight="1">
      <c r="A348" s="15">
        <v>38954.0</v>
      </c>
      <c r="B348" s="3">
        <v>427767.13</v>
      </c>
      <c r="C348" s="3">
        <v>163356.88</v>
      </c>
      <c r="D348" s="3">
        <v>-19006.03</v>
      </c>
      <c r="E348" s="3">
        <f t="shared" si="1"/>
        <v>-0.04254067097</v>
      </c>
      <c r="H348" s="15"/>
      <c r="I348" s="15"/>
      <c r="J348" s="1"/>
      <c r="K348" s="1"/>
      <c r="L348" s="1"/>
    </row>
    <row r="349" ht="15.75" customHeight="1">
      <c r="A349" s="15">
        <v>38961.0</v>
      </c>
      <c r="B349" s="3">
        <v>439668.47</v>
      </c>
      <c r="C349" s="3">
        <v>56043.03</v>
      </c>
      <c r="D349" s="3">
        <v>-7104.69</v>
      </c>
      <c r="E349" s="3">
        <f t="shared" si="1"/>
        <v>-0.01590223101</v>
      </c>
      <c r="H349" s="15"/>
      <c r="I349" s="15"/>
      <c r="J349" s="1"/>
      <c r="K349" s="1"/>
      <c r="L349" s="1"/>
    </row>
    <row r="350" ht="15.75" customHeight="1">
      <c r="A350" s="15">
        <v>38968.0</v>
      </c>
      <c r="B350" s="3">
        <v>442983.69</v>
      </c>
      <c r="C350" s="3">
        <v>28413.84</v>
      </c>
      <c r="D350" s="3">
        <v>-3789.47</v>
      </c>
      <c r="E350" s="3">
        <f t="shared" si="1"/>
        <v>-0.008481865831</v>
      </c>
      <c r="H350" s="15"/>
      <c r="I350" s="15"/>
      <c r="J350" s="1"/>
      <c r="K350" s="1"/>
      <c r="L350" s="1"/>
    </row>
    <row r="351" ht="15.75" customHeight="1">
      <c r="A351" s="15">
        <v>38975.0</v>
      </c>
      <c r="B351" s="3">
        <v>449490.75</v>
      </c>
      <c r="C351" s="3">
        <v>28413.84</v>
      </c>
      <c r="D351" s="3">
        <v>0.0</v>
      </c>
      <c r="E351" s="3">
        <f t="shared" si="1"/>
        <v>0</v>
      </c>
      <c r="H351" s="15"/>
      <c r="I351" s="15"/>
      <c r="J351" s="1"/>
      <c r="K351" s="1"/>
      <c r="L351" s="1"/>
    </row>
    <row r="352" ht="15.75" customHeight="1">
      <c r="A352" s="15">
        <v>38982.0</v>
      </c>
      <c r="B352" s="3">
        <v>441214.09</v>
      </c>
      <c r="C352" s="3">
        <v>28413.84</v>
      </c>
      <c r="D352" s="3">
        <v>-8276.66</v>
      </c>
      <c r="E352" s="3">
        <f t="shared" si="1"/>
        <v>-0.01841341563</v>
      </c>
      <c r="H352" s="15"/>
      <c r="I352" s="15"/>
      <c r="J352" s="1"/>
      <c r="K352" s="1"/>
      <c r="L352" s="1"/>
    </row>
    <row r="353" ht="15.75" customHeight="1">
      <c r="A353" s="15">
        <v>38989.0</v>
      </c>
      <c r="B353" s="3">
        <v>461041.91</v>
      </c>
      <c r="C353" s="3">
        <v>28413.84</v>
      </c>
      <c r="D353" s="3">
        <v>0.0</v>
      </c>
      <c r="E353" s="3">
        <f t="shared" si="1"/>
        <v>0</v>
      </c>
      <c r="H353" s="15"/>
      <c r="I353" s="15"/>
      <c r="J353" s="1"/>
      <c r="K353" s="1"/>
      <c r="L353" s="1"/>
    </row>
    <row r="354" ht="15.75" customHeight="1">
      <c r="A354" s="15">
        <v>38996.0</v>
      </c>
      <c r="B354" s="3">
        <v>470939.66</v>
      </c>
      <c r="C354" s="3">
        <v>25550.3</v>
      </c>
      <c r="D354" s="3">
        <v>0.0</v>
      </c>
      <c r="E354" s="3">
        <f t="shared" si="1"/>
        <v>0</v>
      </c>
      <c r="H354" s="15"/>
      <c r="I354" s="15"/>
      <c r="J354" s="1"/>
      <c r="K354" s="1"/>
      <c r="L354" s="1"/>
    </row>
    <row r="355" ht="15.75" customHeight="1">
      <c r="A355" s="15">
        <v>39003.0</v>
      </c>
      <c r="B355" s="3">
        <v>481915.72</v>
      </c>
      <c r="C355" s="3">
        <v>25550.3</v>
      </c>
      <c r="D355" s="3">
        <v>0.0</v>
      </c>
      <c r="E355" s="3">
        <f t="shared" si="1"/>
        <v>0</v>
      </c>
      <c r="H355" s="15"/>
      <c r="I355" s="15"/>
      <c r="J355" s="1"/>
      <c r="K355" s="1"/>
      <c r="L355" s="1"/>
    </row>
    <row r="356" ht="15.75" customHeight="1">
      <c r="A356" s="15">
        <v>39010.0</v>
      </c>
      <c r="B356" s="3">
        <v>486248.47</v>
      </c>
      <c r="C356" s="3">
        <v>25550.3</v>
      </c>
      <c r="D356" s="3">
        <v>0.0</v>
      </c>
      <c r="E356" s="3">
        <f t="shared" si="1"/>
        <v>0</v>
      </c>
      <c r="H356" s="15"/>
      <c r="I356" s="15"/>
      <c r="J356" s="1"/>
      <c r="K356" s="1"/>
      <c r="L356" s="1"/>
    </row>
    <row r="357" ht="15.75" customHeight="1">
      <c r="A357" s="15">
        <v>39017.0</v>
      </c>
      <c r="B357" s="3">
        <v>490060.13</v>
      </c>
      <c r="C357" s="3">
        <v>25550.3</v>
      </c>
      <c r="D357" s="3">
        <v>0.0</v>
      </c>
      <c r="E357" s="3">
        <f t="shared" si="1"/>
        <v>0</v>
      </c>
      <c r="H357" s="15"/>
      <c r="I357" s="15"/>
      <c r="J357" s="1"/>
      <c r="K357" s="1"/>
      <c r="L357" s="1"/>
    </row>
    <row r="358" ht="15.75" customHeight="1">
      <c r="A358" s="15">
        <v>39024.0</v>
      </c>
      <c r="B358" s="3">
        <v>492607.34</v>
      </c>
      <c r="C358" s="3">
        <v>25550.3</v>
      </c>
      <c r="D358" s="3">
        <v>0.0</v>
      </c>
      <c r="E358" s="3">
        <f t="shared" si="1"/>
        <v>0</v>
      </c>
      <c r="H358" s="15"/>
      <c r="I358" s="15"/>
      <c r="J358" s="1"/>
      <c r="K358" s="1"/>
      <c r="L358" s="1"/>
    </row>
    <row r="359" ht="15.75" customHeight="1">
      <c r="A359" s="15">
        <v>39031.0</v>
      </c>
      <c r="B359" s="3">
        <v>500027.91</v>
      </c>
      <c r="C359" s="3">
        <v>25550.3</v>
      </c>
      <c r="D359" s="3">
        <v>0.0</v>
      </c>
      <c r="E359" s="3">
        <f t="shared" si="1"/>
        <v>0</v>
      </c>
      <c r="H359" s="15"/>
      <c r="I359" s="15"/>
      <c r="J359" s="1"/>
      <c r="K359" s="1"/>
      <c r="L359" s="1"/>
    </row>
    <row r="360" ht="15.75" customHeight="1">
      <c r="A360" s="15">
        <v>39038.0</v>
      </c>
      <c r="B360" s="3">
        <v>493577.94</v>
      </c>
      <c r="C360" s="3">
        <v>25550.3</v>
      </c>
      <c r="D360" s="3">
        <v>-6449.97</v>
      </c>
      <c r="E360" s="3">
        <f t="shared" si="1"/>
        <v>-0.01289921997</v>
      </c>
      <c r="H360" s="15"/>
      <c r="I360" s="15"/>
      <c r="J360" s="1"/>
      <c r="K360" s="1"/>
      <c r="L360" s="1"/>
    </row>
    <row r="361" ht="15.75" customHeight="1">
      <c r="A361" s="15">
        <v>39045.0</v>
      </c>
      <c r="B361" s="3">
        <v>501718.81</v>
      </c>
      <c r="C361" s="3">
        <v>21956.12</v>
      </c>
      <c r="D361" s="3">
        <v>0.0</v>
      </c>
      <c r="E361" s="3">
        <f t="shared" si="1"/>
        <v>0</v>
      </c>
      <c r="H361" s="15"/>
      <c r="I361" s="15"/>
      <c r="J361" s="1"/>
      <c r="K361" s="1"/>
      <c r="L361" s="1"/>
    </row>
    <row r="362" ht="15.75" customHeight="1">
      <c r="A362" s="15">
        <v>39052.0</v>
      </c>
      <c r="B362" s="3">
        <v>498673.72</v>
      </c>
      <c r="C362" s="3">
        <v>21956.12</v>
      </c>
      <c r="D362" s="3">
        <v>-3045.09</v>
      </c>
      <c r="E362" s="3">
        <f t="shared" si="1"/>
        <v>-0.006069315998</v>
      </c>
      <c r="H362" s="15"/>
      <c r="I362" s="15"/>
      <c r="J362" s="1"/>
      <c r="K362" s="1"/>
      <c r="L362" s="1"/>
    </row>
    <row r="363" ht="15.75" customHeight="1">
      <c r="A363" s="15">
        <v>39059.0</v>
      </c>
      <c r="B363" s="3">
        <v>497266.63</v>
      </c>
      <c r="C363" s="3">
        <v>21956.12</v>
      </c>
      <c r="D363" s="3">
        <v>-4452.19</v>
      </c>
      <c r="E363" s="3">
        <f t="shared" si="1"/>
        <v>-0.00887387499</v>
      </c>
      <c r="H363" s="15"/>
      <c r="I363" s="15"/>
      <c r="J363" s="1"/>
      <c r="K363" s="1"/>
      <c r="L363" s="1"/>
    </row>
    <row r="364" ht="15.75" customHeight="1">
      <c r="A364" s="15">
        <v>39066.0</v>
      </c>
      <c r="B364" s="3">
        <v>504657.75</v>
      </c>
      <c r="C364" s="3">
        <v>21956.12</v>
      </c>
      <c r="D364" s="3">
        <v>0.0</v>
      </c>
      <c r="E364" s="3">
        <f t="shared" si="1"/>
        <v>0</v>
      </c>
      <c r="H364" s="15"/>
      <c r="I364" s="15"/>
      <c r="J364" s="1"/>
      <c r="K364" s="1"/>
      <c r="L364" s="1"/>
    </row>
    <row r="365" ht="15.75" customHeight="1">
      <c r="A365" s="15">
        <v>39073.0</v>
      </c>
      <c r="B365" s="3">
        <v>506976.75</v>
      </c>
      <c r="C365" s="3">
        <v>21956.12</v>
      </c>
      <c r="D365" s="3">
        <v>0.0</v>
      </c>
      <c r="E365" s="3">
        <f t="shared" si="1"/>
        <v>0</v>
      </c>
      <c r="H365" s="15"/>
      <c r="I365" s="15"/>
      <c r="J365" s="1"/>
      <c r="K365" s="1"/>
      <c r="L365" s="1"/>
    </row>
    <row r="366" ht="15.75" customHeight="1">
      <c r="A366" s="15">
        <v>39080.0</v>
      </c>
      <c r="B366" s="3">
        <v>512338.34</v>
      </c>
      <c r="C366" s="3">
        <v>21956.12</v>
      </c>
      <c r="D366" s="3">
        <v>0.0</v>
      </c>
      <c r="E366" s="3">
        <f t="shared" si="1"/>
        <v>0</v>
      </c>
      <c r="H366" s="15"/>
      <c r="I366" s="15"/>
      <c r="J366" s="1"/>
      <c r="K366" s="1"/>
      <c r="L366" s="1"/>
    </row>
    <row r="367" ht="15.75" customHeight="1">
      <c r="A367" s="15">
        <v>39087.0</v>
      </c>
      <c r="B367" s="3">
        <v>503420.44</v>
      </c>
      <c r="C367" s="3">
        <v>21956.12</v>
      </c>
      <c r="D367" s="3">
        <v>-8917.91</v>
      </c>
      <c r="E367" s="3">
        <f t="shared" si="1"/>
        <v>-0.01740629054</v>
      </c>
      <c r="H367" s="15"/>
      <c r="I367" s="15"/>
      <c r="J367" s="1"/>
      <c r="K367" s="1"/>
      <c r="L367" s="1"/>
    </row>
    <row r="368" ht="15.75" customHeight="1">
      <c r="A368" s="15">
        <v>39094.0</v>
      </c>
      <c r="B368" s="3">
        <v>508905.97</v>
      </c>
      <c r="C368" s="3">
        <v>21956.12</v>
      </c>
      <c r="D368" s="3">
        <v>-3432.38</v>
      </c>
      <c r="E368" s="3">
        <f t="shared" si="1"/>
        <v>-0.006699440061</v>
      </c>
      <c r="H368" s="15"/>
      <c r="I368" s="15"/>
      <c r="J368" s="1"/>
      <c r="K368" s="1"/>
      <c r="L368" s="1"/>
    </row>
    <row r="369" ht="15.75" customHeight="1">
      <c r="A369" s="15">
        <v>39101.0</v>
      </c>
      <c r="B369" s="3">
        <v>517366.69</v>
      </c>
      <c r="C369" s="3">
        <v>21956.12</v>
      </c>
      <c r="D369" s="3">
        <v>0.0</v>
      </c>
      <c r="E369" s="3">
        <f t="shared" si="1"/>
        <v>0</v>
      </c>
      <c r="H369" s="15"/>
      <c r="I369" s="15"/>
      <c r="J369" s="1"/>
      <c r="K369" s="1"/>
      <c r="L369" s="1"/>
    </row>
    <row r="370" ht="15.75" customHeight="1">
      <c r="A370" s="15">
        <v>39107.0</v>
      </c>
      <c r="B370" s="3">
        <v>529560.56</v>
      </c>
      <c r="C370" s="3">
        <v>36088.77</v>
      </c>
      <c r="D370" s="3">
        <v>0.0</v>
      </c>
      <c r="E370" s="3">
        <f t="shared" si="1"/>
        <v>0</v>
      </c>
      <c r="H370" s="15"/>
      <c r="I370" s="15"/>
      <c r="J370" s="1"/>
      <c r="K370" s="1"/>
      <c r="L370" s="1"/>
    </row>
    <row r="371" ht="15.75" customHeight="1">
      <c r="A371" s="15">
        <v>39115.0</v>
      </c>
      <c r="B371" s="3">
        <v>535231.38</v>
      </c>
      <c r="C371" s="3">
        <v>36088.77</v>
      </c>
      <c r="D371" s="3">
        <v>0.0</v>
      </c>
      <c r="E371" s="3">
        <f t="shared" si="1"/>
        <v>0</v>
      </c>
      <c r="H371" s="15"/>
      <c r="I371" s="15"/>
      <c r="J371" s="1"/>
      <c r="K371" s="1"/>
      <c r="L371" s="1"/>
    </row>
    <row r="372" ht="15.75" customHeight="1">
      <c r="A372" s="15">
        <v>39122.0</v>
      </c>
      <c r="B372" s="3">
        <v>537753.0</v>
      </c>
      <c r="C372" s="3">
        <v>36088.77</v>
      </c>
      <c r="D372" s="3">
        <v>0.0</v>
      </c>
      <c r="E372" s="3">
        <f t="shared" si="1"/>
        <v>0</v>
      </c>
      <c r="H372" s="15"/>
      <c r="I372" s="15"/>
      <c r="J372" s="1"/>
      <c r="K372" s="1"/>
      <c r="L372" s="1"/>
    </row>
    <row r="373" ht="15.75" customHeight="1">
      <c r="A373" s="15">
        <v>39129.0</v>
      </c>
      <c r="B373" s="3">
        <v>546418.0</v>
      </c>
      <c r="C373" s="3">
        <v>36088.77</v>
      </c>
      <c r="D373" s="3">
        <v>0.0</v>
      </c>
      <c r="E373" s="3">
        <f t="shared" si="1"/>
        <v>0</v>
      </c>
      <c r="H373" s="15"/>
      <c r="I373" s="15"/>
      <c r="J373" s="1"/>
      <c r="K373" s="1"/>
      <c r="L373" s="1"/>
    </row>
    <row r="374" ht="15.75" customHeight="1">
      <c r="A374" s="15">
        <v>39136.0</v>
      </c>
      <c r="B374" s="3">
        <v>556560.75</v>
      </c>
      <c r="C374" s="3">
        <v>36088.77</v>
      </c>
      <c r="D374" s="3">
        <v>0.0</v>
      </c>
      <c r="E374" s="3">
        <f t="shared" si="1"/>
        <v>0</v>
      </c>
      <c r="H374" s="15"/>
      <c r="I374" s="15"/>
      <c r="J374" s="1"/>
      <c r="K374" s="1"/>
      <c r="L374" s="1"/>
    </row>
    <row r="375" ht="15.75" customHeight="1">
      <c r="A375" s="15">
        <v>39143.0</v>
      </c>
      <c r="B375" s="3">
        <v>537029.63</v>
      </c>
      <c r="C375" s="3">
        <v>23603.43</v>
      </c>
      <c r="D375" s="3">
        <v>-19531.13</v>
      </c>
      <c r="E375" s="3">
        <f t="shared" si="1"/>
        <v>-0.03509253931</v>
      </c>
      <c r="H375" s="15"/>
      <c r="I375" s="15"/>
      <c r="J375" s="1"/>
      <c r="K375" s="1"/>
      <c r="L375" s="1"/>
    </row>
    <row r="376" ht="15.75" customHeight="1">
      <c r="A376" s="15">
        <v>39150.0</v>
      </c>
      <c r="B376" s="3">
        <v>540708.56</v>
      </c>
      <c r="C376" s="3">
        <v>23603.43</v>
      </c>
      <c r="D376" s="3">
        <v>-15852.19</v>
      </c>
      <c r="E376" s="3">
        <f t="shared" si="1"/>
        <v>-0.02848240736</v>
      </c>
      <c r="H376" s="15"/>
      <c r="I376" s="15"/>
      <c r="J376" s="1"/>
      <c r="K376" s="1"/>
      <c r="L376" s="1"/>
    </row>
    <row r="377" ht="15.75" customHeight="1">
      <c r="A377" s="15">
        <v>39157.0</v>
      </c>
      <c r="B377" s="3">
        <v>542058.31</v>
      </c>
      <c r="C377" s="3">
        <v>23603.43</v>
      </c>
      <c r="D377" s="3">
        <v>-14502.44</v>
      </c>
      <c r="E377" s="3">
        <f t="shared" si="1"/>
        <v>-0.02605724532</v>
      </c>
      <c r="H377" s="15"/>
      <c r="I377" s="15"/>
      <c r="J377" s="1"/>
      <c r="K377" s="1"/>
      <c r="L377" s="1"/>
    </row>
    <row r="378" ht="15.75" customHeight="1">
      <c r="A378" s="15">
        <v>39164.0</v>
      </c>
      <c r="B378" s="3">
        <v>559495.75</v>
      </c>
      <c r="C378" s="3">
        <v>23603.43</v>
      </c>
      <c r="D378" s="3">
        <v>0.0</v>
      </c>
      <c r="E378" s="3">
        <f t="shared" si="1"/>
        <v>0</v>
      </c>
      <c r="H378" s="15"/>
      <c r="I378" s="15"/>
      <c r="J378" s="1"/>
      <c r="K378" s="1"/>
      <c r="L378" s="1"/>
    </row>
    <row r="379" ht="15.75" customHeight="1">
      <c r="A379" s="15">
        <v>39171.0</v>
      </c>
      <c r="B379" s="3">
        <v>564593.94</v>
      </c>
      <c r="C379" s="3">
        <v>23603.43</v>
      </c>
      <c r="D379" s="3">
        <v>0.0</v>
      </c>
      <c r="E379" s="3">
        <f t="shared" si="1"/>
        <v>0</v>
      </c>
      <c r="H379" s="15"/>
      <c r="I379" s="15"/>
      <c r="J379" s="1"/>
      <c r="K379" s="1"/>
      <c r="L379" s="1"/>
    </row>
    <row r="380" ht="15.75" customHeight="1">
      <c r="A380" s="15">
        <v>39177.0</v>
      </c>
      <c r="B380" s="3">
        <v>576714.94</v>
      </c>
      <c r="C380" s="3">
        <v>23603.43</v>
      </c>
      <c r="D380" s="3">
        <v>0.0</v>
      </c>
      <c r="E380" s="3">
        <f t="shared" si="1"/>
        <v>0</v>
      </c>
      <c r="H380" s="15"/>
      <c r="I380" s="15"/>
      <c r="J380" s="1"/>
      <c r="K380" s="1"/>
      <c r="L380" s="1"/>
    </row>
    <row r="381" ht="15.75" customHeight="1">
      <c r="A381" s="15">
        <v>39185.0</v>
      </c>
      <c r="B381" s="3">
        <v>580759.0</v>
      </c>
      <c r="C381" s="3">
        <v>23603.43</v>
      </c>
      <c r="D381" s="3">
        <v>0.0</v>
      </c>
      <c r="E381" s="3">
        <f t="shared" si="1"/>
        <v>0</v>
      </c>
      <c r="H381" s="15"/>
      <c r="I381" s="15"/>
      <c r="J381" s="1"/>
      <c r="K381" s="1"/>
      <c r="L381" s="1"/>
    </row>
    <row r="382" ht="15.75" customHeight="1">
      <c r="A382" s="15">
        <v>39192.0</v>
      </c>
      <c r="B382" s="3">
        <v>574424.19</v>
      </c>
      <c r="C382" s="3">
        <v>23603.43</v>
      </c>
      <c r="D382" s="3">
        <v>-6334.81</v>
      </c>
      <c r="E382" s="3">
        <f t="shared" si="1"/>
        <v>-0.01090781202</v>
      </c>
      <c r="H382" s="15"/>
      <c r="I382" s="15"/>
      <c r="J382" s="1"/>
      <c r="K382" s="1"/>
      <c r="L382" s="1"/>
    </row>
    <row r="383" ht="15.75" customHeight="1">
      <c r="A383" s="15">
        <v>39199.0</v>
      </c>
      <c r="B383" s="3">
        <v>573484.81</v>
      </c>
      <c r="C383" s="3">
        <v>23603.43</v>
      </c>
      <c r="D383" s="3">
        <v>-7274.19</v>
      </c>
      <c r="E383" s="3">
        <f t="shared" si="1"/>
        <v>-0.01252531601</v>
      </c>
      <c r="H383" s="15"/>
      <c r="I383" s="15"/>
      <c r="J383" s="1"/>
      <c r="K383" s="1"/>
      <c r="L383" s="1"/>
    </row>
    <row r="384" ht="15.75" customHeight="1">
      <c r="A384" s="15">
        <v>39206.0</v>
      </c>
      <c r="B384" s="3">
        <v>601357.31</v>
      </c>
      <c r="C384" s="3">
        <v>23603.43</v>
      </c>
      <c r="D384" s="3">
        <v>0.0</v>
      </c>
      <c r="E384" s="3">
        <f t="shared" si="1"/>
        <v>0</v>
      </c>
      <c r="H384" s="15"/>
      <c r="I384" s="15"/>
      <c r="J384" s="1"/>
      <c r="K384" s="1"/>
      <c r="L384" s="1"/>
    </row>
    <row r="385" ht="15.75" customHeight="1">
      <c r="A385" s="15">
        <v>39213.0</v>
      </c>
      <c r="B385" s="3">
        <v>600029.5</v>
      </c>
      <c r="C385" s="3">
        <v>23603.43</v>
      </c>
      <c r="D385" s="3">
        <v>-1327.81</v>
      </c>
      <c r="E385" s="3">
        <f t="shared" si="1"/>
        <v>-0.002208021717</v>
      </c>
      <c r="H385" s="15"/>
      <c r="I385" s="15"/>
      <c r="J385" s="1"/>
      <c r="K385" s="1"/>
      <c r="L385" s="1"/>
    </row>
    <row r="386" ht="15.75" customHeight="1">
      <c r="A386" s="15">
        <v>39220.0</v>
      </c>
      <c r="B386" s="3">
        <v>608464.75</v>
      </c>
      <c r="C386" s="3">
        <v>23603.43</v>
      </c>
      <c r="D386" s="3">
        <v>0.0</v>
      </c>
      <c r="E386" s="3">
        <f t="shared" si="1"/>
        <v>0</v>
      </c>
      <c r="H386" s="15"/>
      <c r="I386" s="15"/>
      <c r="J386" s="1"/>
      <c r="K386" s="1"/>
      <c r="L386" s="1"/>
    </row>
    <row r="387" ht="15.75" customHeight="1">
      <c r="A387" s="15">
        <v>39227.0</v>
      </c>
      <c r="B387" s="3">
        <v>604542.94</v>
      </c>
      <c r="C387" s="3">
        <v>23603.43</v>
      </c>
      <c r="D387" s="3">
        <v>-3921.81</v>
      </c>
      <c r="E387" s="3">
        <f t="shared" si="1"/>
        <v>-0.006445418572</v>
      </c>
      <c r="H387" s="15"/>
      <c r="I387" s="15"/>
      <c r="J387" s="1"/>
      <c r="K387" s="1"/>
      <c r="L387" s="1"/>
    </row>
    <row r="388" ht="15.75" customHeight="1">
      <c r="A388" s="15">
        <v>39234.0</v>
      </c>
      <c r="B388" s="3">
        <v>609888.19</v>
      </c>
      <c r="C388" s="3">
        <v>23603.43</v>
      </c>
      <c r="D388" s="3">
        <v>0.0</v>
      </c>
      <c r="E388" s="3">
        <f t="shared" si="1"/>
        <v>0</v>
      </c>
      <c r="H388" s="15"/>
      <c r="I388" s="15"/>
      <c r="J388" s="1"/>
      <c r="K388" s="1"/>
      <c r="L388" s="1"/>
    </row>
    <row r="389" ht="15.75" customHeight="1">
      <c r="A389" s="15">
        <v>39241.0</v>
      </c>
      <c r="B389" s="3">
        <v>594244.13</v>
      </c>
      <c r="C389" s="3">
        <v>23603.43</v>
      </c>
      <c r="D389" s="3">
        <v>-15644.06</v>
      </c>
      <c r="E389" s="3">
        <f t="shared" si="1"/>
        <v>-0.02565070165</v>
      </c>
      <c r="H389" s="15"/>
      <c r="I389" s="15"/>
      <c r="J389" s="1"/>
      <c r="K389" s="1"/>
      <c r="L389" s="1"/>
    </row>
    <row r="390" ht="15.75" customHeight="1">
      <c r="A390" s="15">
        <v>39248.0</v>
      </c>
      <c r="B390" s="3">
        <v>582207.38</v>
      </c>
      <c r="C390" s="3">
        <v>23603.43</v>
      </c>
      <c r="D390" s="3">
        <v>-27680.81</v>
      </c>
      <c r="E390" s="3">
        <f t="shared" si="1"/>
        <v>-0.04538669621</v>
      </c>
      <c r="H390" s="15"/>
      <c r="I390" s="15"/>
      <c r="J390" s="1"/>
      <c r="K390" s="1"/>
      <c r="L390" s="1"/>
    </row>
    <row r="391" ht="15.75" customHeight="1">
      <c r="A391" s="15">
        <v>39255.0</v>
      </c>
      <c r="B391" s="3">
        <v>586977.81</v>
      </c>
      <c r="C391" s="3">
        <v>23603.43</v>
      </c>
      <c r="D391" s="3">
        <v>-22910.38</v>
      </c>
      <c r="E391" s="3">
        <f t="shared" si="1"/>
        <v>-0.03756488546</v>
      </c>
      <c r="H391" s="15"/>
      <c r="I391" s="15"/>
      <c r="J391" s="1"/>
      <c r="K391" s="1"/>
      <c r="L391" s="1"/>
    </row>
    <row r="392" ht="15.75" customHeight="1">
      <c r="A392" s="15">
        <v>39262.0</v>
      </c>
      <c r="B392" s="3">
        <v>577814.13</v>
      </c>
      <c r="C392" s="3">
        <v>23603.43</v>
      </c>
      <c r="D392" s="3">
        <v>-32074.06</v>
      </c>
      <c r="E392" s="3">
        <f t="shared" si="1"/>
        <v>-0.05259006573</v>
      </c>
      <c r="H392" s="15"/>
      <c r="I392" s="15"/>
      <c r="J392" s="1"/>
      <c r="K392" s="1"/>
      <c r="L392" s="1"/>
    </row>
    <row r="393" ht="15.75" customHeight="1">
      <c r="A393" s="15">
        <v>39269.0</v>
      </c>
      <c r="B393" s="3">
        <v>579909.69</v>
      </c>
      <c r="C393" s="3">
        <v>11993.88</v>
      </c>
      <c r="D393" s="3">
        <v>-29978.5</v>
      </c>
      <c r="E393" s="3">
        <f t="shared" si="1"/>
        <v>-0.04915409167</v>
      </c>
      <c r="H393" s="15"/>
      <c r="I393" s="15"/>
      <c r="J393" s="1"/>
      <c r="K393" s="1"/>
      <c r="L393" s="1"/>
    </row>
    <row r="394" ht="15.75" customHeight="1">
      <c r="A394" s="15">
        <v>39276.0</v>
      </c>
      <c r="B394" s="3">
        <v>579359.31</v>
      </c>
      <c r="C394" s="3">
        <v>11993.88</v>
      </c>
      <c r="D394" s="3">
        <v>-30528.88</v>
      </c>
      <c r="E394" s="3">
        <f t="shared" si="1"/>
        <v>-0.05005651938</v>
      </c>
      <c r="H394" s="15"/>
      <c r="I394" s="15"/>
      <c r="J394" s="1"/>
      <c r="K394" s="1"/>
      <c r="L394" s="1"/>
    </row>
    <row r="395" ht="15.75" customHeight="1">
      <c r="A395" s="15">
        <v>39283.0</v>
      </c>
      <c r="B395" s="3">
        <v>582773.63</v>
      </c>
      <c r="C395" s="3">
        <v>11993.88</v>
      </c>
      <c r="D395" s="3">
        <v>-27114.56</v>
      </c>
      <c r="E395" s="3">
        <f t="shared" si="1"/>
        <v>-0.04445824734</v>
      </c>
      <c r="H395" s="15"/>
      <c r="I395" s="15"/>
      <c r="J395" s="1"/>
      <c r="K395" s="1"/>
      <c r="L395" s="1"/>
    </row>
    <row r="396" ht="15.75" customHeight="1">
      <c r="A396" s="15">
        <v>39290.0</v>
      </c>
      <c r="B396" s="3">
        <v>554640.25</v>
      </c>
      <c r="C396" s="3">
        <v>11993.88</v>
      </c>
      <c r="D396" s="3">
        <v>-55247.94</v>
      </c>
      <c r="E396" s="3">
        <f t="shared" si="1"/>
        <v>-0.09058699759</v>
      </c>
      <c r="H396" s="15"/>
      <c r="I396" s="15"/>
      <c r="J396" s="1"/>
      <c r="K396" s="1"/>
      <c r="L396" s="1"/>
    </row>
    <row r="397" ht="15.75" customHeight="1">
      <c r="A397" s="15">
        <v>39297.0</v>
      </c>
      <c r="B397" s="3">
        <v>544411.13</v>
      </c>
      <c r="C397" s="3">
        <v>11993.88</v>
      </c>
      <c r="D397" s="3">
        <v>-65477.06</v>
      </c>
      <c r="E397" s="3">
        <f t="shared" si="1"/>
        <v>-0.107359121</v>
      </c>
      <c r="H397" s="15"/>
      <c r="I397" s="15"/>
      <c r="J397" s="1"/>
      <c r="K397" s="1"/>
      <c r="L397" s="1"/>
    </row>
    <row r="398" ht="15.75" customHeight="1">
      <c r="A398" s="15">
        <v>39304.0</v>
      </c>
      <c r="B398" s="3">
        <v>545435.75</v>
      </c>
      <c r="C398" s="3">
        <v>158660.05</v>
      </c>
      <c r="D398" s="3">
        <v>-64452.44</v>
      </c>
      <c r="E398" s="3">
        <f t="shared" si="1"/>
        <v>-0.1056791082</v>
      </c>
      <c r="H398" s="15"/>
      <c r="I398" s="15"/>
      <c r="J398" s="1"/>
      <c r="K398" s="1"/>
      <c r="L398" s="1"/>
    </row>
    <row r="399" ht="15.75" customHeight="1">
      <c r="A399" s="15">
        <v>39311.0</v>
      </c>
      <c r="B399" s="3">
        <v>527873.94</v>
      </c>
      <c r="C399" s="3">
        <v>224170.5</v>
      </c>
      <c r="D399" s="3">
        <v>-82014.25</v>
      </c>
      <c r="E399" s="3">
        <f t="shared" si="1"/>
        <v>-0.1344742386</v>
      </c>
      <c r="H399" s="15"/>
      <c r="I399" s="15"/>
      <c r="J399" s="1"/>
      <c r="K399" s="1"/>
      <c r="L399" s="1"/>
    </row>
    <row r="400" ht="15.75" customHeight="1">
      <c r="A400" s="15">
        <v>39318.0</v>
      </c>
      <c r="B400" s="3">
        <v>546233.13</v>
      </c>
      <c r="C400" s="3">
        <v>224170.5</v>
      </c>
      <c r="D400" s="3">
        <v>-63655.06</v>
      </c>
      <c r="E400" s="3">
        <f t="shared" si="1"/>
        <v>-0.1043716882</v>
      </c>
      <c r="H400" s="15"/>
      <c r="I400" s="15"/>
      <c r="J400" s="1"/>
      <c r="K400" s="1"/>
      <c r="L400" s="1"/>
    </row>
    <row r="401" ht="15.75" customHeight="1">
      <c r="A401" s="15">
        <v>39325.0</v>
      </c>
      <c r="B401" s="3">
        <v>554885.44</v>
      </c>
      <c r="C401" s="3">
        <v>308491.53</v>
      </c>
      <c r="D401" s="3">
        <v>-55002.75</v>
      </c>
      <c r="E401" s="3">
        <f t="shared" si="1"/>
        <v>-0.09018497308</v>
      </c>
      <c r="H401" s="15"/>
      <c r="I401" s="15"/>
      <c r="J401" s="1"/>
      <c r="K401" s="1"/>
      <c r="L401" s="1"/>
    </row>
    <row r="402" ht="15.75" customHeight="1">
      <c r="A402" s="15">
        <v>39332.0</v>
      </c>
      <c r="B402" s="3">
        <v>559645.88</v>
      </c>
      <c r="C402" s="3">
        <v>169645.23</v>
      </c>
      <c r="D402" s="3">
        <v>-50242.31</v>
      </c>
      <c r="E402" s="3">
        <f t="shared" si="1"/>
        <v>-0.08237954239</v>
      </c>
      <c r="H402" s="15"/>
      <c r="I402" s="15"/>
      <c r="J402" s="1"/>
      <c r="K402" s="1"/>
      <c r="L402" s="1"/>
    </row>
    <row r="403" ht="15.75" customHeight="1">
      <c r="A403" s="15">
        <v>39339.0</v>
      </c>
      <c r="B403" s="3">
        <v>575050.25</v>
      </c>
      <c r="C403" s="3">
        <v>30935.2</v>
      </c>
      <c r="D403" s="3">
        <v>-34837.94</v>
      </c>
      <c r="E403" s="3">
        <f t="shared" si="1"/>
        <v>-0.0571218472</v>
      </c>
      <c r="H403" s="15"/>
      <c r="I403" s="15"/>
      <c r="J403" s="1"/>
      <c r="K403" s="1"/>
      <c r="L403" s="1"/>
    </row>
    <row r="404" ht="15.75" customHeight="1">
      <c r="A404" s="15">
        <v>39346.0</v>
      </c>
      <c r="B404" s="3">
        <v>580313.13</v>
      </c>
      <c r="C404" s="3">
        <v>30935.2</v>
      </c>
      <c r="D404" s="3">
        <v>-29575.06</v>
      </c>
      <c r="E404" s="3">
        <f t="shared" si="1"/>
        <v>-0.04849259337</v>
      </c>
      <c r="H404" s="15"/>
      <c r="I404" s="15"/>
      <c r="J404" s="1"/>
      <c r="K404" s="1"/>
      <c r="L404" s="1"/>
    </row>
    <row r="405" ht="15.75" customHeight="1">
      <c r="A405" s="15">
        <v>39353.0</v>
      </c>
      <c r="B405" s="3">
        <v>590712.5</v>
      </c>
      <c r="C405" s="3">
        <v>30935.2</v>
      </c>
      <c r="D405" s="3">
        <v>-19175.69</v>
      </c>
      <c r="E405" s="3">
        <f t="shared" si="1"/>
        <v>-0.03144132042</v>
      </c>
      <c r="H405" s="15"/>
      <c r="I405" s="15"/>
      <c r="J405" s="1"/>
      <c r="K405" s="1"/>
      <c r="L405" s="1"/>
    </row>
    <row r="406" ht="15.75" customHeight="1">
      <c r="A406" s="15">
        <v>39360.0</v>
      </c>
      <c r="B406" s="3">
        <v>588661.5</v>
      </c>
      <c r="C406" s="3">
        <v>30935.2</v>
      </c>
      <c r="D406" s="3">
        <v>-21226.69</v>
      </c>
      <c r="E406" s="3">
        <f t="shared" si="1"/>
        <v>-0.0348042319</v>
      </c>
      <c r="H406" s="15"/>
      <c r="I406" s="15"/>
      <c r="J406" s="1"/>
      <c r="K406" s="1"/>
      <c r="L406" s="1"/>
    </row>
    <row r="407" ht="15.75" customHeight="1">
      <c r="A407" s="15">
        <v>39367.0</v>
      </c>
      <c r="B407" s="3">
        <v>589882.44</v>
      </c>
      <c r="C407" s="3">
        <v>30935.2</v>
      </c>
      <c r="D407" s="3">
        <v>-20005.75</v>
      </c>
      <c r="E407" s="3">
        <f t="shared" si="1"/>
        <v>-0.03280232398</v>
      </c>
      <c r="H407" s="15"/>
      <c r="I407" s="15"/>
      <c r="J407" s="1"/>
      <c r="K407" s="1"/>
      <c r="L407" s="1"/>
    </row>
    <row r="408" ht="15.75" customHeight="1">
      <c r="A408" s="15">
        <v>39374.0</v>
      </c>
      <c r="B408" s="3">
        <v>590188.19</v>
      </c>
      <c r="C408" s="3">
        <v>30935.2</v>
      </c>
      <c r="D408" s="3">
        <v>-19700.0</v>
      </c>
      <c r="E408" s="3">
        <f t="shared" si="1"/>
        <v>-0.03230100258</v>
      </c>
      <c r="H408" s="15"/>
      <c r="I408" s="15"/>
      <c r="J408" s="1"/>
      <c r="K408" s="1"/>
      <c r="L408" s="1"/>
    </row>
    <row r="409" ht="15.75" customHeight="1">
      <c r="A409" s="15">
        <v>39381.0</v>
      </c>
      <c r="B409" s="3">
        <v>597190.63</v>
      </c>
      <c r="C409" s="3">
        <v>30935.2</v>
      </c>
      <c r="D409" s="3">
        <v>-12697.56</v>
      </c>
      <c r="E409" s="3">
        <f t="shared" si="1"/>
        <v>-0.02081948824</v>
      </c>
      <c r="H409" s="15"/>
      <c r="I409" s="15"/>
      <c r="J409" s="1"/>
      <c r="K409" s="1"/>
      <c r="L409" s="1"/>
    </row>
    <row r="410" ht="15.75" customHeight="1">
      <c r="A410" s="15">
        <v>39388.0</v>
      </c>
      <c r="B410" s="3">
        <v>596539.13</v>
      </c>
      <c r="C410" s="3">
        <v>30935.2</v>
      </c>
      <c r="D410" s="3">
        <v>-13349.06</v>
      </c>
      <c r="E410" s="3">
        <f t="shared" si="1"/>
        <v>-0.02188771683</v>
      </c>
      <c r="H410" s="15"/>
      <c r="I410" s="15"/>
      <c r="J410" s="1"/>
      <c r="K410" s="1"/>
      <c r="L410" s="1"/>
    </row>
    <row r="411" ht="15.75" customHeight="1">
      <c r="A411" s="15">
        <v>39395.0</v>
      </c>
      <c r="B411" s="3">
        <v>582349.69</v>
      </c>
      <c r="C411" s="3">
        <v>30935.2</v>
      </c>
      <c r="D411" s="3">
        <v>-27538.5</v>
      </c>
      <c r="E411" s="3">
        <f t="shared" si="1"/>
        <v>-0.04515335836</v>
      </c>
      <c r="H411" s="15"/>
      <c r="I411" s="15"/>
      <c r="J411" s="1"/>
      <c r="K411" s="1"/>
      <c r="L411" s="1"/>
    </row>
    <row r="412" ht="15.75" customHeight="1">
      <c r="A412" s="15">
        <v>39402.0</v>
      </c>
      <c r="B412" s="3">
        <v>579948.5</v>
      </c>
      <c r="C412" s="3">
        <v>30935.2</v>
      </c>
      <c r="D412" s="3">
        <v>-29939.69</v>
      </c>
      <c r="E412" s="3">
        <f t="shared" si="1"/>
        <v>-0.04909045706</v>
      </c>
      <c r="H412" s="15"/>
      <c r="I412" s="15"/>
      <c r="J412" s="1"/>
      <c r="K412" s="1"/>
      <c r="L412" s="1"/>
    </row>
    <row r="413" ht="15.75" customHeight="1">
      <c r="A413" s="15">
        <v>39409.0</v>
      </c>
      <c r="B413" s="3">
        <v>569266.75</v>
      </c>
      <c r="C413" s="3">
        <v>30935.2</v>
      </c>
      <c r="D413" s="3">
        <v>-40621.44</v>
      </c>
      <c r="E413" s="3">
        <f t="shared" si="1"/>
        <v>-0.06660473291</v>
      </c>
      <c r="H413" s="15"/>
      <c r="I413" s="15"/>
      <c r="J413" s="1"/>
      <c r="K413" s="1"/>
      <c r="L413" s="1"/>
    </row>
    <row r="414" ht="15.75" customHeight="1">
      <c r="A414" s="15">
        <v>39416.0</v>
      </c>
      <c r="B414" s="3">
        <v>585200.5</v>
      </c>
      <c r="C414" s="3">
        <v>30935.2</v>
      </c>
      <c r="D414" s="3">
        <v>-24687.69</v>
      </c>
      <c r="E414" s="3">
        <f t="shared" si="1"/>
        <v>-0.04047904256</v>
      </c>
      <c r="H414" s="15"/>
      <c r="I414" s="15"/>
      <c r="J414" s="1"/>
      <c r="K414" s="1"/>
      <c r="L414" s="1"/>
    </row>
    <row r="415" ht="15.75" customHeight="1">
      <c r="A415" s="15">
        <v>39423.0</v>
      </c>
      <c r="B415" s="3">
        <v>596028.88</v>
      </c>
      <c r="C415" s="3">
        <v>38819.99</v>
      </c>
      <c r="D415" s="3">
        <v>-13859.31</v>
      </c>
      <c r="E415" s="3">
        <f t="shared" si="1"/>
        <v>-0.02272434559</v>
      </c>
      <c r="H415" s="15"/>
      <c r="I415" s="15"/>
      <c r="J415" s="1"/>
      <c r="K415" s="1"/>
      <c r="L415" s="1"/>
    </row>
    <row r="416" ht="15.75" customHeight="1">
      <c r="A416" s="15">
        <v>39430.0</v>
      </c>
      <c r="B416" s="3">
        <v>583880.0</v>
      </c>
      <c r="C416" s="3">
        <v>38819.99</v>
      </c>
      <c r="D416" s="3">
        <v>-26008.19</v>
      </c>
      <c r="E416" s="3">
        <f t="shared" si="1"/>
        <v>-0.04264419352</v>
      </c>
      <c r="H416" s="15"/>
      <c r="I416" s="15"/>
      <c r="J416" s="1"/>
      <c r="K416" s="1"/>
      <c r="L416" s="1"/>
    </row>
    <row r="417" ht="15.75" customHeight="1">
      <c r="A417" s="15">
        <v>39437.0</v>
      </c>
      <c r="B417" s="3">
        <v>576322.38</v>
      </c>
      <c r="C417" s="3">
        <v>38819.99</v>
      </c>
      <c r="D417" s="3">
        <v>-33565.81</v>
      </c>
      <c r="E417" s="3">
        <f t="shared" si="1"/>
        <v>-0.05503600586</v>
      </c>
      <c r="H417" s="15"/>
      <c r="I417" s="15"/>
      <c r="J417" s="1"/>
      <c r="K417" s="1"/>
      <c r="L417" s="1"/>
    </row>
    <row r="418" ht="15.75" customHeight="1">
      <c r="A418" s="15">
        <v>39444.0</v>
      </c>
      <c r="B418" s="3">
        <v>584499.75</v>
      </c>
      <c r="C418" s="3">
        <v>87272.99</v>
      </c>
      <c r="D418" s="3">
        <v>-25388.44</v>
      </c>
      <c r="E418" s="3">
        <f t="shared" si="1"/>
        <v>-0.04162802365</v>
      </c>
      <c r="H418" s="15"/>
      <c r="I418" s="15"/>
      <c r="J418" s="1"/>
      <c r="K418" s="1"/>
      <c r="L418" s="1"/>
    </row>
    <row r="419" ht="15.75" customHeight="1">
      <c r="A419" s="15">
        <v>39451.0</v>
      </c>
      <c r="B419" s="3">
        <v>581380.88</v>
      </c>
      <c r="C419" s="3">
        <v>87272.99</v>
      </c>
      <c r="D419" s="3">
        <v>-28507.31</v>
      </c>
      <c r="E419" s="3">
        <f t="shared" si="1"/>
        <v>-0.04674186264</v>
      </c>
      <c r="H419" s="15"/>
      <c r="I419" s="15"/>
      <c r="J419" s="1"/>
      <c r="K419" s="1"/>
      <c r="L419" s="1"/>
    </row>
    <row r="420" ht="15.75" customHeight="1">
      <c r="A420" s="15">
        <v>39458.0</v>
      </c>
      <c r="B420" s="3">
        <v>556163.44</v>
      </c>
      <c r="C420" s="3">
        <v>87272.99</v>
      </c>
      <c r="D420" s="3">
        <v>-53724.75</v>
      </c>
      <c r="E420" s="3">
        <f t="shared" si="1"/>
        <v>-0.08808950703</v>
      </c>
      <c r="H420" s="15"/>
      <c r="I420" s="15"/>
      <c r="J420" s="1"/>
      <c r="K420" s="1"/>
      <c r="L420" s="1"/>
    </row>
    <row r="421" ht="15.75" customHeight="1">
      <c r="A421" s="15">
        <v>39465.0</v>
      </c>
      <c r="B421" s="3">
        <v>545190.0</v>
      </c>
      <c r="C421" s="3">
        <v>87272.99</v>
      </c>
      <c r="D421" s="3">
        <v>-64698.19</v>
      </c>
      <c r="E421" s="3">
        <f t="shared" si="1"/>
        <v>-0.1060820509</v>
      </c>
      <c r="H421" s="15"/>
      <c r="I421" s="15"/>
      <c r="J421" s="1"/>
      <c r="K421" s="1"/>
      <c r="L421" s="1"/>
    </row>
    <row r="422" ht="15.75" customHeight="1">
      <c r="A422" s="15">
        <v>39472.0</v>
      </c>
      <c r="B422" s="3">
        <v>552674.69</v>
      </c>
      <c r="C422" s="3">
        <v>236976.08</v>
      </c>
      <c r="D422" s="3">
        <v>-57213.5</v>
      </c>
      <c r="E422" s="3">
        <f t="shared" si="1"/>
        <v>-0.09380981783</v>
      </c>
      <c r="H422" s="15"/>
      <c r="I422" s="15"/>
      <c r="J422" s="1"/>
      <c r="K422" s="1"/>
      <c r="L422" s="1"/>
    </row>
    <row r="423" ht="15.75" customHeight="1">
      <c r="A423" s="15">
        <v>39479.0</v>
      </c>
      <c r="B423" s="3">
        <v>558064.44</v>
      </c>
      <c r="C423" s="3">
        <v>266458.25</v>
      </c>
      <c r="D423" s="3">
        <v>-51823.75</v>
      </c>
      <c r="E423" s="3">
        <f t="shared" si="1"/>
        <v>-0.08497254226</v>
      </c>
      <c r="H423" s="15"/>
      <c r="I423" s="15"/>
      <c r="J423" s="1"/>
      <c r="K423" s="1"/>
      <c r="L423" s="1"/>
    </row>
    <row r="424" ht="15.75" customHeight="1">
      <c r="A424" s="15">
        <v>39486.0</v>
      </c>
      <c r="B424" s="3">
        <v>552988.31</v>
      </c>
      <c r="C424" s="3">
        <v>266458.25</v>
      </c>
      <c r="D424" s="3">
        <v>-56899.88</v>
      </c>
      <c r="E424" s="3">
        <f t="shared" si="1"/>
        <v>-0.09329559243</v>
      </c>
      <c r="H424" s="15"/>
      <c r="I424" s="15"/>
      <c r="J424" s="1"/>
      <c r="K424" s="1"/>
      <c r="L424" s="1"/>
    </row>
    <row r="425" ht="15.75" customHeight="1">
      <c r="A425" s="15">
        <v>39493.0</v>
      </c>
      <c r="B425" s="3">
        <v>555423.81</v>
      </c>
      <c r="C425" s="3">
        <v>266458.25</v>
      </c>
      <c r="D425" s="3">
        <v>-54464.38</v>
      </c>
      <c r="E425" s="3">
        <f t="shared" si="1"/>
        <v>-0.08930223751</v>
      </c>
      <c r="H425" s="15"/>
      <c r="I425" s="15"/>
      <c r="J425" s="1"/>
      <c r="K425" s="1"/>
      <c r="L425" s="1"/>
    </row>
    <row r="426" ht="15.75" customHeight="1">
      <c r="A426" s="15">
        <v>39500.0</v>
      </c>
      <c r="B426" s="3">
        <v>557435.88</v>
      </c>
      <c r="C426" s="3">
        <v>266458.25</v>
      </c>
      <c r="D426" s="3">
        <v>-52452.31</v>
      </c>
      <c r="E426" s="3">
        <f t="shared" si="1"/>
        <v>-0.0860031574</v>
      </c>
      <c r="H426" s="15"/>
      <c r="I426" s="15"/>
      <c r="J426" s="1"/>
      <c r="K426" s="1"/>
      <c r="L426" s="1"/>
    </row>
    <row r="427" ht="15.75" customHeight="1">
      <c r="A427" s="15">
        <v>39507.0</v>
      </c>
      <c r="B427" s="3">
        <v>554176.75</v>
      </c>
      <c r="C427" s="3">
        <v>328151.56</v>
      </c>
      <c r="D427" s="3">
        <v>-55711.44</v>
      </c>
      <c r="E427" s="3">
        <f t="shared" si="1"/>
        <v>-0.09134697296</v>
      </c>
      <c r="H427" s="15"/>
      <c r="I427" s="15"/>
      <c r="J427" s="1"/>
      <c r="K427" s="1"/>
      <c r="L427" s="1"/>
    </row>
    <row r="428" ht="15.75" customHeight="1">
      <c r="A428" s="15">
        <v>39514.0</v>
      </c>
      <c r="B428" s="3">
        <v>545565.56</v>
      </c>
      <c r="C428" s="3">
        <v>344204.75</v>
      </c>
      <c r="D428" s="3">
        <v>-64322.63</v>
      </c>
      <c r="E428" s="3">
        <f t="shared" si="1"/>
        <v>-0.1054662659</v>
      </c>
      <c r="H428" s="15"/>
      <c r="I428" s="15"/>
      <c r="J428" s="1"/>
      <c r="K428" s="1"/>
      <c r="L428" s="1"/>
    </row>
    <row r="429" ht="15.75" customHeight="1">
      <c r="A429" s="15">
        <v>39521.0</v>
      </c>
      <c r="B429" s="3">
        <v>542622.69</v>
      </c>
      <c r="C429" s="3">
        <v>446808.5</v>
      </c>
      <c r="D429" s="3">
        <v>-67265.5</v>
      </c>
      <c r="E429" s="3">
        <f t="shared" si="1"/>
        <v>-0.1102915274</v>
      </c>
      <c r="H429" s="15"/>
      <c r="I429" s="15"/>
      <c r="J429" s="1"/>
      <c r="K429" s="1"/>
      <c r="L429" s="1"/>
    </row>
    <row r="430" ht="15.75" customHeight="1">
      <c r="A430" s="15">
        <v>39527.0</v>
      </c>
      <c r="B430" s="3">
        <v>541496.19</v>
      </c>
      <c r="C430" s="3">
        <v>446808.5</v>
      </c>
      <c r="D430" s="3">
        <v>-68392.0</v>
      </c>
      <c r="E430" s="3">
        <f t="shared" si="1"/>
        <v>-0.1121385872</v>
      </c>
      <c r="H430" s="15"/>
      <c r="I430" s="15"/>
      <c r="J430" s="1"/>
      <c r="K430" s="1"/>
      <c r="L430" s="1"/>
    </row>
    <row r="431" ht="15.75" customHeight="1">
      <c r="A431" s="15">
        <v>39535.0</v>
      </c>
      <c r="B431" s="3">
        <v>543298.81</v>
      </c>
      <c r="C431" s="3">
        <v>475203.38</v>
      </c>
      <c r="D431" s="3">
        <v>-66589.38</v>
      </c>
      <c r="E431" s="3">
        <f t="shared" si="1"/>
        <v>-0.1091829307</v>
      </c>
      <c r="H431" s="15"/>
      <c r="I431" s="15"/>
      <c r="J431" s="1"/>
      <c r="K431" s="1"/>
      <c r="L431" s="1"/>
    </row>
    <row r="432" ht="15.75" customHeight="1">
      <c r="A432" s="15">
        <v>39542.0</v>
      </c>
      <c r="B432" s="3">
        <v>548161.13</v>
      </c>
      <c r="C432" s="3">
        <v>475203.38</v>
      </c>
      <c r="D432" s="3">
        <v>-61727.06</v>
      </c>
      <c r="E432" s="3">
        <f t="shared" si="1"/>
        <v>-0.101210453</v>
      </c>
      <c r="H432" s="15"/>
      <c r="I432" s="15"/>
      <c r="J432" s="1"/>
      <c r="K432" s="1"/>
      <c r="L432" s="1"/>
    </row>
    <row r="433" ht="15.75" customHeight="1">
      <c r="A433" s="15">
        <v>39549.0</v>
      </c>
      <c r="B433" s="3">
        <v>546162.56</v>
      </c>
      <c r="C433" s="3">
        <v>475203.38</v>
      </c>
      <c r="D433" s="3">
        <v>-63725.63</v>
      </c>
      <c r="E433" s="3">
        <f t="shared" si="1"/>
        <v>-0.1044873979</v>
      </c>
      <c r="H433" s="15"/>
      <c r="I433" s="15"/>
      <c r="J433" s="1"/>
      <c r="K433" s="1"/>
      <c r="L433" s="1"/>
    </row>
    <row r="434" ht="15.75" customHeight="1">
      <c r="A434" s="15">
        <v>39556.0</v>
      </c>
      <c r="B434" s="3">
        <v>549767.13</v>
      </c>
      <c r="C434" s="3">
        <v>475203.38</v>
      </c>
      <c r="D434" s="3">
        <v>-60121.06</v>
      </c>
      <c r="E434" s="3">
        <f t="shared" si="1"/>
        <v>-0.09857718347</v>
      </c>
      <c r="H434" s="15"/>
      <c r="I434" s="15"/>
      <c r="J434" s="1"/>
      <c r="K434" s="1"/>
      <c r="L434" s="1"/>
    </row>
    <row r="435" ht="15.75" customHeight="1">
      <c r="A435" s="15">
        <v>39562.0</v>
      </c>
      <c r="B435" s="3">
        <v>551095.94</v>
      </c>
      <c r="C435" s="3">
        <v>475203.38</v>
      </c>
      <c r="D435" s="3">
        <v>-58792.25</v>
      </c>
      <c r="E435" s="3">
        <f t="shared" si="1"/>
        <v>-0.09639840706</v>
      </c>
      <c r="H435" s="15"/>
      <c r="I435" s="15"/>
      <c r="J435" s="1"/>
      <c r="K435" s="1"/>
      <c r="L435" s="1"/>
    </row>
    <row r="436" ht="15.75" customHeight="1">
      <c r="A436" s="15">
        <v>39570.0</v>
      </c>
      <c r="B436" s="3">
        <v>573826.56</v>
      </c>
      <c r="C436" s="3">
        <v>61405.44</v>
      </c>
      <c r="D436" s="3">
        <v>-36061.63</v>
      </c>
      <c r="E436" s="3">
        <f t="shared" si="1"/>
        <v>-0.05912826415</v>
      </c>
      <c r="H436" s="15"/>
      <c r="I436" s="15"/>
      <c r="J436" s="1"/>
      <c r="K436" s="1"/>
      <c r="L436" s="1"/>
    </row>
    <row r="437" ht="15.75" customHeight="1">
      <c r="A437" s="15">
        <v>39577.0</v>
      </c>
      <c r="B437" s="3">
        <v>585837.19</v>
      </c>
      <c r="C437" s="3">
        <v>25126.03</v>
      </c>
      <c r="D437" s="3">
        <v>-24051.0</v>
      </c>
      <c r="E437" s="3">
        <f t="shared" si="1"/>
        <v>-0.03943509711</v>
      </c>
      <c r="H437" s="15"/>
      <c r="I437" s="15"/>
      <c r="J437" s="1"/>
      <c r="K437" s="1"/>
      <c r="L437" s="1"/>
    </row>
    <row r="438" ht="15.75" customHeight="1">
      <c r="A438" s="15">
        <v>39584.0</v>
      </c>
      <c r="B438" s="3">
        <v>588870.5</v>
      </c>
      <c r="C438" s="3">
        <v>25126.03</v>
      </c>
      <c r="D438" s="3">
        <v>-21017.69</v>
      </c>
      <c r="E438" s="3">
        <f t="shared" si="1"/>
        <v>-0.03446154614</v>
      </c>
      <c r="H438" s="15"/>
      <c r="I438" s="15"/>
      <c r="J438" s="1"/>
      <c r="K438" s="1"/>
      <c r="L438" s="1"/>
    </row>
    <row r="439" ht="15.75" customHeight="1">
      <c r="A439" s="15">
        <v>39591.0</v>
      </c>
      <c r="B439" s="3">
        <v>594236.25</v>
      </c>
      <c r="C439" s="3">
        <v>25126.03</v>
      </c>
      <c r="D439" s="3">
        <v>-15651.94</v>
      </c>
      <c r="E439" s="3">
        <f t="shared" si="1"/>
        <v>-0.02566362205</v>
      </c>
      <c r="H439" s="15"/>
      <c r="I439" s="15"/>
      <c r="J439" s="1"/>
      <c r="K439" s="1"/>
      <c r="L439" s="1"/>
    </row>
    <row r="440" ht="15.75" customHeight="1">
      <c r="A440" s="15">
        <v>39598.0</v>
      </c>
      <c r="B440" s="3">
        <v>605900.13</v>
      </c>
      <c r="C440" s="3">
        <v>25126.03</v>
      </c>
      <c r="D440" s="3">
        <v>-3988.06</v>
      </c>
      <c r="E440" s="3">
        <f t="shared" si="1"/>
        <v>-0.006539001846</v>
      </c>
      <c r="H440" s="15"/>
      <c r="I440" s="15"/>
      <c r="J440" s="1"/>
      <c r="K440" s="1"/>
      <c r="L440" s="1"/>
    </row>
    <row r="441" ht="15.75" customHeight="1">
      <c r="A441" s="15">
        <v>39605.0</v>
      </c>
      <c r="B441" s="3">
        <v>598050.0</v>
      </c>
      <c r="C441" s="3">
        <v>22231.14</v>
      </c>
      <c r="D441" s="3">
        <v>-11838.19</v>
      </c>
      <c r="E441" s="3">
        <f t="shared" si="1"/>
        <v>-0.01941042669</v>
      </c>
      <c r="H441" s="15"/>
      <c r="I441" s="15"/>
      <c r="J441" s="1"/>
      <c r="K441" s="1"/>
      <c r="L441" s="1"/>
    </row>
    <row r="442" ht="15.75" customHeight="1">
      <c r="A442" s="15">
        <v>39612.0</v>
      </c>
      <c r="B442" s="3">
        <v>585819.25</v>
      </c>
      <c r="C442" s="3">
        <v>22231.14</v>
      </c>
      <c r="D442" s="3">
        <v>-24068.94</v>
      </c>
      <c r="E442" s="3">
        <f t="shared" si="1"/>
        <v>-0.03946451234</v>
      </c>
      <c r="H442" s="15"/>
      <c r="I442" s="15"/>
      <c r="J442" s="1"/>
      <c r="K442" s="1"/>
      <c r="L442" s="1"/>
    </row>
    <row r="443" ht="15.75" customHeight="1">
      <c r="A443" s="15">
        <v>39619.0</v>
      </c>
      <c r="B443" s="3">
        <v>587754.38</v>
      </c>
      <c r="C443" s="3">
        <v>22231.14</v>
      </c>
      <c r="D443" s="3">
        <v>-22133.81</v>
      </c>
      <c r="E443" s="3">
        <f t="shared" si="1"/>
        <v>-0.0362915865</v>
      </c>
      <c r="H443" s="15"/>
      <c r="I443" s="15"/>
      <c r="J443" s="1"/>
      <c r="K443" s="1"/>
      <c r="L443" s="1"/>
    </row>
    <row r="444" ht="15.75" customHeight="1">
      <c r="A444" s="15">
        <v>39626.0</v>
      </c>
      <c r="B444" s="3">
        <v>582487.75</v>
      </c>
      <c r="C444" s="3">
        <v>95864.25</v>
      </c>
      <c r="D444" s="3">
        <v>-27400.44</v>
      </c>
      <c r="E444" s="3">
        <f t="shared" si="1"/>
        <v>-0.04492698899</v>
      </c>
      <c r="H444" s="15"/>
      <c r="I444" s="15"/>
      <c r="J444" s="1"/>
      <c r="K444" s="1"/>
      <c r="L444" s="1"/>
    </row>
    <row r="445" ht="15.75" customHeight="1">
      <c r="A445" s="15">
        <v>39633.0</v>
      </c>
      <c r="B445" s="3">
        <v>562138.94</v>
      </c>
      <c r="C445" s="3">
        <v>123982.45</v>
      </c>
      <c r="D445" s="3">
        <v>-47749.25</v>
      </c>
      <c r="E445" s="3">
        <f t="shared" si="1"/>
        <v>-0.07829180952</v>
      </c>
      <c r="H445" s="15"/>
      <c r="I445" s="15"/>
      <c r="J445" s="1"/>
      <c r="K445" s="1"/>
      <c r="L445" s="1"/>
    </row>
    <row r="446" ht="15.75" customHeight="1">
      <c r="A446" s="15">
        <v>39640.0</v>
      </c>
      <c r="B446" s="3">
        <v>554593.38</v>
      </c>
      <c r="C446" s="3">
        <v>192142.89</v>
      </c>
      <c r="D446" s="3">
        <v>-55294.81</v>
      </c>
      <c r="E446" s="3">
        <f t="shared" si="1"/>
        <v>-0.09066384775</v>
      </c>
      <c r="H446" s="15"/>
      <c r="I446" s="15"/>
      <c r="J446" s="1"/>
      <c r="K446" s="1"/>
      <c r="L446" s="1"/>
    </row>
    <row r="447" ht="15.75" customHeight="1">
      <c r="A447" s="15">
        <v>39647.0</v>
      </c>
      <c r="B447" s="3">
        <v>554049.44</v>
      </c>
      <c r="C447" s="3">
        <v>330455.94</v>
      </c>
      <c r="D447" s="3">
        <v>-55838.75</v>
      </c>
      <c r="E447" s="3">
        <f t="shared" si="1"/>
        <v>-0.09155571614</v>
      </c>
      <c r="H447" s="15"/>
      <c r="I447" s="15"/>
      <c r="J447" s="1"/>
      <c r="K447" s="1"/>
      <c r="L447" s="1"/>
    </row>
    <row r="448" ht="15.75" customHeight="1">
      <c r="A448" s="15">
        <v>39654.0</v>
      </c>
      <c r="B448" s="3">
        <v>552630.13</v>
      </c>
      <c r="C448" s="3">
        <v>440626.84</v>
      </c>
      <c r="D448" s="3">
        <v>-57258.06</v>
      </c>
      <c r="E448" s="3">
        <f t="shared" si="1"/>
        <v>-0.0938828804</v>
      </c>
      <c r="H448" s="15"/>
      <c r="I448" s="15"/>
      <c r="J448" s="1"/>
      <c r="K448" s="1"/>
      <c r="L448" s="1"/>
    </row>
    <row r="449" ht="15.75" customHeight="1">
      <c r="A449" s="15">
        <v>39661.0</v>
      </c>
      <c r="B449" s="3">
        <v>552326.81</v>
      </c>
      <c r="C449" s="3">
        <v>440626.84</v>
      </c>
      <c r="D449" s="3">
        <v>-57561.38</v>
      </c>
      <c r="E449" s="3">
        <f t="shared" si="1"/>
        <v>-0.09438021746</v>
      </c>
      <c r="H449" s="15"/>
      <c r="I449" s="15"/>
      <c r="J449" s="1"/>
      <c r="K449" s="1"/>
      <c r="L449" s="1"/>
    </row>
    <row r="450" ht="15.75" customHeight="1">
      <c r="A450" s="15">
        <v>39668.0</v>
      </c>
      <c r="B450" s="3">
        <v>552252.94</v>
      </c>
      <c r="C450" s="3">
        <v>470706.22</v>
      </c>
      <c r="D450" s="3">
        <v>-57635.25</v>
      </c>
      <c r="E450" s="3">
        <f t="shared" si="1"/>
        <v>-0.09450133802</v>
      </c>
      <c r="H450" s="15"/>
      <c r="I450" s="15"/>
      <c r="J450" s="1"/>
      <c r="K450" s="1"/>
      <c r="L450" s="1"/>
    </row>
    <row r="451" ht="15.75" customHeight="1">
      <c r="A451" s="15">
        <v>39675.0</v>
      </c>
      <c r="B451" s="3">
        <v>552376.0</v>
      </c>
      <c r="C451" s="3">
        <v>470706.22</v>
      </c>
      <c r="D451" s="3">
        <v>-57512.19</v>
      </c>
      <c r="E451" s="3">
        <f t="shared" si="1"/>
        <v>-0.09429956333</v>
      </c>
      <c r="H451" s="15"/>
      <c r="I451" s="15"/>
      <c r="J451" s="1"/>
      <c r="K451" s="1"/>
      <c r="L451" s="1"/>
    </row>
    <row r="452" ht="15.75" customHeight="1">
      <c r="A452" s="15">
        <v>39682.0</v>
      </c>
      <c r="B452" s="3">
        <v>551094.81</v>
      </c>
      <c r="C452" s="3">
        <v>470706.22</v>
      </c>
      <c r="D452" s="3">
        <v>-58793.38</v>
      </c>
      <c r="E452" s="3">
        <f t="shared" si="1"/>
        <v>-0.09640025986</v>
      </c>
      <c r="H452" s="15"/>
      <c r="I452" s="15"/>
      <c r="J452" s="1"/>
      <c r="K452" s="1"/>
      <c r="L452" s="1"/>
    </row>
    <row r="453" ht="15.75" customHeight="1">
      <c r="A453" s="15">
        <v>39689.0</v>
      </c>
      <c r="B453" s="3">
        <v>552335.94</v>
      </c>
      <c r="C453" s="3">
        <v>470706.22</v>
      </c>
      <c r="D453" s="3">
        <v>-57552.25</v>
      </c>
      <c r="E453" s="3">
        <f t="shared" si="1"/>
        <v>-0.09436524751</v>
      </c>
      <c r="H453" s="15"/>
      <c r="I453" s="15"/>
      <c r="J453" s="1"/>
      <c r="K453" s="1"/>
      <c r="L453" s="1"/>
    </row>
    <row r="454" ht="15.75" customHeight="1">
      <c r="A454" s="15">
        <v>39696.0</v>
      </c>
      <c r="B454" s="3">
        <v>551981.13</v>
      </c>
      <c r="C454" s="3">
        <v>470706.22</v>
      </c>
      <c r="D454" s="3">
        <v>-57907.06</v>
      </c>
      <c r="E454" s="3">
        <f t="shared" si="1"/>
        <v>-0.09494700988</v>
      </c>
      <c r="H454" s="15"/>
      <c r="I454" s="15"/>
      <c r="J454" s="1"/>
      <c r="K454" s="1"/>
      <c r="L454" s="1"/>
    </row>
    <row r="455" ht="15.75" customHeight="1">
      <c r="A455" s="15">
        <v>39703.0</v>
      </c>
      <c r="B455" s="3">
        <v>556285.0</v>
      </c>
      <c r="C455" s="3">
        <v>470706.22</v>
      </c>
      <c r="D455" s="3">
        <v>-53603.19</v>
      </c>
      <c r="E455" s="3">
        <f t="shared" si="1"/>
        <v>-0.08789019181</v>
      </c>
      <c r="H455" s="15"/>
      <c r="I455" s="15"/>
      <c r="J455" s="1"/>
      <c r="K455" s="1"/>
      <c r="L455" s="1"/>
    </row>
    <row r="456" ht="15.75" customHeight="1">
      <c r="A456" s="15">
        <v>39710.0</v>
      </c>
      <c r="B456" s="3">
        <v>554883.19</v>
      </c>
      <c r="C456" s="3">
        <v>470706.22</v>
      </c>
      <c r="D456" s="3">
        <v>-55005.0</v>
      </c>
      <c r="E456" s="3">
        <f t="shared" si="1"/>
        <v>-0.09018866229</v>
      </c>
      <c r="H456" s="15"/>
      <c r="I456" s="15"/>
      <c r="J456" s="1"/>
      <c r="K456" s="1"/>
      <c r="L456" s="1"/>
    </row>
    <row r="457" ht="15.75" customHeight="1">
      <c r="A457" s="15">
        <v>39717.0</v>
      </c>
      <c r="B457" s="3">
        <v>556881.44</v>
      </c>
      <c r="C457" s="3">
        <v>527037.13</v>
      </c>
      <c r="D457" s="3">
        <v>-53006.75</v>
      </c>
      <c r="E457" s="3">
        <f t="shared" si="1"/>
        <v>-0.08691224206</v>
      </c>
      <c r="H457" s="15"/>
      <c r="I457" s="15"/>
      <c r="J457" s="1"/>
      <c r="K457" s="1"/>
      <c r="L457" s="1"/>
    </row>
    <row r="458" ht="15.75" customHeight="1">
      <c r="A458" s="15">
        <v>39724.0</v>
      </c>
      <c r="B458" s="3">
        <v>556688.06</v>
      </c>
      <c r="C458" s="3">
        <v>527037.13</v>
      </c>
      <c r="D458" s="3">
        <v>-53200.13</v>
      </c>
      <c r="E458" s="3">
        <f t="shared" si="1"/>
        <v>-0.08722931657</v>
      </c>
      <c r="H458" s="15"/>
      <c r="I458" s="15"/>
      <c r="J458" s="1"/>
      <c r="K458" s="1"/>
      <c r="L458" s="1"/>
    </row>
    <row r="459" ht="15.75" customHeight="1">
      <c r="A459" s="15">
        <v>39731.0</v>
      </c>
      <c r="B459" s="3">
        <v>555785.63</v>
      </c>
      <c r="C459" s="3">
        <v>527037.13</v>
      </c>
      <c r="D459" s="3">
        <v>-54102.56</v>
      </c>
      <c r="E459" s="3">
        <f t="shared" si="1"/>
        <v>-0.08870898123</v>
      </c>
      <c r="H459" s="15"/>
      <c r="I459" s="15"/>
      <c r="J459" s="1"/>
      <c r="K459" s="1"/>
      <c r="L459" s="1"/>
    </row>
    <row r="460" ht="15.75" customHeight="1">
      <c r="A460" s="15">
        <v>39738.0</v>
      </c>
      <c r="B460" s="3">
        <v>556688.06</v>
      </c>
      <c r="C460" s="3">
        <v>527037.13</v>
      </c>
      <c r="D460" s="3">
        <v>-53200.13</v>
      </c>
      <c r="E460" s="3">
        <f t="shared" si="1"/>
        <v>-0.08722931657</v>
      </c>
      <c r="H460" s="15"/>
      <c r="I460" s="15"/>
      <c r="J460" s="1"/>
      <c r="K460" s="1"/>
      <c r="L460" s="1"/>
    </row>
    <row r="461" ht="15.75" customHeight="1">
      <c r="A461" s="15">
        <v>39745.0</v>
      </c>
      <c r="B461" s="3">
        <v>556881.44</v>
      </c>
      <c r="C461" s="3">
        <v>527037.13</v>
      </c>
      <c r="D461" s="3">
        <v>-53006.75</v>
      </c>
      <c r="E461" s="3">
        <f t="shared" si="1"/>
        <v>-0.08691224206</v>
      </c>
      <c r="H461" s="15"/>
      <c r="I461" s="15"/>
      <c r="J461" s="1"/>
      <c r="K461" s="1"/>
      <c r="L461" s="1"/>
    </row>
    <row r="462" ht="15.75" customHeight="1">
      <c r="A462" s="15">
        <v>39752.0</v>
      </c>
      <c r="B462" s="3">
        <v>554818.75</v>
      </c>
      <c r="C462" s="3">
        <v>527037.13</v>
      </c>
      <c r="D462" s="3">
        <v>-55069.44</v>
      </c>
      <c r="E462" s="3">
        <f t="shared" si="1"/>
        <v>-0.090294321</v>
      </c>
      <c r="H462" s="15"/>
      <c r="I462" s="15"/>
      <c r="J462" s="1"/>
      <c r="K462" s="1"/>
      <c r="L462" s="1"/>
    </row>
    <row r="463" ht="15.75" customHeight="1">
      <c r="A463" s="15">
        <v>39759.0</v>
      </c>
      <c r="B463" s="3">
        <v>558621.81</v>
      </c>
      <c r="C463" s="3">
        <v>527037.13</v>
      </c>
      <c r="D463" s="3">
        <v>-51266.38</v>
      </c>
      <c r="E463" s="3">
        <f t="shared" si="1"/>
        <v>-0.08405865344</v>
      </c>
      <c r="H463" s="15"/>
      <c r="I463" s="15"/>
      <c r="J463" s="1"/>
      <c r="K463" s="1"/>
      <c r="L463" s="1"/>
    </row>
    <row r="464" ht="15.75" customHeight="1">
      <c r="A464" s="15">
        <v>39766.0</v>
      </c>
      <c r="B464" s="3">
        <v>557332.63</v>
      </c>
      <c r="C464" s="3">
        <v>527037.13</v>
      </c>
      <c r="D464" s="3">
        <v>-52555.56</v>
      </c>
      <c r="E464" s="3">
        <f t="shared" si="1"/>
        <v>-0.08617245072</v>
      </c>
      <c r="H464" s="15"/>
      <c r="I464" s="15"/>
      <c r="J464" s="1"/>
      <c r="K464" s="1"/>
      <c r="L464" s="1"/>
    </row>
    <row r="465" ht="15.75" customHeight="1">
      <c r="A465" s="15">
        <v>39773.0</v>
      </c>
      <c r="B465" s="3">
        <v>554754.31</v>
      </c>
      <c r="C465" s="3">
        <v>527037.13</v>
      </c>
      <c r="D465" s="3">
        <v>-55133.88</v>
      </c>
      <c r="E465" s="3">
        <f t="shared" si="1"/>
        <v>-0.09039997971</v>
      </c>
      <c r="H465" s="15"/>
      <c r="I465" s="15"/>
      <c r="J465" s="1"/>
      <c r="K465" s="1"/>
      <c r="L465" s="1"/>
    </row>
    <row r="466" ht="15.75" customHeight="1">
      <c r="A466" s="15">
        <v>39780.0</v>
      </c>
      <c r="B466" s="3">
        <v>556043.44</v>
      </c>
      <c r="C466" s="3">
        <v>527037.13</v>
      </c>
      <c r="D466" s="3">
        <v>-53844.75</v>
      </c>
      <c r="E466" s="3">
        <f t="shared" si="1"/>
        <v>-0.08828626441</v>
      </c>
      <c r="H466" s="15"/>
      <c r="I466" s="15"/>
      <c r="J466" s="1"/>
      <c r="K466" s="1"/>
      <c r="L466" s="1"/>
    </row>
    <row r="467" ht="15.75" customHeight="1">
      <c r="A467" s="15">
        <v>39787.0</v>
      </c>
      <c r="B467" s="3">
        <v>556043.44</v>
      </c>
      <c r="C467" s="3">
        <v>556043.44</v>
      </c>
      <c r="D467" s="3">
        <v>-53844.75</v>
      </c>
      <c r="E467" s="3">
        <f t="shared" si="1"/>
        <v>-0.08828626441</v>
      </c>
      <c r="H467" s="15"/>
      <c r="I467" s="15"/>
      <c r="J467" s="1"/>
      <c r="K467" s="1"/>
      <c r="L467" s="1"/>
    </row>
    <row r="468" ht="15.75" customHeight="1">
      <c r="A468" s="15">
        <v>39794.0</v>
      </c>
      <c r="B468" s="3">
        <v>556043.44</v>
      </c>
      <c r="C468" s="3">
        <v>556043.44</v>
      </c>
      <c r="D468" s="3">
        <v>-53844.75</v>
      </c>
      <c r="E468" s="3">
        <f t="shared" si="1"/>
        <v>-0.08828626441</v>
      </c>
      <c r="H468" s="15"/>
      <c r="I468" s="15"/>
      <c r="J468" s="1"/>
      <c r="K468" s="1"/>
      <c r="L468" s="1"/>
    </row>
    <row r="469" ht="15.75" customHeight="1">
      <c r="A469" s="15">
        <v>39801.0</v>
      </c>
      <c r="B469" s="3">
        <v>556043.44</v>
      </c>
      <c r="C469" s="3">
        <v>556043.44</v>
      </c>
      <c r="D469" s="3">
        <v>-53844.75</v>
      </c>
      <c r="E469" s="3">
        <f t="shared" si="1"/>
        <v>-0.08828626441</v>
      </c>
      <c r="H469" s="15"/>
      <c r="I469" s="15"/>
      <c r="J469" s="1"/>
      <c r="K469" s="1"/>
      <c r="L469" s="1"/>
    </row>
    <row r="470" ht="15.75" customHeight="1">
      <c r="A470" s="15">
        <v>39806.0</v>
      </c>
      <c r="B470" s="3">
        <v>556043.44</v>
      </c>
      <c r="C470" s="3">
        <v>556043.44</v>
      </c>
      <c r="D470" s="3">
        <v>-53844.75</v>
      </c>
      <c r="E470" s="3">
        <f t="shared" si="1"/>
        <v>-0.08828626441</v>
      </c>
      <c r="H470" s="15"/>
      <c r="I470" s="15"/>
      <c r="J470" s="1"/>
      <c r="K470" s="1"/>
      <c r="L470" s="1"/>
    </row>
    <row r="471" ht="15.75" customHeight="1">
      <c r="A471" s="15">
        <v>39815.0</v>
      </c>
      <c r="B471" s="3">
        <v>556043.44</v>
      </c>
      <c r="C471" s="3">
        <v>556043.44</v>
      </c>
      <c r="D471" s="3">
        <v>-53844.75</v>
      </c>
      <c r="E471" s="3">
        <f t="shared" si="1"/>
        <v>-0.08828626441</v>
      </c>
      <c r="H471" s="15"/>
      <c r="I471" s="15"/>
      <c r="J471" s="1"/>
      <c r="K471" s="1"/>
      <c r="L471" s="1"/>
    </row>
    <row r="472" ht="15.75" customHeight="1">
      <c r="A472" s="15">
        <v>39822.0</v>
      </c>
      <c r="B472" s="3">
        <v>556043.44</v>
      </c>
      <c r="C472" s="3">
        <v>556043.44</v>
      </c>
      <c r="D472" s="3">
        <v>-53844.75</v>
      </c>
      <c r="E472" s="3">
        <f t="shared" si="1"/>
        <v>-0.08828626441</v>
      </c>
      <c r="H472" s="15"/>
      <c r="I472" s="15"/>
      <c r="J472" s="1"/>
      <c r="K472" s="1"/>
      <c r="L472" s="1"/>
    </row>
    <row r="473" ht="15.75" customHeight="1">
      <c r="A473" s="15">
        <v>39829.0</v>
      </c>
      <c r="B473" s="3">
        <v>556043.44</v>
      </c>
      <c r="C473" s="3">
        <v>556043.44</v>
      </c>
      <c r="D473" s="3">
        <v>-53844.75</v>
      </c>
      <c r="E473" s="3">
        <f t="shared" si="1"/>
        <v>-0.08828626441</v>
      </c>
      <c r="H473" s="15"/>
      <c r="I473" s="15"/>
      <c r="J473" s="1"/>
      <c r="K473" s="1"/>
      <c r="L473" s="1"/>
    </row>
    <row r="474" ht="15.75" customHeight="1">
      <c r="A474" s="15">
        <v>39836.0</v>
      </c>
      <c r="B474" s="3">
        <v>556043.44</v>
      </c>
      <c r="C474" s="3">
        <v>556043.44</v>
      </c>
      <c r="D474" s="3">
        <v>-53844.75</v>
      </c>
      <c r="E474" s="3">
        <f t="shared" si="1"/>
        <v>-0.08828626441</v>
      </c>
      <c r="H474" s="15"/>
      <c r="I474" s="15"/>
      <c r="J474" s="1"/>
      <c r="K474" s="1"/>
      <c r="L474" s="1"/>
    </row>
    <row r="475" ht="15.75" customHeight="1">
      <c r="A475" s="15">
        <v>39843.0</v>
      </c>
      <c r="B475" s="3">
        <v>556043.44</v>
      </c>
      <c r="C475" s="3">
        <v>556043.44</v>
      </c>
      <c r="D475" s="3">
        <v>-53844.75</v>
      </c>
      <c r="E475" s="3">
        <f t="shared" si="1"/>
        <v>-0.08828626441</v>
      </c>
      <c r="H475" s="15"/>
      <c r="I475" s="15"/>
      <c r="J475" s="1"/>
      <c r="K475" s="1"/>
      <c r="L475" s="1"/>
    </row>
    <row r="476" ht="15.75" customHeight="1">
      <c r="A476" s="15">
        <v>39850.0</v>
      </c>
      <c r="B476" s="3">
        <v>556043.44</v>
      </c>
      <c r="C476" s="3">
        <v>556043.44</v>
      </c>
      <c r="D476" s="3">
        <v>-53844.75</v>
      </c>
      <c r="E476" s="3">
        <f t="shared" si="1"/>
        <v>-0.08828626441</v>
      </c>
      <c r="H476" s="15"/>
      <c r="I476" s="15"/>
      <c r="J476" s="1"/>
      <c r="K476" s="1"/>
      <c r="L476" s="1"/>
    </row>
    <row r="477" ht="15.75" customHeight="1">
      <c r="A477" s="15">
        <v>39857.0</v>
      </c>
      <c r="B477" s="3">
        <v>556043.44</v>
      </c>
      <c r="C477" s="3">
        <v>556043.44</v>
      </c>
      <c r="D477" s="3">
        <v>-53844.75</v>
      </c>
      <c r="E477" s="3">
        <f t="shared" si="1"/>
        <v>-0.08828626441</v>
      </c>
      <c r="H477" s="15"/>
      <c r="I477" s="15"/>
      <c r="J477" s="1"/>
      <c r="K477" s="1"/>
      <c r="L477" s="1"/>
    </row>
    <row r="478" ht="15.75" customHeight="1">
      <c r="A478" s="15">
        <v>39864.0</v>
      </c>
      <c r="B478" s="3">
        <v>556043.44</v>
      </c>
      <c r="C478" s="3">
        <v>556043.44</v>
      </c>
      <c r="D478" s="3">
        <v>-53844.75</v>
      </c>
      <c r="E478" s="3">
        <f t="shared" si="1"/>
        <v>-0.08828626441</v>
      </c>
      <c r="H478" s="15"/>
      <c r="I478" s="15"/>
      <c r="J478" s="1"/>
      <c r="K478" s="1"/>
      <c r="L478" s="1"/>
    </row>
    <row r="479" ht="15.75" customHeight="1">
      <c r="A479" s="15">
        <v>39871.0</v>
      </c>
      <c r="B479" s="3">
        <v>556043.44</v>
      </c>
      <c r="C479" s="3">
        <v>556043.44</v>
      </c>
      <c r="D479" s="3">
        <v>-53844.75</v>
      </c>
      <c r="E479" s="3">
        <f t="shared" si="1"/>
        <v>-0.08828626441</v>
      </c>
      <c r="H479" s="15"/>
      <c r="I479" s="15"/>
      <c r="J479" s="1"/>
      <c r="K479" s="1"/>
      <c r="L479" s="1"/>
    </row>
    <row r="480" ht="15.75" customHeight="1">
      <c r="A480" s="15">
        <v>39878.0</v>
      </c>
      <c r="B480" s="3">
        <v>556043.44</v>
      </c>
      <c r="C480" s="3">
        <v>556043.44</v>
      </c>
      <c r="D480" s="3">
        <v>-53844.75</v>
      </c>
      <c r="E480" s="3">
        <f t="shared" si="1"/>
        <v>-0.08828626441</v>
      </c>
      <c r="H480" s="15"/>
      <c r="I480" s="15"/>
      <c r="J480" s="1"/>
      <c r="K480" s="1"/>
      <c r="L480" s="1"/>
    </row>
    <row r="481" ht="15.75" customHeight="1">
      <c r="A481" s="15">
        <v>39885.0</v>
      </c>
      <c r="B481" s="3">
        <v>556043.44</v>
      </c>
      <c r="C481" s="3">
        <v>556043.44</v>
      </c>
      <c r="D481" s="3">
        <v>-53844.75</v>
      </c>
      <c r="E481" s="3">
        <f t="shared" si="1"/>
        <v>-0.08828626441</v>
      </c>
      <c r="H481" s="15"/>
      <c r="I481" s="15"/>
      <c r="J481" s="1"/>
      <c r="K481" s="1"/>
      <c r="L481" s="1"/>
    </row>
    <row r="482" ht="15.75" customHeight="1">
      <c r="A482" s="15">
        <v>39892.0</v>
      </c>
      <c r="B482" s="3">
        <v>556043.44</v>
      </c>
      <c r="C482" s="3">
        <v>556043.44</v>
      </c>
      <c r="D482" s="3">
        <v>-53844.75</v>
      </c>
      <c r="E482" s="3">
        <f t="shared" si="1"/>
        <v>-0.08828626441</v>
      </c>
      <c r="H482" s="15"/>
      <c r="I482" s="15"/>
      <c r="J482" s="1"/>
      <c r="K482" s="1"/>
      <c r="L482" s="1"/>
    </row>
    <row r="483" ht="15.75" customHeight="1">
      <c r="A483" s="15">
        <v>39899.0</v>
      </c>
      <c r="B483" s="3">
        <v>556043.44</v>
      </c>
      <c r="C483" s="3">
        <v>556043.44</v>
      </c>
      <c r="D483" s="3">
        <v>-53844.75</v>
      </c>
      <c r="E483" s="3">
        <f t="shared" si="1"/>
        <v>-0.08828626441</v>
      </c>
      <c r="H483" s="15"/>
      <c r="I483" s="15"/>
      <c r="J483" s="1"/>
      <c r="K483" s="1"/>
      <c r="L483" s="1"/>
    </row>
    <row r="484" ht="15.75" customHeight="1">
      <c r="A484" s="15">
        <v>39906.0</v>
      </c>
      <c r="B484" s="3">
        <v>567305.75</v>
      </c>
      <c r="C484" s="3">
        <v>173643.89</v>
      </c>
      <c r="D484" s="3">
        <v>-42582.44</v>
      </c>
      <c r="E484" s="3">
        <f t="shared" si="1"/>
        <v>-0.06982007637</v>
      </c>
      <c r="H484" s="15"/>
      <c r="I484" s="15"/>
      <c r="J484" s="1"/>
      <c r="K484" s="1"/>
      <c r="L484" s="1"/>
    </row>
    <row r="485" ht="15.75" customHeight="1">
      <c r="A485" s="15">
        <v>39912.0</v>
      </c>
      <c r="B485" s="3">
        <v>563640.44</v>
      </c>
      <c r="C485" s="3">
        <v>29923.15</v>
      </c>
      <c r="D485" s="3">
        <v>-46247.75</v>
      </c>
      <c r="E485" s="3">
        <f t="shared" si="1"/>
        <v>-0.07582988285</v>
      </c>
      <c r="H485" s="15"/>
      <c r="I485" s="15"/>
      <c r="J485" s="1"/>
      <c r="K485" s="1"/>
      <c r="L485" s="1"/>
    </row>
    <row r="486" ht="15.75" customHeight="1">
      <c r="A486" s="15">
        <v>39920.0</v>
      </c>
      <c r="B486" s="3">
        <v>583922.38</v>
      </c>
      <c r="C486" s="3">
        <v>29923.15</v>
      </c>
      <c r="D486" s="3">
        <v>-25965.81</v>
      </c>
      <c r="E486" s="3">
        <f t="shared" si="1"/>
        <v>-0.04257470537</v>
      </c>
      <c r="H486" s="15"/>
      <c r="I486" s="15"/>
      <c r="J486" s="1"/>
      <c r="K486" s="1"/>
      <c r="L486" s="1"/>
    </row>
    <row r="487" ht="15.75" customHeight="1">
      <c r="A487" s="15">
        <v>39927.0</v>
      </c>
      <c r="B487" s="3">
        <v>563795.75</v>
      </c>
      <c r="C487" s="3">
        <v>29923.15</v>
      </c>
      <c r="D487" s="3">
        <v>-46092.44</v>
      </c>
      <c r="E487" s="3">
        <f t="shared" si="1"/>
        <v>-0.07557522962</v>
      </c>
      <c r="H487" s="15"/>
      <c r="I487" s="15"/>
      <c r="J487" s="1"/>
      <c r="K487" s="1"/>
      <c r="L487" s="1"/>
    </row>
    <row r="488" ht="15.75" customHeight="1">
      <c r="A488" s="15">
        <v>39934.0</v>
      </c>
      <c r="B488" s="3">
        <v>590197.75</v>
      </c>
      <c r="C488" s="3">
        <v>29923.15</v>
      </c>
      <c r="D488" s="3">
        <v>-19690.44</v>
      </c>
      <c r="E488" s="3">
        <f t="shared" si="1"/>
        <v>-0.03228532758</v>
      </c>
      <c r="H488" s="15"/>
      <c r="I488" s="15"/>
      <c r="J488" s="1"/>
      <c r="K488" s="1"/>
      <c r="L488" s="1"/>
    </row>
    <row r="489" ht="15.75" customHeight="1">
      <c r="A489" s="15">
        <v>39941.0</v>
      </c>
      <c r="B489" s="3">
        <v>631848.31</v>
      </c>
      <c r="C489" s="3">
        <v>29923.15</v>
      </c>
      <c r="D489" s="3">
        <v>0.0</v>
      </c>
      <c r="E489" s="3">
        <f t="shared" si="1"/>
        <v>0</v>
      </c>
      <c r="H489" s="15"/>
      <c r="I489" s="15"/>
      <c r="J489" s="1"/>
      <c r="K489" s="1"/>
      <c r="L489" s="1"/>
    </row>
    <row r="490" ht="15.75" customHeight="1">
      <c r="A490" s="15">
        <v>39948.0</v>
      </c>
      <c r="B490" s="3">
        <v>620636.69</v>
      </c>
      <c r="C490" s="3">
        <v>29923.15</v>
      </c>
      <c r="D490" s="3">
        <v>-11211.63</v>
      </c>
      <c r="E490" s="3">
        <f t="shared" si="1"/>
        <v>-0.01774417977</v>
      </c>
      <c r="H490" s="15"/>
      <c r="I490" s="15"/>
      <c r="J490" s="1"/>
      <c r="K490" s="1"/>
      <c r="L490" s="1"/>
    </row>
    <row r="491" ht="15.75" customHeight="1">
      <c r="A491" s="15">
        <v>39955.0</v>
      </c>
      <c r="B491" s="3">
        <v>613259.81</v>
      </c>
      <c r="C491" s="3">
        <v>29923.15</v>
      </c>
      <c r="D491" s="3">
        <v>-18588.5</v>
      </c>
      <c r="E491" s="3">
        <f t="shared" si="1"/>
        <v>-0.02941924463</v>
      </c>
      <c r="H491" s="15"/>
      <c r="I491" s="15"/>
      <c r="J491" s="1"/>
      <c r="K491" s="1"/>
      <c r="L491" s="1"/>
    </row>
    <row r="492" ht="15.75" customHeight="1">
      <c r="A492" s="15">
        <v>39962.0</v>
      </c>
      <c r="B492" s="3">
        <v>630209.88</v>
      </c>
      <c r="C492" s="3">
        <v>29923.15</v>
      </c>
      <c r="D492" s="3">
        <v>-1638.44</v>
      </c>
      <c r="E492" s="3">
        <f t="shared" si="1"/>
        <v>-0.002593090737</v>
      </c>
      <c r="H492" s="15"/>
      <c r="I492" s="15"/>
      <c r="J492" s="1"/>
      <c r="K492" s="1"/>
      <c r="L492" s="1"/>
    </row>
    <row r="493" ht="15.75" customHeight="1">
      <c r="A493" s="15">
        <v>39969.0</v>
      </c>
      <c r="B493" s="3">
        <v>653335.88</v>
      </c>
      <c r="C493" s="3">
        <v>29923.15</v>
      </c>
      <c r="D493" s="3">
        <v>0.0</v>
      </c>
      <c r="E493" s="3">
        <f t="shared" si="1"/>
        <v>0</v>
      </c>
      <c r="H493" s="15"/>
      <c r="I493" s="15"/>
      <c r="J493" s="1"/>
      <c r="K493" s="1"/>
      <c r="L493" s="1"/>
    </row>
    <row r="494" ht="15.75" customHeight="1">
      <c r="A494" s="15">
        <v>39976.0</v>
      </c>
      <c r="B494" s="3">
        <v>685320.44</v>
      </c>
      <c r="C494" s="3">
        <v>29923.15</v>
      </c>
      <c r="D494" s="3">
        <v>0.0</v>
      </c>
      <c r="E494" s="3">
        <f t="shared" si="1"/>
        <v>0</v>
      </c>
      <c r="H494" s="15"/>
      <c r="I494" s="15"/>
      <c r="J494" s="1"/>
      <c r="K494" s="1"/>
      <c r="L494" s="1"/>
    </row>
    <row r="495" ht="15.75" customHeight="1">
      <c r="A495" s="15">
        <v>39983.0</v>
      </c>
      <c r="B495" s="3">
        <v>640360.81</v>
      </c>
      <c r="C495" s="3">
        <v>29923.15</v>
      </c>
      <c r="D495" s="3">
        <v>-44959.63</v>
      </c>
      <c r="E495" s="3">
        <f t="shared" si="1"/>
        <v>-0.06560380718</v>
      </c>
      <c r="H495" s="15"/>
      <c r="I495" s="15"/>
      <c r="J495" s="1"/>
      <c r="K495" s="1"/>
      <c r="L495" s="1"/>
    </row>
    <row r="496" ht="15.75" customHeight="1">
      <c r="A496" s="15">
        <v>39990.0</v>
      </c>
      <c r="B496" s="3">
        <v>653170.94</v>
      </c>
      <c r="C496" s="3">
        <v>29923.15</v>
      </c>
      <c r="D496" s="3">
        <v>-32149.5</v>
      </c>
      <c r="E496" s="3">
        <f t="shared" si="1"/>
        <v>-0.04691163159</v>
      </c>
      <c r="H496" s="15"/>
      <c r="I496" s="15"/>
      <c r="J496" s="1"/>
      <c r="K496" s="1"/>
      <c r="L496" s="1"/>
    </row>
    <row r="497" ht="15.75" customHeight="1">
      <c r="A497" s="15">
        <v>39997.0</v>
      </c>
      <c r="B497" s="3">
        <v>643285.06</v>
      </c>
      <c r="C497" s="3">
        <v>29923.15</v>
      </c>
      <c r="D497" s="3">
        <v>-42035.38</v>
      </c>
      <c r="E497" s="3">
        <f t="shared" si="1"/>
        <v>-0.06133682515</v>
      </c>
      <c r="H497" s="15"/>
      <c r="I497" s="15"/>
      <c r="J497" s="1"/>
      <c r="K497" s="1"/>
      <c r="L497" s="1"/>
    </row>
    <row r="498" ht="15.75" customHeight="1">
      <c r="A498" s="15">
        <v>40004.0</v>
      </c>
      <c r="B498" s="3">
        <v>614082.88</v>
      </c>
      <c r="C498" s="3">
        <v>39432.68</v>
      </c>
      <c r="D498" s="3">
        <v>-71237.56</v>
      </c>
      <c r="E498" s="3">
        <f t="shared" si="1"/>
        <v>-0.1039478116</v>
      </c>
      <c r="H498" s="15"/>
      <c r="I498" s="15"/>
      <c r="J498" s="1"/>
      <c r="K498" s="1"/>
      <c r="L498" s="1"/>
    </row>
    <row r="499" ht="15.75" customHeight="1">
      <c r="A499" s="15">
        <v>40011.0</v>
      </c>
      <c r="B499" s="3">
        <v>636364.44</v>
      </c>
      <c r="C499" s="3">
        <v>39432.68</v>
      </c>
      <c r="D499" s="3">
        <v>-48956.0</v>
      </c>
      <c r="E499" s="3">
        <f t="shared" si="1"/>
        <v>-0.07143519607</v>
      </c>
      <c r="H499" s="15"/>
      <c r="I499" s="15"/>
      <c r="J499" s="1"/>
      <c r="K499" s="1"/>
      <c r="L499" s="1"/>
    </row>
    <row r="500" ht="15.75" customHeight="1">
      <c r="A500" s="15">
        <v>40018.0</v>
      </c>
      <c r="B500" s="3">
        <v>645417.44</v>
      </c>
      <c r="C500" s="3">
        <v>39410.59</v>
      </c>
      <c r="D500" s="3">
        <v>-39903.0</v>
      </c>
      <c r="E500" s="3">
        <f t="shared" si="1"/>
        <v>-0.0582253172</v>
      </c>
      <c r="H500" s="15"/>
      <c r="I500" s="15"/>
      <c r="J500" s="1"/>
      <c r="K500" s="1"/>
      <c r="L500" s="1"/>
    </row>
    <row r="501" ht="15.75" customHeight="1">
      <c r="A501" s="15">
        <v>40025.0</v>
      </c>
      <c r="B501" s="3">
        <v>681474.81</v>
      </c>
      <c r="C501" s="3">
        <v>39410.59</v>
      </c>
      <c r="D501" s="3">
        <v>-3845.63</v>
      </c>
      <c r="E501" s="3">
        <f t="shared" si="1"/>
        <v>-0.00561143339</v>
      </c>
      <c r="H501" s="15"/>
      <c r="I501" s="15"/>
      <c r="J501" s="1"/>
      <c r="K501" s="1"/>
      <c r="L501" s="1"/>
    </row>
    <row r="502" ht="15.75" customHeight="1">
      <c r="A502" s="15">
        <v>40032.0</v>
      </c>
      <c r="B502" s="3">
        <v>677429.31</v>
      </c>
      <c r="C502" s="3">
        <v>39410.59</v>
      </c>
      <c r="D502" s="3">
        <v>-7891.13</v>
      </c>
      <c r="E502" s="3">
        <f t="shared" si="1"/>
        <v>-0.01151451137</v>
      </c>
      <c r="H502" s="15"/>
      <c r="I502" s="15"/>
      <c r="J502" s="1"/>
      <c r="K502" s="1"/>
      <c r="L502" s="1"/>
    </row>
    <row r="503" ht="15.75" customHeight="1">
      <c r="A503" s="15">
        <v>40039.0</v>
      </c>
      <c r="B503" s="3">
        <v>692067.56</v>
      </c>
      <c r="C503" s="3">
        <v>39410.59</v>
      </c>
      <c r="D503" s="3">
        <v>0.0</v>
      </c>
      <c r="E503" s="3">
        <f t="shared" si="1"/>
        <v>0</v>
      </c>
      <c r="H503" s="15"/>
      <c r="I503" s="15"/>
      <c r="J503" s="1"/>
      <c r="K503" s="1"/>
      <c r="L503" s="1"/>
    </row>
    <row r="504" ht="15.75" customHeight="1">
      <c r="A504" s="15">
        <v>40046.0</v>
      </c>
      <c r="B504" s="3">
        <v>672313.94</v>
      </c>
      <c r="C504" s="3">
        <v>39410.59</v>
      </c>
      <c r="D504" s="3">
        <v>-19753.63</v>
      </c>
      <c r="E504" s="3">
        <f t="shared" si="1"/>
        <v>-0.02854292145</v>
      </c>
      <c r="H504" s="15"/>
      <c r="I504" s="15"/>
      <c r="J504" s="1"/>
      <c r="K504" s="1"/>
      <c r="L504" s="1"/>
    </row>
    <row r="505" ht="15.75" customHeight="1">
      <c r="A505" s="15">
        <v>40053.0</v>
      </c>
      <c r="B505" s="3">
        <v>701903.13</v>
      </c>
      <c r="C505" s="3">
        <v>39410.59</v>
      </c>
      <c r="D505" s="3">
        <v>0.0</v>
      </c>
      <c r="E505" s="3">
        <f t="shared" si="1"/>
        <v>0</v>
      </c>
      <c r="H505" s="15"/>
      <c r="I505" s="15"/>
      <c r="J505" s="1"/>
      <c r="K505" s="1"/>
      <c r="L505" s="1"/>
    </row>
    <row r="506" ht="15.75" customHeight="1">
      <c r="A506" s="15">
        <v>40060.0</v>
      </c>
      <c r="B506" s="3">
        <v>696427.5</v>
      </c>
      <c r="C506" s="3">
        <v>39410.59</v>
      </c>
      <c r="D506" s="3">
        <v>-5475.63</v>
      </c>
      <c r="E506" s="3">
        <f t="shared" si="1"/>
        <v>-0.007801119223</v>
      </c>
      <c r="H506" s="15"/>
      <c r="I506" s="15"/>
      <c r="J506" s="1"/>
      <c r="K506" s="1"/>
      <c r="L506" s="1"/>
    </row>
    <row r="507" ht="15.75" customHeight="1">
      <c r="A507" s="15">
        <v>40067.0</v>
      </c>
      <c r="B507" s="3">
        <v>722607.94</v>
      </c>
      <c r="C507" s="3">
        <v>39410.59</v>
      </c>
      <c r="D507" s="3">
        <v>0.0</v>
      </c>
      <c r="E507" s="3">
        <f t="shared" si="1"/>
        <v>0</v>
      </c>
      <c r="H507" s="15"/>
      <c r="I507" s="15"/>
      <c r="J507" s="1"/>
      <c r="K507" s="1"/>
      <c r="L507" s="1"/>
    </row>
    <row r="508" ht="15.75" customHeight="1">
      <c r="A508" s="15">
        <v>40074.0</v>
      </c>
      <c r="B508" s="3">
        <v>738731.25</v>
      </c>
      <c r="C508" s="3">
        <v>39410.59</v>
      </c>
      <c r="D508" s="3">
        <v>0.0</v>
      </c>
      <c r="E508" s="3">
        <f t="shared" si="1"/>
        <v>0</v>
      </c>
      <c r="H508" s="15"/>
      <c r="I508" s="15"/>
      <c r="J508" s="1"/>
      <c r="K508" s="1"/>
      <c r="L508" s="1"/>
    </row>
    <row r="509" ht="15.75" customHeight="1">
      <c r="A509" s="15">
        <v>40081.0</v>
      </c>
      <c r="B509" s="3">
        <v>726466.06</v>
      </c>
      <c r="C509" s="3">
        <v>39410.59</v>
      </c>
      <c r="D509" s="3">
        <v>-12265.19</v>
      </c>
      <c r="E509" s="3">
        <f t="shared" si="1"/>
        <v>-0.01660304745</v>
      </c>
      <c r="H509" s="15"/>
      <c r="I509" s="15"/>
      <c r="J509" s="1"/>
      <c r="K509" s="1"/>
      <c r="L509" s="1"/>
    </row>
    <row r="510" ht="15.75" customHeight="1">
      <c r="A510" s="15">
        <v>40088.0</v>
      </c>
      <c r="B510" s="3">
        <v>720597.75</v>
      </c>
      <c r="C510" s="3">
        <v>39410.59</v>
      </c>
      <c r="D510" s="3">
        <v>-18133.5</v>
      </c>
      <c r="E510" s="3">
        <f t="shared" si="1"/>
        <v>-0.02454681591</v>
      </c>
      <c r="H510" s="15"/>
      <c r="I510" s="15"/>
      <c r="J510" s="1"/>
      <c r="K510" s="1"/>
      <c r="L510" s="1"/>
    </row>
    <row r="511" ht="15.75" customHeight="1">
      <c r="A511" s="15">
        <v>40095.0</v>
      </c>
      <c r="B511" s="3">
        <v>736082.25</v>
      </c>
      <c r="C511" s="3">
        <v>39410.59</v>
      </c>
      <c r="D511" s="3">
        <v>-2649.0</v>
      </c>
      <c r="E511" s="3">
        <f t="shared" si="1"/>
        <v>-0.003585877814</v>
      </c>
      <c r="H511" s="15"/>
      <c r="I511" s="15"/>
      <c r="J511" s="1"/>
      <c r="K511" s="1"/>
      <c r="L511" s="1"/>
    </row>
    <row r="512" ht="15.75" customHeight="1">
      <c r="A512" s="15">
        <v>40102.0</v>
      </c>
      <c r="B512" s="3">
        <v>755565.94</v>
      </c>
      <c r="C512" s="3">
        <v>39410.59</v>
      </c>
      <c r="D512" s="3">
        <v>0.0</v>
      </c>
      <c r="E512" s="3">
        <f t="shared" si="1"/>
        <v>0</v>
      </c>
      <c r="H512" s="15"/>
      <c r="I512" s="15"/>
      <c r="J512" s="1"/>
      <c r="K512" s="1"/>
      <c r="L512" s="1"/>
    </row>
    <row r="513" ht="15.75" customHeight="1">
      <c r="A513" s="15">
        <v>40109.0</v>
      </c>
      <c r="B513" s="3">
        <v>749854.81</v>
      </c>
      <c r="C513" s="3">
        <v>39410.59</v>
      </c>
      <c r="D513" s="3">
        <v>-5711.13</v>
      </c>
      <c r="E513" s="3">
        <f t="shared" si="1"/>
        <v>-0.007558744641</v>
      </c>
      <c r="H513" s="15"/>
      <c r="I513" s="15"/>
      <c r="J513" s="1"/>
      <c r="K513" s="1"/>
      <c r="L513" s="1"/>
    </row>
    <row r="514" ht="15.75" customHeight="1">
      <c r="A514" s="15">
        <v>40116.0</v>
      </c>
      <c r="B514" s="3">
        <v>720357.63</v>
      </c>
      <c r="C514" s="3">
        <v>39410.59</v>
      </c>
      <c r="D514" s="3">
        <v>-35208.31</v>
      </c>
      <c r="E514" s="3">
        <f t="shared" si="1"/>
        <v>-0.04659859337</v>
      </c>
      <c r="H514" s="15"/>
      <c r="I514" s="15"/>
      <c r="J514" s="1"/>
      <c r="K514" s="1"/>
      <c r="L514" s="1"/>
    </row>
    <row r="515" ht="15.75" customHeight="1">
      <c r="A515" s="15">
        <v>40123.0</v>
      </c>
      <c r="B515" s="3">
        <v>712449.13</v>
      </c>
      <c r="C515" s="3">
        <v>39410.59</v>
      </c>
      <c r="D515" s="3">
        <v>-43116.81</v>
      </c>
      <c r="E515" s="3">
        <f t="shared" si="1"/>
        <v>-0.05706558186</v>
      </c>
      <c r="H515" s="15"/>
      <c r="I515" s="15"/>
      <c r="J515" s="1"/>
      <c r="K515" s="1"/>
      <c r="L515" s="1"/>
    </row>
    <row r="516" ht="15.75" customHeight="1">
      <c r="A516" s="15">
        <v>40130.0</v>
      </c>
      <c r="B516" s="3">
        <v>737694.75</v>
      </c>
      <c r="C516" s="3">
        <v>39410.59</v>
      </c>
      <c r="D516" s="3">
        <v>-17871.19</v>
      </c>
      <c r="E516" s="3">
        <f t="shared" si="1"/>
        <v>-0.0236527205</v>
      </c>
      <c r="H516" s="15"/>
      <c r="I516" s="15"/>
      <c r="J516" s="1"/>
      <c r="K516" s="1"/>
      <c r="L516" s="1"/>
    </row>
    <row r="517" ht="15.75" customHeight="1">
      <c r="A517" s="15">
        <v>40137.0</v>
      </c>
      <c r="B517" s="3">
        <v>738074.56</v>
      </c>
      <c r="C517" s="3">
        <v>39410.59</v>
      </c>
      <c r="D517" s="3">
        <v>-17491.38</v>
      </c>
      <c r="E517" s="3">
        <f t="shared" si="1"/>
        <v>-0.02315003771</v>
      </c>
      <c r="H517" s="15"/>
      <c r="I517" s="15"/>
      <c r="J517" s="1"/>
      <c r="K517" s="1"/>
      <c r="L517" s="1"/>
    </row>
    <row r="518" ht="15.75" customHeight="1">
      <c r="A518" s="15">
        <v>40144.0</v>
      </c>
      <c r="B518" s="3">
        <v>719003.44</v>
      </c>
      <c r="C518" s="3">
        <v>39410.59</v>
      </c>
      <c r="D518" s="3">
        <v>-36562.5</v>
      </c>
      <c r="E518" s="3">
        <f t="shared" si="1"/>
        <v>-0.04839087903</v>
      </c>
      <c r="H518" s="15"/>
      <c r="I518" s="15"/>
      <c r="J518" s="1"/>
      <c r="K518" s="1"/>
      <c r="L518" s="1"/>
    </row>
    <row r="519" ht="15.75" customHeight="1">
      <c r="A519" s="15">
        <v>40151.0</v>
      </c>
      <c r="B519" s="3">
        <v>727832.75</v>
      </c>
      <c r="C519" s="3">
        <v>39410.59</v>
      </c>
      <c r="D519" s="3">
        <v>-27733.19</v>
      </c>
      <c r="E519" s="3">
        <f t="shared" si="1"/>
        <v>-0.03670518817</v>
      </c>
      <c r="H519" s="15"/>
      <c r="I519" s="15"/>
      <c r="J519" s="1"/>
      <c r="K519" s="1"/>
      <c r="L519" s="1"/>
    </row>
    <row r="520" ht="15.75" customHeight="1">
      <c r="A520" s="15">
        <v>40158.0</v>
      </c>
      <c r="B520" s="3">
        <v>718009.38</v>
      </c>
      <c r="C520" s="3">
        <v>196399.47</v>
      </c>
      <c r="D520" s="3">
        <v>-37556.56</v>
      </c>
      <c r="E520" s="3">
        <f t="shared" si="1"/>
        <v>-0.04970652859</v>
      </c>
      <c r="H520" s="15"/>
      <c r="I520" s="15"/>
      <c r="J520" s="1"/>
      <c r="K520" s="1"/>
      <c r="L520" s="1"/>
    </row>
    <row r="521" ht="15.75" customHeight="1">
      <c r="A521" s="15">
        <v>40165.0</v>
      </c>
      <c r="B521" s="3">
        <v>722356.31</v>
      </c>
      <c r="C521" s="3">
        <v>196399.47</v>
      </c>
      <c r="D521" s="3">
        <v>-33209.63</v>
      </c>
      <c r="E521" s="3">
        <f t="shared" si="1"/>
        <v>-0.04395331796</v>
      </c>
      <c r="H521" s="15"/>
      <c r="I521" s="15"/>
      <c r="J521" s="1"/>
      <c r="K521" s="1"/>
      <c r="L521" s="1"/>
    </row>
    <row r="522" ht="15.75" customHeight="1">
      <c r="A522" s="15">
        <v>40171.0</v>
      </c>
      <c r="B522" s="3">
        <v>744464.88</v>
      </c>
      <c r="C522" s="3">
        <v>293197.22</v>
      </c>
      <c r="D522" s="3">
        <v>-11101.06</v>
      </c>
      <c r="E522" s="3">
        <f t="shared" si="1"/>
        <v>-0.01469237748</v>
      </c>
      <c r="H522" s="15"/>
      <c r="I522" s="15"/>
      <c r="J522" s="1"/>
      <c r="K522" s="1"/>
      <c r="L522" s="1"/>
    </row>
    <row r="523" ht="15.75" customHeight="1">
      <c r="A523" s="15">
        <v>40178.0</v>
      </c>
      <c r="B523" s="3">
        <v>756549.06</v>
      </c>
      <c r="C523" s="3">
        <v>13274.43</v>
      </c>
      <c r="D523" s="3">
        <v>0.0</v>
      </c>
      <c r="E523" s="3">
        <f t="shared" si="1"/>
        <v>0</v>
      </c>
      <c r="H523" s="15"/>
      <c r="I523" s="15"/>
      <c r="J523" s="1"/>
      <c r="K523" s="1"/>
      <c r="L523" s="1"/>
    </row>
    <row r="524" ht="15.75" customHeight="1">
      <c r="A524" s="15">
        <v>40186.0</v>
      </c>
      <c r="B524" s="3">
        <v>754792.69</v>
      </c>
      <c r="C524" s="3">
        <v>13274.43</v>
      </c>
      <c r="D524" s="3">
        <v>-1756.38</v>
      </c>
      <c r="E524" s="3">
        <f t="shared" si="1"/>
        <v>-0.002321567884</v>
      </c>
      <c r="H524" s="15"/>
      <c r="I524" s="15"/>
      <c r="J524" s="1"/>
      <c r="K524" s="1"/>
      <c r="L524" s="1"/>
    </row>
    <row r="525" ht="15.75" customHeight="1">
      <c r="A525" s="15">
        <v>40193.0</v>
      </c>
      <c r="B525" s="3">
        <v>754225.5</v>
      </c>
      <c r="C525" s="3">
        <v>13274.43</v>
      </c>
      <c r="D525" s="3">
        <v>-2323.56</v>
      </c>
      <c r="E525" s="3">
        <f t="shared" si="1"/>
        <v>-0.003071261499</v>
      </c>
      <c r="H525" s="15"/>
      <c r="I525" s="15"/>
      <c r="J525" s="1"/>
      <c r="K525" s="1"/>
      <c r="L525" s="1"/>
    </row>
    <row r="526" ht="15.75" customHeight="1">
      <c r="A526" s="15">
        <v>40200.0</v>
      </c>
      <c r="B526" s="3">
        <v>735495.81</v>
      </c>
      <c r="C526" s="3">
        <v>13274.43</v>
      </c>
      <c r="D526" s="3">
        <v>-21053.25</v>
      </c>
      <c r="E526" s="3">
        <f t="shared" si="1"/>
        <v>-0.02782800365</v>
      </c>
      <c r="H526" s="15"/>
      <c r="I526" s="15"/>
      <c r="J526" s="1"/>
      <c r="K526" s="1"/>
      <c r="L526" s="1"/>
    </row>
    <row r="527" ht="15.75" customHeight="1">
      <c r="A527" s="15">
        <v>40207.0</v>
      </c>
      <c r="B527" s="3">
        <v>710098.63</v>
      </c>
      <c r="C527" s="3">
        <v>13274.43</v>
      </c>
      <c r="D527" s="3">
        <v>-46450.44</v>
      </c>
      <c r="E527" s="3">
        <f t="shared" si="1"/>
        <v>-0.06139778959</v>
      </c>
      <c r="H527" s="15"/>
      <c r="I527" s="15"/>
      <c r="J527" s="1"/>
      <c r="K527" s="1"/>
      <c r="L527" s="1"/>
    </row>
    <row r="528" ht="15.75" customHeight="1">
      <c r="A528" s="15">
        <v>40214.0</v>
      </c>
      <c r="B528" s="3">
        <v>708077.06</v>
      </c>
      <c r="C528" s="3">
        <v>13274.43</v>
      </c>
      <c r="D528" s="3">
        <v>-48472.0</v>
      </c>
      <c r="E528" s="3">
        <f t="shared" si="1"/>
        <v>-0.0640698701</v>
      </c>
      <c r="H528" s="15"/>
      <c r="I528" s="15"/>
      <c r="J528" s="1"/>
      <c r="K528" s="1"/>
      <c r="L528" s="1"/>
    </row>
    <row r="529" ht="15.75" customHeight="1">
      <c r="A529" s="15">
        <v>40221.0</v>
      </c>
      <c r="B529" s="3">
        <v>711279.38</v>
      </c>
      <c r="C529" s="3">
        <v>235436.17</v>
      </c>
      <c r="D529" s="3">
        <v>-45269.69</v>
      </c>
      <c r="E529" s="3">
        <f t="shared" si="1"/>
        <v>-0.05983708446</v>
      </c>
      <c r="H529" s="15"/>
      <c r="I529" s="15"/>
      <c r="J529" s="1"/>
      <c r="K529" s="1"/>
      <c r="L529" s="1"/>
    </row>
    <row r="530" ht="15.75" customHeight="1">
      <c r="A530" s="15">
        <v>40228.0</v>
      </c>
      <c r="B530" s="3">
        <v>719585.63</v>
      </c>
      <c r="C530" s="3">
        <v>235436.17</v>
      </c>
      <c r="D530" s="3">
        <v>-36963.44</v>
      </c>
      <c r="E530" s="3">
        <f t="shared" si="1"/>
        <v>-0.04885795509</v>
      </c>
      <c r="H530" s="15"/>
      <c r="I530" s="15"/>
      <c r="J530" s="1"/>
      <c r="K530" s="1"/>
      <c r="L530" s="1"/>
    </row>
    <row r="531" ht="15.75" customHeight="1">
      <c r="A531" s="15">
        <v>40235.0</v>
      </c>
      <c r="B531" s="3">
        <v>717156.94</v>
      </c>
      <c r="C531" s="3">
        <v>235436.17</v>
      </c>
      <c r="D531" s="3">
        <v>-39392.13</v>
      </c>
      <c r="E531" s="3">
        <f t="shared" si="1"/>
        <v>-0.05206817652</v>
      </c>
      <c r="H531" s="15"/>
      <c r="I531" s="15"/>
      <c r="J531" s="1"/>
      <c r="K531" s="1"/>
      <c r="L531" s="1"/>
    </row>
    <row r="532" ht="15.75" customHeight="1">
      <c r="A532" s="15">
        <v>40242.0</v>
      </c>
      <c r="B532" s="3">
        <v>729123.25</v>
      </c>
      <c r="C532" s="3">
        <v>235436.17</v>
      </c>
      <c r="D532" s="3">
        <v>-27425.81</v>
      </c>
      <c r="E532" s="3">
        <f t="shared" si="1"/>
        <v>-0.0362511983</v>
      </c>
      <c r="H532" s="15"/>
      <c r="I532" s="15"/>
      <c r="J532" s="1"/>
      <c r="K532" s="1"/>
      <c r="L532" s="1"/>
    </row>
    <row r="533" ht="15.75" customHeight="1">
      <c r="A533" s="15">
        <v>40249.0</v>
      </c>
      <c r="B533" s="3">
        <v>729718.69</v>
      </c>
      <c r="C533" s="3">
        <v>9146.25</v>
      </c>
      <c r="D533" s="3">
        <v>-26830.38</v>
      </c>
      <c r="E533" s="3">
        <f t="shared" si="1"/>
        <v>-0.03546416408</v>
      </c>
      <c r="H533" s="15"/>
      <c r="I533" s="15"/>
      <c r="J533" s="1"/>
      <c r="K533" s="1"/>
      <c r="L533" s="1"/>
    </row>
    <row r="534" ht="15.75" customHeight="1">
      <c r="A534" s="15">
        <v>40256.0</v>
      </c>
      <c r="B534" s="3">
        <v>733256.5</v>
      </c>
      <c r="C534" s="3">
        <v>9146.25</v>
      </c>
      <c r="D534" s="3">
        <v>-23292.56</v>
      </c>
      <c r="E534" s="3">
        <f t="shared" si="1"/>
        <v>-0.03078790422</v>
      </c>
      <c r="H534" s="15"/>
      <c r="I534" s="15"/>
      <c r="J534" s="1"/>
      <c r="K534" s="1"/>
      <c r="L534" s="1"/>
    </row>
    <row r="535" ht="15.75" customHeight="1">
      <c r="A535" s="15">
        <v>40263.0</v>
      </c>
      <c r="B535" s="3">
        <v>730062.31</v>
      </c>
      <c r="C535" s="3">
        <v>9146.25</v>
      </c>
      <c r="D535" s="3">
        <v>-26486.75</v>
      </c>
      <c r="E535" s="3">
        <f t="shared" si="1"/>
        <v>-0.03500995692</v>
      </c>
      <c r="H535" s="15"/>
      <c r="I535" s="15"/>
      <c r="J535" s="1"/>
      <c r="K535" s="1"/>
      <c r="L535" s="1"/>
    </row>
    <row r="536" ht="15.75" customHeight="1">
      <c r="A536" s="15">
        <v>40269.0</v>
      </c>
      <c r="B536" s="3">
        <v>728935.63</v>
      </c>
      <c r="C536" s="3">
        <v>9146.25</v>
      </c>
      <c r="D536" s="3">
        <v>-27613.44</v>
      </c>
      <c r="E536" s="3">
        <f t="shared" si="1"/>
        <v>-0.03649920601</v>
      </c>
      <c r="H536" s="15"/>
      <c r="I536" s="15"/>
      <c r="J536" s="1"/>
      <c r="K536" s="1"/>
      <c r="L536" s="1"/>
    </row>
    <row r="537" ht="15.75" customHeight="1">
      <c r="A537" s="15">
        <v>40277.0</v>
      </c>
      <c r="B537" s="3">
        <v>743311.31</v>
      </c>
      <c r="C537" s="3">
        <v>9146.25</v>
      </c>
      <c r="D537" s="3">
        <v>-13237.75</v>
      </c>
      <c r="E537" s="3">
        <f t="shared" si="1"/>
        <v>-0.01749754338</v>
      </c>
      <c r="H537" s="15"/>
      <c r="I537" s="15"/>
      <c r="J537" s="1"/>
      <c r="K537" s="1"/>
      <c r="L537" s="1"/>
    </row>
    <row r="538" ht="15.75" customHeight="1">
      <c r="A538" s="15">
        <v>40284.0</v>
      </c>
      <c r="B538" s="3">
        <v>740852.88</v>
      </c>
      <c r="C538" s="3">
        <v>9146.25</v>
      </c>
      <c r="D538" s="3">
        <v>-15696.19</v>
      </c>
      <c r="E538" s="3">
        <f t="shared" si="1"/>
        <v>-0.0207470881</v>
      </c>
      <c r="H538" s="15"/>
      <c r="I538" s="15"/>
      <c r="J538" s="1"/>
      <c r="K538" s="1"/>
      <c r="L538" s="1"/>
    </row>
    <row r="539" ht="15.75" customHeight="1">
      <c r="A539" s="15">
        <v>40291.0</v>
      </c>
      <c r="B539" s="3">
        <v>730156.25</v>
      </c>
      <c r="C539" s="3">
        <v>9146.25</v>
      </c>
      <c r="D539" s="3">
        <v>-26392.81</v>
      </c>
      <c r="E539" s="3">
        <f t="shared" si="1"/>
        <v>-0.03488578784</v>
      </c>
      <c r="H539" s="15"/>
      <c r="I539" s="15"/>
      <c r="J539" s="1"/>
      <c r="K539" s="1"/>
      <c r="L539" s="1"/>
    </row>
    <row r="540" ht="15.75" customHeight="1">
      <c r="A540" s="15">
        <v>40298.0</v>
      </c>
      <c r="B540" s="3">
        <v>712726.31</v>
      </c>
      <c r="C540" s="3">
        <v>9146.25</v>
      </c>
      <c r="D540" s="3">
        <v>-43822.75</v>
      </c>
      <c r="E540" s="3">
        <f t="shared" si="1"/>
        <v>-0.05792453169</v>
      </c>
      <c r="H540" s="15"/>
      <c r="I540" s="15"/>
      <c r="J540" s="1"/>
      <c r="K540" s="1"/>
      <c r="L540" s="1"/>
    </row>
    <row r="541" ht="15.75" customHeight="1">
      <c r="A541" s="15">
        <v>40305.0</v>
      </c>
      <c r="B541" s="3">
        <v>674143.81</v>
      </c>
      <c r="C541" s="3">
        <v>9146.25</v>
      </c>
      <c r="D541" s="3">
        <v>-82405.25</v>
      </c>
      <c r="E541" s="3">
        <f t="shared" si="1"/>
        <v>-0.1089225463</v>
      </c>
      <c r="H541" s="15"/>
      <c r="I541" s="15"/>
      <c r="J541" s="1"/>
      <c r="K541" s="1"/>
      <c r="L541" s="1"/>
    </row>
    <row r="542" ht="15.75" customHeight="1">
      <c r="A542" s="15">
        <v>40312.0</v>
      </c>
      <c r="B542" s="3">
        <v>691983.63</v>
      </c>
      <c r="C542" s="3">
        <v>9146.25</v>
      </c>
      <c r="D542" s="3">
        <v>-64565.44</v>
      </c>
      <c r="E542" s="3">
        <f t="shared" si="1"/>
        <v>-0.08534203981</v>
      </c>
      <c r="H542" s="15"/>
      <c r="I542" s="15"/>
      <c r="J542" s="1"/>
      <c r="K542" s="1"/>
      <c r="L542" s="1"/>
    </row>
    <row r="543" ht="15.75" customHeight="1">
      <c r="A543" s="15">
        <v>40319.0</v>
      </c>
      <c r="B543" s="3">
        <v>668661.44</v>
      </c>
      <c r="C543" s="3">
        <v>253190.19</v>
      </c>
      <c r="D543" s="3">
        <v>-87887.63</v>
      </c>
      <c r="E543" s="3">
        <f t="shared" si="1"/>
        <v>-0.1161691087</v>
      </c>
      <c r="H543" s="15"/>
      <c r="I543" s="15"/>
      <c r="J543" s="1"/>
      <c r="K543" s="1"/>
      <c r="L543" s="1"/>
    </row>
    <row r="544" ht="15.75" customHeight="1">
      <c r="A544" s="15">
        <v>40326.0</v>
      </c>
      <c r="B544" s="3">
        <v>669862.31</v>
      </c>
      <c r="C544" s="3">
        <v>253190.19</v>
      </c>
      <c r="D544" s="3">
        <v>-86686.75</v>
      </c>
      <c r="E544" s="3">
        <f t="shared" si="1"/>
        <v>-0.1145817959</v>
      </c>
      <c r="H544" s="15"/>
      <c r="I544" s="15"/>
      <c r="J544" s="1"/>
      <c r="K544" s="1"/>
      <c r="L544" s="1"/>
    </row>
    <row r="545" ht="15.75" customHeight="1">
      <c r="A545" s="15">
        <v>40333.0</v>
      </c>
      <c r="B545" s="3">
        <v>675757.94</v>
      </c>
      <c r="C545" s="3">
        <v>337883.66</v>
      </c>
      <c r="D545" s="3">
        <v>-80791.13</v>
      </c>
      <c r="E545" s="3">
        <f t="shared" si="1"/>
        <v>-0.1067890164</v>
      </c>
      <c r="H545" s="15"/>
      <c r="I545" s="15"/>
      <c r="J545" s="1"/>
      <c r="K545" s="1"/>
      <c r="L545" s="1"/>
    </row>
    <row r="546" ht="15.75" customHeight="1">
      <c r="A546" s="15">
        <v>40340.0</v>
      </c>
      <c r="B546" s="3">
        <v>672557.06</v>
      </c>
      <c r="C546" s="3">
        <v>337883.66</v>
      </c>
      <c r="D546" s="3">
        <v>-83992.0</v>
      </c>
      <c r="E546" s="3">
        <f t="shared" si="1"/>
        <v>-0.1110198987</v>
      </c>
      <c r="H546" s="15"/>
      <c r="I546" s="15"/>
      <c r="J546" s="1"/>
      <c r="K546" s="1"/>
      <c r="L546" s="1"/>
    </row>
    <row r="547" ht="15.75" customHeight="1">
      <c r="A547" s="15">
        <v>40347.0</v>
      </c>
      <c r="B547" s="3">
        <v>678173.75</v>
      </c>
      <c r="C547" s="3">
        <v>337883.66</v>
      </c>
      <c r="D547" s="3">
        <v>-78375.31</v>
      </c>
      <c r="E547" s="3">
        <f t="shared" si="1"/>
        <v>-0.1035958065</v>
      </c>
      <c r="H547" s="15"/>
      <c r="I547" s="15"/>
      <c r="J547" s="1"/>
      <c r="K547" s="1"/>
      <c r="L547" s="1"/>
    </row>
    <row r="548" ht="15.75" customHeight="1">
      <c r="A548" s="15">
        <v>40354.0</v>
      </c>
      <c r="B548" s="3">
        <v>669011.44</v>
      </c>
      <c r="C548" s="3">
        <v>337883.66</v>
      </c>
      <c r="D548" s="3">
        <v>-87537.63</v>
      </c>
      <c r="E548" s="3">
        <f t="shared" si="1"/>
        <v>-0.1157064817</v>
      </c>
      <c r="H548" s="15"/>
      <c r="I548" s="15"/>
      <c r="J548" s="1"/>
      <c r="K548" s="1"/>
      <c r="L548" s="1"/>
    </row>
    <row r="549" ht="15.75" customHeight="1">
      <c r="A549" s="15">
        <v>40361.0</v>
      </c>
      <c r="B549" s="3">
        <v>663668.19</v>
      </c>
      <c r="C549" s="3">
        <v>337883.66</v>
      </c>
      <c r="D549" s="3">
        <v>-92880.88</v>
      </c>
      <c r="E549" s="3">
        <f t="shared" si="1"/>
        <v>-0.1227691434</v>
      </c>
      <c r="H549" s="15"/>
      <c r="I549" s="15"/>
      <c r="J549" s="1"/>
      <c r="K549" s="1"/>
      <c r="L549" s="1"/>
    </row>
    <row r="550" ht="15.75" customHeight="1">
      <c r="A550" s="15">
        <v>40368.0</v>
      </c>
      <c r="B550" s="3">
        <v>671207.81</v>
      </c>
      <c r="C550" s="3">
        <v>337883.66</v>
      </c>
      <c r="D550" s="3">
        <v>-85341.25</v>
      </c>
      <c r="E550" s="3">
        <f t="shared" si="1"/>
        <v>-0.1128033257</v>
      </c>
      <c r="H550" s="15"/>
      <c r="I550" s="15"/>
      <c r="J550" s="1"/>
      <c r="K550" s="1"/>
      <c r="L550" s="1"/>
    </row>
    <row r="551" ht="15.75" customHeight="1">
      <c r="A551" s="15">
        <v>40375.0</v>
      </c>
      <c r="B551" s="3">
        <v>673253.25</v>
      </c>
      <c r="C551" s="3">
        <v>337883.66</v>
      </c>
      <c r="D551" s="3">
        <v>-83295.81</v>
      </c>
      <c r="E551" s="3">
        <f t="shared" si="1"/>
        <v>-0.1100996808</v>
      </c>
      <c r="H551" s="15"/>
      <c r="I551" s="15"/>
      <c r="J551" s="1"/>
      <c r="K551" s="1"/>
      <c r="L551" s="1"/>
    </row>
    <row r="552" ht="15.75" customHeight="1">
      <c r="A552" s="15">
        <v>40382.0</v>
      </c>
      <c r="B552" s="3">
        <v>671767.75</v>
      </c>
      <c r="C552" s="3">
        <v>337883.66</v>
      </c>
      <c r="D552" s="3">
        <v>-84781.31</v>
      </c>
      <c r="E552" s="3">
        <f t="shared" si="1"/>
        <v>-0.1120632018</v>
      </c>
      <c r="H552" s="15"/>
      <c r="I552" s="15"/>
      <c r="J552" s="1"/>
      <c r="K552" s="1"/>
      <c r="L552" s="1"/>
    </row>
    <row r="553" ht="15.75" customHeight="1">
      <c r="A553" s="15">
        <v>40389.0</v>
      </c>
      <c r="B553" s="3">
        <v>676823.81</v>
      </c>
      <c r="C553" s="3">
        <v>337883.66</v>
      </c>
      <c r="D553" s="3">
        <v>-79725.25</v>
      </c>
      <c r="E553" s="3">
        <f t="shared" si="1"/>
        <v>-0.1053801455</v>
      </c>
      <c r="H553" s="15"/>
      <c r="I553" s="15"/>
      <c r="J553" s="1"/>
      <c r="K553" s="1"/>
      <c r="L553" s="1"/>
    </row>
    <row r="554" ht="15.75" customHeight="1">
      <c r="A554" s="15">
        <v>40396.0</v>
      </c>
      <c r="B554" s="3">
        <v>679882.13</v>
      </c>
      <c r="C554" s="3">
        <v>337883.66</v>
      </c>
      <c r="D554" s="3">
        <v>-76666.94</v>
      </c>
      <c r="E554" s="3">
        <f t="shared" si="1"/>
        <v>-0.1013376978</v>
      </c>
      <c r="H554" s="15"/>
      <c r="I554" s="15"/>
      <c r="J554" s="1"/>
      <c r="K554" s="1"/>
      <c r="L554" s="1"/>
    </row>
    <row r="555" ht="15.75" customHeight="1">
      <c r="A555" s="15">
        <v>40403.0</v>
      </c>
      <c r="B555" s="3">
        <v>664019.0</v>
      </c>
      <c r="C555" s="3">
        <v>42053.4</v>
      </c>
      <c r="D555" s="3">
        <v>-92530.06</v>
      </c>
      <c r="E555" s="3">
        <f t="shared" si="1"/>
        <v>-0.1223054325</v>
      </c>
      <c r="H555" s="15"/>
      <c r="I555" s="15"/>
      <c r="J555" s="1"/>
      <c r="K555" s="1"/>
      <c r="L555" s="1"/>
    </row>
    <row r="556" ht="15.75" customHeight="1">
      <c r="A556" s="15">
        <v>40410.0</v>
      </c>
      <c r="B556" s="3">
        <v>673837.0</v>
      </c>
      <c r="C556" s="3">
        <v>670.38</v>
      </c>
      <c r="D556" s="3">
        <v>-82712.06</v>
      </c>
      <c r="E556" s="3">
        <f t="shared" si="1"/>
        <v>-0.1093280851</v>
      </c>
      <c r="H556" s="15"/>
      <c r="I556" s="15"/>
      <c r="J556" s="1"/>
      <c r="K556" s="1"/>
      <c r="L556" s="1"/>
    </row>
    <row r="557" ht="15.75" customHeight="1">
      <c r="A557" s="15">
        <v>40417.0</v>
      </c>
      <c r="B557" s="3">
        <v>666103.56</v>
      </c>
      <c r="C557" s="3">
        <v>670.38</v>
      </c>
      <c r="D557" s="3">
        <v>-90445.5</v>
      </c>
      <c r="E557" s="3">
        <f t="shared" si="1"/>
        <v>-0.1195500791</v>
      </c>
      <c r="H557" s="15"/>
      <c r="I557" s="15"/>
      <c r="J557" s="1"/>
      <c r="K557" s="1"/>
      <c r="L557" s="1"/>
    </row>
    <row r="558" ht="15.75" customHeight="1">
      <c r="A558" s="15">
        <v>40424.0</v>
      </c>
      <c r="B558" s="3">
        <v>707214.0</v>
      </c>
      <c r="C558" s="3">
        <v>36885.01</v>
      </c>
      <c r="D558" s="3">
        <v>-49335.06</v>
      </c>
      <c r="E558" s="3">
        <f t="shared" si="1"/>
        <v>-0.06521065534</v>
      </c>
      <c r="H558" s="15"/>
      <c r="I558" s="15"/>
      <c r="J558" s="1"/>
      <c r="K558" s="1"/>
      <c r="L558" s="1"/>
    </row>
    <row r="559" ht="15.75" customHeight="1">
      <c r="A559" s="15">
        <v>40431.0</v>
      </c>
      <c r="B559" s="3">
        <v>718152.5</v>
      </c>
      <c r="C559" s="3">
        <v>36885.01</v>
      </c>
      <c r="D559" s="3">
        <v>-38396.56</v>
      </c>
      <c r="E559" s="3">
        <f t="shared" si="1"/>
        <v>-0.05075224071</v>
      </c>
      <c r="H559" s="15"/>
      <c r="I559" s="15"/>
      <c r="J559" s="1"/>
      <c r="K559" s="1"/>
      <c r="L559" s="1"/>
    </row>
    <row r="560" ht="15.75" customHeight="1">
      <c r="A560" s="15">
        <v>40438.0</v>
      </c>
      <c r="B560" s="3">
        <v>733717.69</v>
      </c>
      <c r="C560" s="3">
        <v>36885.01</v>
      </c>
      <c r="D560" s="3">
        <v>-22831.38</v>
      </c>
      <c r="E560" s="3">
        <f t="shared" si="1"/>
        <v>-0.03017832049</v>
      </c>
      <c r="H560" s="15"/>
      <c r="I560" s="15"/>
      <c r="J560" s="1"/>
      <c r="K560" s="1"/>
      <c r="L560" s="1"/>
    </row>
    <row r="561" ht="15.75" customHeight="1">
      <c r="A561" s="15">
        <v>40445.0</v>
      </c>
      <c r="B561" s="3">
        <v>717421.75</v>
      </c>
      <c r="C561" s="3">
        <v>36885.01</v>
      </c>
      <c r="D561" s="3">
        <v>-39127.31</v>
      </c>
      <c r="E561" s="3">
        <f t="shared" si="1"/>
        <v>-0.05171813973</v>
      </c>
      <c r="H561" s="15"/>
      <c r="I561" s="15"/>
      <c r="J561" s="1"/>
      <c r="K561" s="1"/>
      <c r="L561" s="1"/>
    </row>
    <row r="562" ht="15.75" customHeight="1">
      <c r="A562" s="15">
        <v>40452.0</v>
      </c>
      <c r="B562" s="3">
        <v>720114.19</v>
      </c>
      <c r="C562" s="3">
        <v>36885.01</v>
      </c>
      <c r="D562" s="3">
        <v>-36434.88</v>
      </c>
      <c r="E562" s="3">
        <f t="shared" si="1"/>
        <v>-0.04815930906</v>
      </c>
      <c r="H562" s="15"/>
      <c r="I562" s="15"/>
      <c r="J562" s="1"/>
      <c r="K562" s="1"/>
      <c r="L562" s="1"/>
    </row>
    <row r="563" ht="15.75" customHeight="1">
      <c r="A563" s="15">
        <v>40459.0</v>
      </c>
      <c r="B563" s="3">
        <v>738663.38</v>
      </c>
      <c r="C563" s="3">
        <v>36885.01</v>
      </c>
      <c r="D563" s="3">
        <v>-17885.69</v>
      </c>
      <c r="E563" s="3">
        <f t="shared" si="1"/>
        <v>-0.02364115025</v>
      </c>
      <c r="H563" s="15"/>
      <c r="I563" s="15"/>
      <c r="J563" s="1"/>
      <c r="K563" s="1"/>
      <c r="L563" s="1"/>
    </row>
    <row r="564" ht="15.75" customHeight="1">
      <c r="A564" s="15">
        <v>40466.0</v>
      </c>
      <c r="B564" s="3">
        <v>748149.5</v>
      </c>
      <c r="C564" s="3">
        <v>36885.01</v>
      </c>
      <c r="D564" s="3">
        <v>-8399.56</v>
      </c>
      <c r="E564" s="3">
        <f t="shared" si="1"/>
        <v>-0.01110246571</v>
      </c>
      <c r="H564" s="15"/>
      <c r="I564" s="15"/>
      <c r="J564" s="1"/>
      <c r="K564" s="1"/>
      <c r="L564" s="1"/>
    </row>
    <row r="565" ht="15.75" customHeight="1">
      <c r="A565" s="15">
        <v>40473.0</v>
      </c>
      <c r="B565" s="3">
        <v>743525.13</v>
      </c>
      <c r="C565" s="3">
        <v>36885.01</v>
      </c>
      <c r="D565" s="3">
        <v>-13023.94</v>
      </c>
      <c r="E565" s="3">
        <f t="shared" si="1"/>
        <v>-0.01721493118</v>
      </c>
      <c r="H565" s="15"/>
      <c r="I565" s="15"/>
      <c r="J565" s="1"/>
      <c r="K565" s="1"/>
      <c r="L565" s="1"/>
    </row>
    <row r="566" ht="15.75" customHeight="1">
      <c r="A566" s="15">
        <v>40480.0</v>
      </c>
      <c r="B566" s="3">
        <v>740656.75</v>
      </c>
      <c r="C566" s="3">
        <v>32412.74</v>
      </c>
      <c r="D566" s="3">
        <v>-15892.31</v>
      </c>
      <c r="E566" s="3">
        <f t="shared" si="1"/>
        <v>-0.02100631782</v>
      </c>
      <c r="H566" s="15"/>
      <c r="I566" s="15"/>
      <c r="J566" s="1"/>
      <c r="K566" s="1"/>
      <c r="L566" s="1"/>
    </row>
    <row r="567" ht="15.75" customHeight="1">
      <c r="A567" s="15">
        <v>40487.0</v>
      </c>
      <c r="B567" s="3">
        <v>753858.25</v>
      </c>
      <c r="C567" s="3">
        <v>32412.74</v>
      </c>
      <c r="D567" s="3">
        <v>-2690.81</v>
      </c>
      <c r="E567" s="3">
        <f t="shared" si="1"/>
        <v>-0.003556689371</v>
      </c>
      <c r="H567" s="15"/>
      <c r="I567" s="15"/>
      <c r="J567" s="1"/>
      <c r="K567" s="1"/>
      <c r="L567" s="1"/>
    </row>
    <row r="568" ht="15.75" customHeight="1">
      <c r="A568" s="15">
        <v>40494.0</v>
      </c>
      <c r="B568" s="3">
        <v>751911.94</v>
      </c>
      <c r="C568" s="3">
        <v>32412.74</v>
      </c>
      <c r="D568" s="3">
        <v>-4637.13</v>
      </c>
      <c r="E568" s="3">
        <f t="shared" si="1"/>
        <v>-0.006129318302</v>
      </c>
      <c r="H568" s="15"/>
      <c r="I568" s="15"/>
      <c r="J568" s="1"/>
      <c r="K568" s="1"/>
      <c r="L568" s="1"/>
    </row>
    <row r="569" ht="15.75" customHeight="1">
      <c r="A569" s="15">
        <v>40501.0</v>
      </c>
      <c r="B569" s="3">
        <v>741824.94</v>
      </c>
      <c r="C569" s="3">
        <v>32412.74</v>
      </c>
      <c r="D569" s="3">
        <v>-14724.13</v>
      </c>
      <c r="E569" s="3">
        <f t="shared" si="1"/>
        <v>-0.0194622276</v>
      </c>
      <c r="H569" s="15"/>
      <c r="I569" s="15"/>
      <c r="J569" s="1"/>
      <c r="K569" s="1"/>
      <c r="L569" s="1"/>
    </row>
    <row r="570" ht="15.75" customHeight="1">
      <c r="A570" s="15">
        <v>40508.0</v>
      </c>
      <c r="B570" s="3">
        <v>739982.56</v>
      </c>
      <c r="C570" s="3">
        <v>32412.74</v>
      </c>
      <c r="D570" s="3">
        <v>-16566.5</v>
      </c>
      <c r="E570" s="3">
        <f t="shared" si="1"/>
        <v>-0.02189745633</v>
      </c>
      <c r="H570" s="15"/>
      <c r="I570" s="15"/>
      <c r="J570" s="1"/>
      <c r="K570" s="1"/>
      <c r="L570" s="1"/>
    </row>
    <row r="571" ht="15.75" customHeight="1">
      <c r="A571" s="15">
        <v>40515.0</v>
      </c>
      <c r="B571" s="3">
        <v>741918.25</v>
      </c>
      <c r="C571" s="3">
        <v>32412.74</v>
      </c>
      <c r="D571" s="3">
        <v>-14630.81</v>
      </c>
      <c r="E571" s="3">
        <f t="shared" si="1"/>
        <v>-0.01933887804</v>
      </c>
      <c r="H571" s="15"/>
      <c r="I571" s="15"/>
      <c r="J571" s="1"/>
      <c r="K571" s="1"/>
      <c r="L571" s="1"/>
    </row>
    <row r="572" ht="15.75" customHeight="1">
      <c r="A572" s="15">
        <v>40522.0</v>
      </c>
      <c r="B572" s="3">
        <v>733625.06</v>
      </c>
      <c r="C572" s="3">
        <v>27535.66</v>
      </c>
      <c r="D572" s="3">
        <v>-22924.0</v>
      </c>
      <c r="E572" s="3">
        <f t="shared" si="1"/>
        <v>-0.03030074481</v>
      </c>
      <c r="H572" s="15"/>
      <c r="I572" s="15"/>
      <c r="J572" s="1"/>
      <c r="K572" s="1"/>
      <c r="L572" s="1"/>
    </row>
    <row r="573" ht="15.75" customHeight="1">
      <c r="A573" s="15">
        <v>40529.0</v>
      </c>
      <c r="B573" s="3">
        <v>748959.44</v>
      </c>
      <c r="C573" s="3">
        <v>27535.66</v>
      </c>
      <c r="D573" s="3">
        <v>-7589.63</v>
      </c>
      <c r="E573" s="3">
        <f t="shared" si="1"/>
        <v>-0.01003190725</v>
      </c>
      <c r="H573" s="15"/>
      <c r="I573" s="15"/>
      <c r="J573" s="1"/>
      <c r="K573" s="1"/>
      <c r="L573" s="1"/>
    </row>
    <row r="574" ht="15.75" customHeight="1">
      <c r="A574" s="15">
        <v>40536.0</v>
      </c>
      <c r="B574" s="3">
        <v>758503.31</v>
      </c>
      <c r="C574" s="3">
        <v>27535.66</v>
      </c>
      <c r="D574" s="3">
        <v>0.0</v>
      </c>
      <c r="E574" s="3">
        <f t="shared" si="1"/>
        <v>0</v>
      </c>
      <c r="H574" s="15"/>
      <c r="I574" s="15"/>
      <c r="J574" s="1"/>
      <c r="K574" s="1"/>
      <c r="L574" s="1"/>
    </row>
    <row r="575" ht="15.75" customHeight="1">
      <c r="A575" s="15">
        <v>40543.0</v>
      </c>
      <c r="B575" s="3">
        <v>787341.75</v>
      </c>
      <c r="C575" s="3">
        <v>27535.66</v>
      </c>
      <c r="D575" s="3">
        <v>0.0</v>
      </c>
      <c r="E575" s="3">
        <f t="shared" si="1"/>
        <v>0</v>
      </c>
      <c r="H575" s="15"/>
      <c r="I575" s="15"/>
      <c r="J575" s="1"/>
      <c r="K575" s="1"/>
      <c r="L575" s="1"/>
    </row>
    <row r="576" ht="15.75" customHeight="1">
      <c r="A576" s="15">
        <v>40550.0</v>
      </c>
      <c r="B576" s="3">
        <v>764800.19</v>
      </c>
      <c r="C576" s="3">
        <v>27535.66</v>
      </c>
      <c r="D576" s="3">
        <v>-22541.56</v>
      </c>
      <c r="E576" s="3">
        <f t="shared" si="1"/>
        <v>-0.02862995643</v>
      </c>
      <c r="H576" s="15"/>
      <c r="I576" s="15"/>
      <c r="J576" s="1"/>
      <c r="K576" s="1"/>
      <c r="L576" s="1"/>
    </row>
    <row r="577" ht="15.75" customHeight="1">
      <c r="A577" s="15">
        <v>40557.0</v>
      </c>
      <c r="B577" s="3">
        <v>784950.69</v>
      </c>
      <c r="C577" s="3">
        <v>27535.66</v>
      </c>
      <c r="D577" s="3">
        <v>-2391.06</v>
      </c>
      <c r="E577" s="3">
        <f t="shared" si="1"/>
        <v>-0.003036876934</v>
      </c>
      <c r="H577" s="15"/>
      <c r="I577" s="15"/>
      <c r="J577" s="1"/>
      <c r="K577" s="1"/>
      <c r="L577" s="1"/>
    </row>
    <row r="578" ht="15.75" customHeight="1">
      <c r="A578" s="15">
        <v>40564.0</v>
      </c>
      <c r="B578" s="3">
        <v>775937.81</v>
      </c>
      <c r="C578" s="3">
        <v>27535.66</v>
      </c>
      <c r="D578" s="3">
        <v>-11403.94</v>
      </c>
      <c r="E578" s="3">
        <f t="shared" si="1"/>
        <v>-0.01448410427</v>
      </c>
      <c r="H578" s="15"/>
      <c r="I578" s="15"/>
      <c r="J578" s="1"/>
      <c r="K578" s="1"/>
      <c r="L578" s="1"/>
    </row>
    <row r="579" ht="15.75" customHeight="1">
      <c r="A579" s="15">
        <v>40571.0</v>
      </c>
      <c r="B579" s="3">
        <v>760798.88</v>
      </c>
      <c r="C579" s="3">
        <v>27535.66</v>
      </c>
      <c r="D579" s="3">
        <v>-26542.88</v>
      </c>
      <c r="E579" s="3">
        <f t="shared" si="1"/>
        <v>-0.03371201895</v>
      </c>
      <c r="H579" s="15"/>
      <c r="I579" s="15"/>
      <c r="J579" s="1"/>
      <c r="K579" s="1"/>
      <c r="L579" s="1"/>
    </row>
    <row r="580" ht="15.75" customHeight="1">
      <c r="A580" s="15">
        <v>40578.0</v>
      </c>
      <c r="B580" s="3">
        <v>775871.31</v>
      </c>
      <c r="C580" s="3">
        <v>27535.66</v>
      </c>
      <c r="D580" s="3">
        <v>-11470.44</v>
      </c>
      <c r="E580" s="3">
        <f t="shared" si="1"/>
        <v>-0.01456856568</v>
      </c>
      <c r="H580" s="15"/>
      <c r="I580" s="15"/>
      <c r="J580" s="1"/>
      <c r="K580" s="1"/>
      <c r="L580" s="1"/>
    </row>
    <row r="581" ht="15.75" customHeight="1">
      <c r="A581" s="15">
        <v>40585.0</v>
      </c>
      <c r="B581" s="3">
        <v>780164.63</v>
      </c>
      <c r="C581" s="3">
        <v>27535.66</v>
      </c>
      <c r="D581" s="3">
        <v>-7177.13</v>
      </c>
      <c r="E581" s="3">
        <f t="shared" si="1"/>
        <v>-0.009115647684</v>
      </c>
      <c r="H581" s="15"/>
      <c r="I581" s="15"/>
      <c r="J581" s="1"/>
      <c r="K581" s="1"/>
      <c r="L581" s="1"/>
    </row>
    <row r="582" ht="15.75" customHeight="1">
      <c r="A582" s="15">
        <v>40592.0</v>
      </c>
      <c r="B582" s="3">
        <v>790779.88</v>
      </c>
      <c r="C582" s="3">
        <v>27535.66</v>
      </c>
      <c r="D582" s="3">
        <v>0.0</v>
      </c>
      <c r="E582" s="3">
        <f t="shared" si="1"/>
        <v>0</v>
      </c>
      <c r="H582" s="15"/>
      <c r="I582" s="15"/>
      <c r="J582" s="1"/>
      <c r="K582" s="1"/>
      <c r="L582" s="1"/>
    </row>
    <row r="583" ht="15.75" customHeight="1">
      <c r="A583" s="15">
        <v>40599.0</v>
      </c>
      <c r="B583" s="3">
        <v>764811.81</v>
      </c>
      <c r="C583" s="3">
        <v>27535.66</v>
      </c>
      <c r="D583" s="3">
        <v>-25968.06</v>
      </c>
      <c r="E583" s="3">
        <f t="shared" si="1"/>
        <v>-0.03283854415</v>
      </c>
      <c r="H583" s="15"/>
      <c r="I583" s="15"/>
      <c r="J583" s="1"/>
      <c r="K583" s="1"/>
      <c r="L583" s="1"/>
    </row>
    <row r="584" ht="15.75" customHeight="1">
      <c r="A584" s="15">
        <v>40606.0</v>
      </c>
      <c r="B584" s="3">
        <v>784907.69</v>
      </c>
      <c r="C584" s="3">
        <v>27535.66</v>
      </c>
      <c r="D584" s="3">
        <v>-5872.19</v>
      </c>
      <c r="E584" s="3">
        <f t="shared" si="1"/>
        <v>-0.007425821203</v>
      </c>
      <c r="H584" s="15"/>
      <c r="I584" s="15"/>
      <c r="J584" s="1"/>
      <c r="K584" s="1"/>
      <c r="L584" s="1"/>
    </row>
    <row r="585" ht="15.75" customHeight="1">
      <c r="A585" s="15">
        <v>40613.0</v>
      </c>
      <c r="B585" s="3">
        <v>739820.63</v>
      </c>
      <c r="C585" s="3">
        <v>27535.66</v>
      </c>
      <c r="D585" s="3">
        <v>-50959.25</v>
      </c>
      <c r="E585" s="3">
        <f t="shared" si="1"/>
        <v>-0.06444176349</v>
      </c>
      <c r="H585" s="15"/>
      <c r="I585" s="15"/>
      <c r="J585" s="1"/>
      <c r="K585" s="1"/>
      <c r="L585" s="1"/>
    </row>
    <row r="586" ht="15.75" customHeight="1">
      <c r="A586" s="15">
        <v>40620.0</v>
      </c>
      <c r="B586" s="3">
        <v>734522.38</v>
      </c>
      <c r="C586" s="3">
        <v>27535.66</v>
      </c>
      <c r="D586" s="3">
        <v>-56257.5</v>
      </c>
      <c r="E586" s="3">
        <f t="shared" si="1"/>
        <v>-0.07114179486</v>
      </c>
      <c r="H586" s="15"/>
      <c r="I586" s="15"/>
      <c r="J586" s="1"/>
      <c r="K586" s="1"/>
      <c r="L586" s="1"/>
    </row>
    <row r="587" ht="15.75" customHeight="1">
      <c r="A587" s="15">
        <v>40627.0</v>
      </c>
      <c r="B587" s="3">
        <v>738901.31</v>
      </c>
      <c r="C587" s="3">
        <v>288554.81</v>
      </c>
      <c r="D587" s="3">
        <v>-51878.56</v>
      </c>
      <c r="E587" s="3">
        <f t="shared" si="1"/>
        <v>-0.06560429939</v>
      </c>
      <c r="H587" s="15"/>
      <c r="I587" s="15"/>
      <c r="J587" s="1"/>
      <c r="K587" s="1"/>
      <c r="L587" s="1"/>
    </row>
    <row r="588" ht="15.75" customHeight="1">
      <c r="A588" s="15">
        <v>40634.0</v>
      </c>
      <c r="B588" s="3">
        <v>744290.06</v>
      </c>
      <c r="C588" s="3">
        <v>326223.22</v>
      </c>
      <c r="D588" s="3">
        <v>-46489.81</v>
      </c>
      <c r="E588" s="3">
        <f t="shared" si="1"/>
        <v>-0.05878982404</v>
      </c>
      <c r="H588" s="15"/>
      <c r="I588" s="15"/>
      <c r="J588" s="1"/>
      <c r="K588" s="1"/>
      <c r="L588" s="1"/>
    </row>
    <row r="589" ht="15.75" customHeight="1">
      <c r="A589" s="15">
        <v>40641.0</v>
      </c>
      <c r="B589" s="3">
        <v>749747.94</v>
      </c>
      <c r="C589" s="3">
        <v>139743.69</v>
      </c>
      <c r="D589" s="3">
        <v>-41031.94</v>
      </c>
      <c r="E589" s="3">
        <f t="shared" si="1"/>
        <v>-0.05188794131</v>
      </c>
      <c r="H589" s="15"/>
      <c r="I589" s="15"/>
      <c r="J589" s="1"/>
      <c r="K589" s="1"/>
      <c r="L589" s="1"/>
    </row>
    <row r="590" ht="15.75" customHeight="1">
      <c r="A590" s="15">
        <v>40648.0</v>
      </c>
      <c r="B590" s="3">
        <v>737371.25</v>
      </c>
      <c r="C590" s="3">
        <v>46250.11</v>
      </c>
      <c r="D590" s="3">
        <v>-53408.63</v>
      </c>
      <c r="E590" s="3">
        <f t="shared" si="1"/>
        <v>-0.06753918676</v>
      </c>
      <c r="H590" s="15"/>
      <c r="I590" s="15"/>
      <c r="J590" s="1"/>
      <c r="K590" s="1"/>
      <c r="L590" s="1"/>
    </row>
    <row r="591" ht="15.75" customHeight="1">
      <c r="A591" s="15">
        <v>40654.0</v>
      </c>
      <c r="B591" s="3">
        <v>740910.19</v>
      </c>
      <c r="C591" s="3">
        <v>148.69</v>
      </c>
      <c r="D591" s="3">
        <v>-49869.69</v>
      </c>
      <c r="E591" s="3">
        <f t="shared" si="1"/>
        <v>-0.0630639338</v>
      </c>
      <c r="H591" s="15"/>
      <c r="I591" s="15"/>
      <c r="J591" s="1"/>
      <c r="K591" s="1"/>
      <c r="L591" s="1"/>
    </row>
    <row r="592" ht="15.75" customHeight="1">
      <c r="A592" s="15">
        <v>40662.0</v>
      </c>
      <c r="B592" s="3">
        <v>718437.81</v>
      </c>
      <c r="C592" s="3">
        <v>148.69</v>
      </c>
      <c r="D592" s="3">
        <v>-72342.06</v>
      </c>
      <c r="E592" s="3">
        <f t="shared" si="1"/>
        <v>-0.09148191783</v>
      </c>
      <c r="H592" s="15"/>
      <c r="I592" s="15"/>
      <c r="J592" s="1"/>
      <c r="K592" s="1"/>
      <c r="L592" s="1"/>
    </row>
    <row r="593" ht="15.75" customHeight="1">
      <c r="A593" s="15">
        <v>40669.0</v>
      </c>
      <c r="B593" s="3">
        <v>717943.31</v>
      </c>
      <c r="C593" s="3">
        <v>148.69</v>
      </c>
      <c r="D593" s="3">
        <v>-72836.56</v>
      </c>
      <c r="E593" s="3">
        <f t="shared" si="1"/>
        <v>-0.09210724987</v>
      </c>
      <c r="H593" s="15"/>
      <c r="I593" s="15"/>
      <c r="J593" s="1"/>
      <c r="K593" s="1"/>
      <c r="L593" s="1"/>
    </row>
    <row r="594" ht="15.75" customHeight="1">
      <c r="A594" s="15">
        <v>40676.0</v>
      </c>
      <c r="B594" s="3">
        <v>706795.69</v>
      </c>
      <c r="C594" s="3">
        <v>148.69</v>
      </c>
      <c r="D594" s="3">
        <v>-83984.19</v>
      </c>
      <c r="E594" s="3">
        <f t="shared" si="1"/>
        <v>-0.1062042575</v>
      </c>
      <c r="H594" s="15"/>
      <c r="I594" s="15"/>
      <c r="J594" s="1"/>
      <c r="K594" s="1"/>
      <c r="L594" s="1"/>
    </row>
    <row r="595" ht="15.75" customHeight="1">
      <c r="A595" s="15">
        <v>40683.0</v>
      </c>
      <c r="B595" s="3">
        <v>711327.06</v>
      </c>
      <c r="C595" s="3">
        <v>74028.94</v>
      </c>
      <c r="D595" s="3">
        <v>-79452.81</v>
      </c>
      <c r="E595" s="3">
        <f t="shared" si="1"/>
        <v>-0.1004739903</v>
      </c>
      <c r="H595" s="15"/>
      <c r="I595" s="15"/>
      <c r="J595" s="1"/>
      <c r="K595" s="1"/>
      <c r="L595" s="1"/>
    </row>
    <row r="596" ht="15.75" customHeight="1">
      <c r="A596" s="15">
        <v>40690.0</v>
      </c>
      <c r="B596" s="3">
        <v>704530.06</v>
      </c>
      <c r="C596" s="3">
        <v>74028.94</v>
      </c>
      <c r="D596" s="3">
        <v>-86249.81</v>
      </c>
      <c r="E596" s="3">
        <f t="shared" si="1"/>
        <v>-0.1090693026</v>
      </c>
      <c r="H596" s="15"/>
      <c r="I596" s="15"/>
      <c r="J596" s="1"/>
      <c r="K596" s="1"/>
      <c r="L596" s="1"/>
    </row>
    <row r="597" ht="15.75" customHeight="1">
      <c r="A597" s="15">
        <v>40697.0</v>
      </c>
      <c r="B597" s="3">
        <v>698677.69</v>
      </c>
      <c r="C597" s="3">
        <v>117209.2</v>
      </c>
      <c r="D597" s="3">
        <v>-92102.19</v>
      </c>
      <c r="E597" s="3">
        <f t="shared" si="1"/>
        <v>-0.1164700726</v>
      </c>
      <c r="H597" s="15"/>
      <c r="I597" s="15"/>
      <c r="J597" s="1"/>
      <c r="K597" s="1"/>
      <c r="L597" s="1"/>
    </row>
    <row r="598" ht="15.75" customHeight="1">
      <c r="A598" s="15">
        <v>40704.0</v>
      </c>
      <c r="B598" s="3">
        <v>692390.25</v>
      </c>
      <c r="C598" s="3">
        <v>117209.2</v>
      </c>
      <c r="D598" s="3">
        <v>-98389.63</v>
      </c>
      <c r="E598" s="3">
        <f t="shared" si="1"/>
        <v>-0.1244210083</v>
      </c>
      <c r="H598" s="15"/>
      <c r="I598" s="15"/>
      <c r="J598" s="1"/>
      <c r="K598" s="1"/>
      <c r="L598" s="1"/>
    </row>
    <row r="599" ht="15.75" customHeight="1">
      <c r="A599" s="15">
        <v>40711.0</v>
      </c>
      <c r="B599" s="3">
        <v>687931.0</v>
      </c>
      <c r="C599" s="3">
        <v>117209.2</v>
      </c>
      <c r="D599" s="3">
        <v>-102848.88</v>
      </c>
      <c r="E599" s="3">
        <f t="shared" si="1"/>
        <v>-0.1300600617</v>
      </c>
      <c r="H599" s="15"/>
      <c r="I599" s="15"/>
      <c r="J599" s="1"/>
      <c r="K599" s="1"/>
      <c r="L599" s="1"/>
    </row>
    <row r="600" ht="15.75" customHeight="1">
      <c r="A600" s="15">
        <v>40718.0</v>
      </c>
      <c r="B600" s="3">
        <v>693625.06</v>
      </c>
      <c r="C600" s="3">
        <v>154977.84</v>
      </c>
      <c r="D600" s="3">
        <v>-97154.81</v>
      </c>
      <c r="E600" s="3">
        <f t="shared" si="1"/>
        <v>-0.1228594865</v>
      </c>
      <c r="H600" s="15"/>
      <c r="I600" s="15"/>
      <c r="J600" s="1"/>
      <c r="K600" s="1"/>
      <c r="L600" s="1"/>
    </row>
    <row r="601" ht="15.75" customHeight="1">
      <c r="A601" s="15">
        <v>40725.0</v>
      </c>
      <c r="B601" s="3">
        <v>693493.13</v>
      </c>
      <c r="C601" s="3">
        <v>154977.84</v>
      </c>
      <c r="D601" s="3">
        <v>-97286.75</v>
      </c>
      <c r="E601" s="3">
        <f t="shared" si="1"/>
        <v>-0.1230263345</v>
      </c>
      <c r="H601" s="15"/>
      <c r="I601" s="15"/>
      <c r="J601" s="1"/>
      <c r="K601" s="1"/>
      <c r="L601" s="1"/>
    </row>
    <row r="602" ht="15.75" customHeight="1">
      <c r="A602" s="15">
        <v>40732.0</v>
      </c>
      <c r="B602" s="3">
        <v>701713.88</v>
      </c>
      <c r="C602" s="3">
        <v>154977.84</v>
      </c>
      <c r="D602" s="3">
        <v>-89066.0</v>
      </c>
      <c r="E602" s="3">
        <f t="shared" si="1"/>
        <v>-0.1126305844</v>
      </c>
      <c r="H602" s="15"/>
      <c r="I602" s="15"/>
      <c r="J602" s="1"/>
      <c r="K602" s="1"/>
      <c r="L602" s="1"/>
    </row>
    <row r="603" ht="15.75" customHeight="1">
      <c r="A603" s="15">
        <v>40739.0</v>
      </c>
      <c r="B603" s="3">
        <v>683804.94</v>
      </c>
      <c r="C603" s="3">
        <v>154977.84</v>
      </c>
      <c r="D603" s="3">
        <v>-106974.94</v>
      </c>
      <c r="E603" s="3">
        <f t="shared" si="1"/>
        <v>-0.1352777716</v>
      </c>
      <c r="H603" s="15"/>
      <c r="I603" s="15"/>
      <c r="J603" s="1"/>
      <c r="K603" s="1"/>
      <c r="L603" s="1"/>
    </row>
    <row r="604" ht="15.75" customHeight="1">
      <c r="A604" s="15">
        <v>40746.0</v>
      </c>
      <c r="B604" s="3">
        <v>692162.13</v>
      </c>
      <c r="C604" s="3">
        <v>154977.84</v>
      </c>
      <c r="D604" s="3">
        <v>-98617.75</v>
      </c>
      <c r="E604" s="3">
        <f t="shared" si="1"/>
        <v>-0.124709483</v>
      </c>
      <c r="H604" s="15"/>
      <c r="I604" s="15"/>
      <c r="J604" s="1"/>
      <c r="K604" s="1"/>
      <c r="L604" s="1"/>
    </row>
    <row r="605" ht="15.75" customHeight="1">
      <c r="A605" s="15">
        <v>40753.0</v>
      </c>
      <c r="B605" s="3">
        <v>680144.31</v>
      </c>
      <c r="C605" s="3">
        <v>204813.17</v>
      </c>
      <c r="D605" s="3">
        <v>-110635.56</v>
      </c>
      <c r="E605" s="3">
        <f t="shared" si="1"/>
        <v>-0.139906898</v>
      </c>
      <c r="H605" s="15"/>
      <c r="I605" s="15"/>
      <c r="J605" s="1"/>
      <c r="K605" s="1"/>
      <c r="L605" s="1"/>
    </row>
    <row r="606" ht="15.75" customHeight="1">
      <c r="A606" s="15">
        <v>40760.0</v>
      </c>
      <c r="B606" s="3">
        <v>662340.69</v>
      </c>
      <c r="C606" s="3">
        <v>204813.17</v>
      </c>
      <c r="D606" s="3">
        <v>-128439.19</v>
      </c>
      <c r="E606" s="3">
        <f t="shared" si="1"/>
        <v>-0.1624209129</v>
      </c>
      <c r="H606" s="15"/>
      <c r="I606" s="15"/>
      <c r="J606" s="1"/>
      <c r="K606" s="1"/>
      <c r="L606" s="1"/>
    </row>
    <row r="607" ht="15.75" customHeight="1">
      <c r="A607" s="15">
        <v>40767.0</v>
      </c>
      <c r="B607" s="3">
        <v>652728.88</v>
      </c>
      <c r="C607" s="3">
        <v>247772.22</v>
      </c>
      <c r="D607" s="3">
        <v>-138051.0</v>
      </c>
      <c r="E607" s="3">
        <f t="shared" si="1"/>
        <v>-0.1745757618</v>
      </c>
      <c r="H607" s="15"/>
      <c r="I607" s="15"/>
      <c r="J607" s="1"/>
      <c r="K607" s="1"/>
      <c r="L607" s="1"/>
    </row>
    <row r="608" ht="15.75" customHeight="1">
      <c r="A608" s="15">
        <v>40774.0</v>
      </c>
      <c r="B608" s="3">
        <v>655393.56</v>
      </c>
      <c r="C608" s="3">
        <v>285638.94</v>
      </c>
      <c r="D608" s="3">
        <v>-135386.31</v>
      </c>
      <c r="E608" s="3">
        <f t="shared" si="1"/>
        <v>-0.1712060631</v>
      </c>
      <c r="H608" s="15"/>
      <c r="I608" s="15"/>
      <c r="J608" s="1"/>
      <c r="K608" s="1"/>
      <c r="L608" s="1"/>
    </row>
    <row r="609" ht="15.75" customHeight="1">
      <c r="A609" s="15">
        <v>40781.0</v>
      </c>
      <c r="B609" s="3">
        <v>659166.25</v>
      </c>
      <c r="C609" s="3">
        <v>377787.09</v>
      </c>
      <c r="D609" s="3">
        <v>-131613.63</v>
      </c>
      <c r="E609" s="3">
        <f t="shared" si="1"/>
        <v>-0.1664352285</v>
      </c>
      <c r="H609" s="15"/>
      <c r="I609" s="15"/>
      <c r="J609" s="1"/>
      <c r="K609" s="1"/>
      <c r="L609" s="1"/>
    </row>
    <row r="610" ht="15.75" customHeight="1">
      <c r="A610" s="15">
        <v>40788.0</v>
      </c>
      <c r="B610" s="3">
        <v>664021.88</v>
      </c>
      <c r="C610" s="3">
        <v>377787.09</v>
      </c>
      <c r="D610" s="3">
        <v>-126758.0</v>
      </c>
      <c r="E610" s="3">
        <f t="shared" si="1"/>
        <v>-0.160294923</v>
      </c>
      <c r="H610" s="15"/>
      <c r="I610" s="15"/>
      <c r="J610" s="1"/>
      <c r="K610" s="1"/>
      <c r="L610" s="1"/>
    </row>
    <row r="611" ht="15.75" customHeight="1">
      <c r="A611" s="15">
        <v>40795.0</v>
      </c>
      <c r="B611" s="3">
        <v>666648.63</v>
      </c>
      <c r="C611" s="3">
        <v>377787.09</v>
      </c>
      <c r="D611" s="3">
        <v>-124131.25</v>
      </c>
      <c r="E611" s="3">
        <f t="shared" si="1"/>
        <v>-0.1569732022</v>
      </c>
      <c r="H611" s="15"/>
      <c r="I611" s="15"/>
      <c r="J611" s="1"/>
      <c r="K611" s="1"/>
      <c r="L611" s="1"/>
    </row>
    <row r="612" ht="15.75" customHeight="1">
      <c r="A612" s="15">
        <v>40802.0</v>
      </c>
      <c r="B612" s="3">
        <v>666940.13</v>
      </c>
      <c r="C612" s="3">
        <v>377787.09</v>
      </c>
      <c r="D612" s="3">
        <v>-123839.75</v>
      </c>
      <c r="E612" s="3">
        <f t="shared" si="1"/>
        <v>-0.1566045788</v>
      </c>
      <c r="H612" s="15"/>
      <c r="I612" s="15"/>
      <c r="J612" s="1"/>
      <c r="K612" s="1"/>
      <c r="L612" s="1"/>
    </row>
    <row r="613" ht="15.75" customHeight="1">
      <c r="A613" s="15">
        <v>40809.0</v>
      </c>
      <c r="B613" s="3">
        <v>654524.81</v>
      </c>
      <c r="C613" s="3">
        <v>377787.09</v>
      </c>
      <c r="D613" s="3">
        <v>-136255.06</v>
      </c>
      <c r="E613" s="3">
        <f t="shared" si="1"/>
        <v>-0.1723046621</v>
      </c>
      <c r="H613" s="15"/>
      <c r="I613" s="15"/>
      <c r="J613" s="1"/>
      <c r="K613" s="1"/>
      <c r="L613" s="1"/>
    </row>
    <row r="614" ht="15.75" customHeight="1">
      <c r="A614" s="15">
        <v>40816.0</v>
      </c>
      <c r="B614" s="3">
        <v>660573.31</v>
      </c>
      <c r="C614" s="3">
        <v>377787.09</v>
      </c>
      <c r="D614" s="3">
        <v>-130206.56</v>
      </c>
      <c r="E614" s="3">
        <f t="shared" si="1"/>
        <v>-0.1646558838</v>
      </c>
      <c r="H614" s="15"/>
      <c r="I614" s="15"/>
      <c r="J614" s="1"/>
      <c r="K614" s="1"/>
      <c r="L614" s="1"/>
    </row>
    <row r="615" ht="15.75" customHeight="1">
      <c r="A615" s="15">
        <v>40823.0</v>
      </c>
      <c r="B615" s="3">
        <v>667672.69</v>
      </c>
      <c r="C615" s="3">
        <v>377787.09</v>
      </c>
      <c r="D615" s="3">
        <v>-123107.19</v>
      </c>
      <c r="E615" s="3">
        <f t="shared" si="1"/>
        <v>-0.1556782021</v>
      </c>
      <c r="H615" s="15"/>
      <c r="I615" s="15"/>
      <c r="J615" s="1"/>
      <c r="K615" s="1"/>
      <c r="L615" s="1"/>
    </row>
    <row r="616" ht="15.75" customHeight="1">
      <c r="A616" s="15">
        <v>40830.0</v>
      </c>
      <c r="B616" s="3">
        <v>659217.5</v>
      </c>
      <c r="C616" s="3">
        <v>377787.09</v>
      </c>
      <c r="D616" s="3">
        <v>-131562.38</v>
      </c>
      <c r="E616" s="3">
        <f t="shared" si="1"/>
        <v>-0.166370419</v>
      </c>
      <c r="H616" s="15"/>
      <c r="I616" s="15"/>
      <c r="J616" s="1"/>
      <c r="K616" s="1"/>
      <c r="L616" s="1"/>
    </row>
    <row r="617" ht="15.75" customHeight="1">
      <c r="A617" s="15">
        <v>40837.0</v>
      </c>
      <c r="B617" s="3">
        <v>657900.88</v>
      </c>
      <c r="C617" s="3">
        <v>377787.09</v>
      </c>
      <c r="D617" s="3">
        <v>-132879.0</v>
      </c>
      <c r="E617" s="3">
        <f t="shared" si="1"/>
        <v>-0.168035383</v>
      </c>
      <c r="H617" s="15"/>
      <c r="I617" s="15"/>
      <c r="J617" s="1"/>
      <c r="K617" s="1"/>
      <c r="L617" s="1"/>
    </row>
    <row r="618" ht="15.75" customHeight="1">
      <c r="A618" s="15">
        <v>40844.0</v>
      </c>
      <c r="B618" s="3">
        <v>662546.38</v>
      </c>
      <c r="C618" s="3">
        <v>414610.59</v>
      </c>
      <c r="D618" s="3">
        <v>-128233.5</v>
      </c>
      <c r="E618" s="3">
        <f t="shared" si="1"/>
        <v>-0.1621608026</v>
      </c>
      <c r="H618" s="15"/>
      <c r="I618" s="15"/>
      <c r="J618" s="1"/>
      <c r="K618" s="1"/>
      <c r="L618" s="1"/>
    </row>
    <row r="619" ht="15.75" customHeight="1">
      <c r="A619" s="15">
        <v>40851.0</v>
      </c>
      <c r="B619" s="3">
        <v>654349.19</v>
      </c>
      <c r="C619" s="3">
        <v>166095.66</v>
      </c>
      <c r="D619" s="3">
        <v>-136430.69</v>
      </c>
      <c r="E619" s="3">
        <f t="shared" si="1"/>
        <v>-0.1725267593</v>
      </c>
      <c r="H619" s="15"/>
      <c r="I619" s="15"/>
      <c r="J619" s="1"/>
      <c r="K619" s="1"/>
      <c r="L619" s="1"/>
    </row>
    <row r="620" ht="15.75" customHeight="1">
      <c r="A620" s="15">
        <v>40858.0</v>
      </c>
      <c r="B620" s="3">
        <v>665607.56</v>
      </c>
      <c r="C620" s="3">
        <v>43405.94</v>
      </c>
      <c r="D620" s="3">
        <v>-125172.31</v>
      </c>
      <c r="E620" s="3">
        <f t="shared" si="1"/>
        <v>-0.1582897</v>
      </c>
      <c r="H620" s="15"/>
      <c r="I620" s="15"/>
      <c r="J620" s="1"/>
      <c r="K620" s="1"/>
      <c r="L620" s="1"/>
    </row>
    <row r="621" ht="15.75" customHeight="1">
      <c r="A621" s="15">
        <v>40865.0</v>
      </c>
      <c r="B621" s="3">
        <v>657185.88</v>
      </c>
      <c r="C621" s="3">
        <v>1480.12</v>
      </c>
      <c r="D621" s="3">
        <v>-133594.0</v>
      </c>
      <c r="E621" s="3">
        <f t="shared" si="1"/>
        <v>-0.1689395537</v>
      </c>
      <c r="H621" s="15"/>
      <c r="I621" s="15"/>
      <c r="J621" s="1"/>
      <c r="K621" s="1"/>
      <c r="L621" s="1"/>
    </row>
    <row r="622" ht="15.75" customHeight="1">
      <c r="A622" s="15">
        <v>40872.0</v>
      </c>
      <c r="B622" s="3">
        <v>625128.31</v>
      </c>
      <c r="C622" s="3">
        <v>1480.12</v>
      </c>
      <c r="D622" s="3">
        <v>-165651.56</v>
      </c>
      <c r="E622" s="3">
        <f t="shared" si="1"/>
        <v>-0.2094787237</v>
      </c>
      <c r="H622" s="15"/>
      <c r="I622" s="15"/>
      <c r="J622" s="1"/>
      <c r="K622" s="1"/>
      <c r="L622" s="1"/>
    </row>
    <row r="623" ht="15.75" customHeight="1">
      <c r="A623" s="15">
        <v>40879.0</v>
      </c>
      <c r="B623" s="3">
        <v>655683.25</v>
      </c>
      <c r="C623" s="3">
        <v>1480.12</v>
      </c>
      <c r="D623" s="3">
        <v>-135096.63</v>
      </c>
      <c r="E623" s="3">
        <f t="shared" si="1"/>
        <v>-0.1708397411</v>
      </c>
      <c r="H623" s="15"/>
      <c r="I623" s="15"/>
      <c r="J623" s="1"/>
      <c r="K623" s="1"/>
      <c r="L623" s="1"/>
    </row>
    <row r="624" ht="15.75" customHeight="1">
      <c r="A624" s="15">
        <v>40886.0</v>
      </c>
      <c r="B624" s="3">
        <v>643981.75</v>
      </c>
      <c r="C624" s="3">
        <v>19041.27</v>
      </c>
      <c r="D624" s="3">
        <v>-146798.13</v>
      </c>
      <c r="E624" s="3">
        <f t="shared" si="1"/>
        <v>-0.1856371586</v>
      </c>
      <c r="H624" s="15"/>
      <c r="I624" s="15"/>
      <c r="J624" s="1"/>
      <c r="K624" s="1"/>
      <c r="L624" s="1"/>
    </row>
    <row r="625" ht="15.75" customHeight="1">
      <c r="A625" s="15">
        <v>40893.0</v>
      </c>
      <c r="B625" s="3">
        <v>655103.06</v>
      </c>
      <c r="C625" s="3">
        <v>19041.27</v>
      </c>
      <c r="D625" s="3">
        <v>-135676.81</v>
      </c>
      <c r="E625" s="3">
        <f t="shared" si="1"/>
        <v>-0.1715734219</v>
      </c>
      <c r="H625" s="15"/>
      <c r="I625" s="15"/>
      <c r="J625" s="1"/>
      <c r="K625" s="1"/>
      <c r="L625" s="1"/>
    </row>
    <row r="626" ht="15.75" customHeight="1">
      <c r="A626" s="15">
        <v>40900.0</v>
      </c>
      <c r="B626" s="3">
        <v>654559.88</v>
      </c>
      <c r="C626" s="3">
        <v>19041.27</v>
      </c>
      <c r="D626" s="3">
        <v>-136220.0</v>
      </c>
      <c r="E626" s="3">
        <f t="shared" si="1"/>
        <v>-0.1722603261</v>
      </c>
      <c r="H626" s="15"/>
      <c r="I626" s="15"/>
      <c r="J626" s="1"/>
      <c r="K626" s="1"/>
      <c r="L626" s="1"/>
    </row>
    <row r="627" ht="15.75" customHeight="1">
      <c r="A627" s="15">
        <v>40907.0</v>
      </c>
      <c r="B627" s="3">
        <v>643308.19</v>
      </c>
      <c r="C627" s="3">
        <v>61207.01</v>
      </c>
      <c r="D627" s="3">
        <v>-147471.69</v>
      </c>
      <c r="E627" s="3">
        <f t="shared" si="1"/>
        <v>-0.1864889253</v>
      </c>
      <c r="H627" s="15"/>
      <c r="I627" s="15"/>
      <c r="J627" s="1"/>
      <c r="K627" s="1"/>
      <c r="L627" s="1"/>
    </row>
    <row r="628" ht="15.75" customHeight="1">
      <c r="A628" s="15">
        <v>40914.0</v>
      </c>
      <c r="B628" s="3">
        <v>645286.31</v>
      </c>
      <c r="C628" s="3">
        <v>96896.48</v>
      </c>
      <c r="D628" s="3">
        <v>-145493.56</v>
      </c>
      <c r="E628" s="3">
        <f t="shared" si="1"/>
        <v>-0.1839874328</v>
      </c>
      <c r="H628" s="15"/>
      <c r="I628" s="15"/>
      <c r="J628" s="1"/>
      <c r="K628" s="1"/>
      <c r="L628" s="1"/>
    </row>
    <row r="629" ht="15.75" customHeight="1">
      <c r="A629" s="15">
        <v>40921.0</v>
      </c>
      <c r="B629" s="3">
        <v>657546.44</v>
      </c>
      <c r="C629" s="3">
        <v>96896.48</v>
      </c>
      <c r="D629" s="3">
        <v>-133233.44</v>
      </c>
      <c r="E629" s="3">
        <f t="shared" si="1"/>
        <v>-0.1684835987</v>
      </c>
      <c r="H629" s="15"/>
      <c r="I629" s="15"/>
      <c r="J629" s="1"/>
      <c r="K629" s="1"/>
      <c r="L629" s="1"/>
    </row>
    <row r="630" ht="15.75" customHeight="1">
      <c r="A630" s="15">
        <v>40928.0</v>
      </c>
      <c r="B630" s="3">
        <v>657482.56</v>
      </c>
      <c r="C630" s="3">
        <v>15132.36</v>
      </c>
      <c r="D630" s="3">
        <v>-133297.31</v>
      </c>
      <c r="E630" s="3">
        <f t="shared" si="1"/>
        <v>-0.1685643671</v>
      </c>
      <c r="H630" s="15"/>
      <c r="I630" s="15"/>
      <c r="J630" s="1"/>
      <c r="K630" s="1"/>
      <c r="L630" s="1"/>
    </row>
    <row r="631" ht="15.75" customHeight="1">
      <c r="A631" s="15">
        <v>40935.0</v>
      </c>
      <c r="B631" s="3">
        <v>660401.75</v>
      </c>
      <c r="C631" s="3">
        <v>15132.36</v>
      </c>
      <c r="D631" s="3">
        <v>-130378.13</v>
      </c>
      <c r="E631" s="3">
        <f t="shared" si="1"/>
        <v>-0.1648728468</v>
      </c>
      <c r="H631" s="15"/>
      <c r="I631" s="15"/>
      <c r="J631" s="1"/>
      <c r="K631" s="1"/>
      <c r="L631" s="1"/>
    </row>
    <row r="632" ht="15.75" customHeight="1">
      <c r="A632" s="15">
        <v>40942.0</v>
      </c>
      <c r="B632" s="3">
        <v>657511.25</v>
      </c>
      <c r="C632" s="3">
        <v>15132.36</v>
      </c>
      <c r="D632" s="3">
        <v>-133268.63</v>
      </c>
      <c r="E632" s="3">
        <f t="shared" si="1"/>
        <v>-0.1685280991</v>
      </c>
      <c r="H632" s="15"/>
      <c r="I632" s="15"/>
      <c r="J632" s="1"/>
      <c r="K632" s="1"/>
      <c r="L632" s="1"/>
    </row>
    <row r="633" ht="15.75" customHeight="1">
      <c r="A633" s="15">
        <v>40949.0</v>
      </c>
      <c r="B633" s="3">
        <v>661596.75</v>
      </c>
      <c r="C633" s="3">
        <v>15132.36</v>
      </c>
      <c r="D633" s="3">
        <v>-129183.13</v>
      </c>
      <c r="E633" s="3">
        <f t="shared" si="1"/>
        <v>-0.1633616804</v>
      </c>
      <c r="H633" s="15"/>
      <c r="I633" s="15"/>
      <c r="J633" s="1"/>
      <c r="K633" s="1"/>
      <c r="L633" s="1"/>
    </row>
    <row r="634" ht="15.75" customHeight="1">
      <c r="A634" s="15">
        <v>40956.0</v>
      </c>
      <c r="B634" s="3">
        <v>660593.44</v>
      </c>
      <c r="C634" s="3">
        <v>15132.36</v>
      </c>
      <c r="D634" s="3">
        <v>-130186.44</v>
      </c>
      <c r="E634" s="3">
        <f t="shared" si="1"/>
        <v>-0.1646304405</v>
      </c>
      <c r="H634" s="15"/>
      <c r="I634" s="15"/>
      <c r="J634" s="1"/>
      <c r="K634" s="1"/>
      <c r="L634" s="1"/>
    </row>
    <row r="635" ht="15.75" customHeight="1">
      <c r="A635" s="15">
        <v>40963.0</v>
      </c>
      <c r="B635" s="3">
        <v>677314.56</v>
      </c>
      <c r="C635" s="3">
        <v>15132.36</v>
      </c>
      <c r="D635" s="3">
        <v>-113465.31</v>
      </c>
      <c r="E635" s="3">
        <f t="shared" si="1"/>
        <v>-0.1434853274</v>
      </c>
      <c r="H635" s="15"/>
      <c r="I635" s="15"/>
      <c r="J635" s="1"/>
      <c r="K635" s="1"/>
      <c r="L635" s="1"/>
    </row>
    <row r="636" ht="15.75" customHeight="1">
      <c r="A636" s="15">
        <v>40970.0</v>
      </c>
      <c r="B636" s="3">
        <v>677755.31</v>
      </c>
      <c r="C636" s="3">
        <v>15132.36</v>
      </c>
      <c r="D636" s="3">
        <v>-113024.56</v>
      </c>
      <c r="E636" s="3">
        <f t="shared" si="1"/>
        <v>-0.1429279663</v>
      </c>
      <c r="H636" s="15"/>
      <c r="I636" s="15"/>
      <c r="J636" s="1"/>
      <c r="K636" s="1"/>
      <c r="L636" s="1"/>
    </row>
    <row r="637" ht="15.75" customHeight="1">
      <c r="A637" s="15">
        <v>40977.0</v>
      </c>
      <c r="B637" s="3">
        <v>671568.94</v>
      </c>
      <c r="C637" s="3">
        <v>15132.36</v>
      </c>
      <c r="D637" s="3">
        <v>-119210.94</v>
      </c>
      <c r="E637" s="3">
        <f t="shared" si="1"/>
        <v>-0.1507511041</v>
      </c>
      <c r="H637" s="15"/>
      <c r="I637" s="15"/>
      <c r="J637" s="1"/>
      <c r="K637" s="1"/>
      <c r="L637" s="1"/>
    </row>
    <row r="638" ht="15.75" customHeight="1">
      <c r="A638" s="15">
        <v>40984.0</v>
      </c>
      <c r="B638" s="3">
        <v>680306.75</v>
      </c>
      <c r="C638" s="3">
        <v>15132.36</v>
      </c>
      <c r="D638" s="3">
        <v>-110473.13</v>
      </c>
      <c r="E638" s="3">
        <f t="shared" si="1"/>
        <v>-0.1397014932</v>
      </c>
      <c r="H638" s="15"/>
      <c r="I638" s="15"/>
      <c r="J638" s="1"/>
      <c r="K638" s="1"/>
      <c r="L638" s="1"/>
    </row>
    <row r="639" ht="15.75" customHeight="1">
      <c r="A639" s="15">
        <v>40991.0</v>
      </c>
      <c r="B639" s="3">
        <v>675210.06</v>
      </c>
      <c r="C639" s="3">
        <v>15132.36</v>
      </c>
      <c r="D639" s="3">
        <v>-115569.81</v>
      </c>
      <c r="E639" s="3">
        <f t="shared" si="1"/>
        <v>-0.1461466243</v>
      </c>
      <c r="H639" s="15"/>
      <c r="I639" s="15"/>
      <c r="J639" s="1"/>
      <c r="K639" s="1"/>
      <c r="L639" s="1"/>
    </row>
    <row r="640" ht="15.75" customHeight="1">
      <c r="A640" s="15">
        <v>40998.0</v>
      </c>
      <c r="B640" s="3">
        <v>679957.38</v>
      </c>
      <c r="C640" s="3">
        <v>15132.36</v>
      </c>
      <c r="D640" s="3">
        <v>-110822.5</v>
      </c>
      <c r="E640" s="3">
        <f t="shared" si="1"/>
        <v>-0.1401432975</v>
      </c>
      <c r="H640" s="15"/>
      <c r="I640" s="15"/>
      <c r="J640" s="1"/>
      <c r="K640" s="1"/>
      <c r="L640" s="1"/>
    </row>
    <row r="641" ht="15.75" customHeight="1">
      <c r="A641" s="15">
        <v>41004.0</v>
      </c>
      <c r="B641" s="3">
        <v>675568.94</v>
      </c>
      <c r="C641" s="3">
        <v>15132.36</v>
      </c>
      <c r="D641" s="3">
        <v>-115210.94</v>
      </c>
      <c r="E641" s="3">
        <f t="shared" si="1"/>
        <v>-0.1456928064</v>
      </c>
      <c r="H641" s="15"/>
      <c r="I641" s="15"/>
      <c r="J641" s="1"/>
      <c r="K641" s="1"/>
      <c r="L641" s="1"/>
    </row>
    <row r="642" ht="15.75" customHeight="1">
      <c r="A642" s="15">
        <v>41012.0</v>
      </c>
      <c r="B642" s="3">
        <v>679621.75</v>
      </c>
      <c r="C642" s="3">
        <v>15132.36</v>
      </c>
      <c r="D642" s="3">
        <v>-111158.13</v>
      </c>
      <c r="E642" s="3">
        <f t="shared" si="1"/>
        <v>-0.1405677266</v>
      </c>
      <c r="H642" s="15"/>
      <c r="I642" s="15"/>
      <c r="J642" s="1"/>
      <c r="K642" s="1"/>
      <c r="L642" s="1"/>
    </row>
    <row r="643" ht="15.75" customHeight="1">
      <c r="A643" s="15">
        <v>41019.0</v>
      </c>
      <c r="B643" s="3">
        <v>683775.81</v>
      </c>
      <c r="C643" s="3">
        <v>15132.36</v>
      </c>
      <c r="D643" s="3">
        <v>-107004.06</v>
      </c>
      <c r="E643" s="3">
        <f t="shared" si="1"/>
        <v>-0.135314596</v>
      </c>
      <c r="H643" s="15"/>
      <c r="I643" s="15"/>
      <c r="J643" s="1"/>
      <c r="K643" s="1"/>
      <c r="L643" s="1"/>
    </row>
    <row r="644" ht="15.75" customHeight="1">
      <c r="A644" s="15">
        <v>41026.0</v>
      </c>
      <c r="B644" s="3">
        <v>689482.63</v>
      </c>
      <c r="C644" s="3">
        <v>15132.36</v>
      </c>
      <c r="D644" s="3">
        <v>-101297.25</v>
      </c>
      <c r="E644" s="3">
        <f t="shared" si="1"/>
        <v>-0.1280979101</v>
      </c>
      <c r="H644" s="15"/>
      <c r="I644" s="15"/>
      <c r="J644" s="1"/>
      <c r="K644" s="1"/>
      <c r="L644" s="1"/>
    </row>
    <row r="645" ht="15.75" customHeight="1">
      <c r="A645" s="15">
        <v>41033.0</v>
      </c>
      <c r="B645" s="3">
        <v>690787.56</v>
      </c>
      <c r="C645" s="3">
        <v>15132.36</v>
      </c>
      <c r="D645" s="3">
        <v>-99992.31</v>
      </c>
      <c r="E645" s="3">
        <f t="shared" si="1"/>
        <v>-0.1264477164</v>
      </c>
      <c r="H645" s="15"/>
      <c r="I645" s="15"/>
      <c r="J645" s="1"/>
      <c r="K645" s="1"/>
      <c r="L645" s="1"/>
    </row>
    <row r="646" ht="15.75" customHeight="1">
      <c r="A646" s="15">
        <v>41040.0</v>
      </c>
      <c r="B646" s="3">
        <v>693098.06</v>
      </c>
      <c r="C646" s="3">
        <v>15132.36</v>
      </c>
      <c r="D646" s="3">
        <v>-97681.81</v>
      </c>
      <c r="E646" s="3">
        <f t="shared" si="1"/>
        <v>-0.1235259172</v>
      </c>
      <c r="H646" s="15"/>
      <c r="I646" s="15"/>
      <c r="J646" s="1"/>
      <c r="K646" s="1"/>
      <c r="L646" s="1"/>
    </row>
    <row r="647" ht="15.75" customHeight="1">
      <c r="A647" s="15">
        <v>41047.0</v>
      </c>
      <c r="B647" s="3">
        <v>687129.44</v>
      </c>
      <c r="C647" s="3">
        <v>15132.36</v>
      </c>
      <c r="D647" s="3">
        <v>-103650.44</v>
      </c>
      <c r="E647" s="3">
        <f t="shared" si="1"/>
        <v>-0.131073694</v>
      </c>
      <c r="H647" s="15"/>
      <c r="I647" s="15"/>
      <c r="J647" s="1"/>
      <c r="K647" s="1"/>
      <c r="L647" s="1"/>
    </row>
    <row r="648" ht="15.75" customHeight="1">
      <c r="A648" s="15">
        <v>41054.0</v>
      </c>
      <c r="B648" s="3">
        <v>686244.94</v>
      </c>
      <c r="C648" s="3">
        <v>65490.81</v>
      </c>
      <c r="D648" s="3">
        <v>-104534.94</v>
      </c>
      <c r="E648" s="3">
        <f t="shared" si="1"/>
        <v>-0.13219221</v>
      </c>
      <c r="H648" s="15"/>
      <c r="I648" s="15"/>
      <c r="J648" s="1"/>
      <c r="K648" s="1"/>
      <c r="L648" s="1"/>
    </row>
    <row r="649" ht="15.75" customHeight="1">
      <c r="A649" s="15">
        <v>41061.0</v>
      </c>
      <c r="B649" s="3">
        <v>690781.44</v>
      </c>
      <c r="C649" s="3">
        <v>65490.81</v>
      </c>
      <c r="D649" s="3">
        <v>-99998.44</v>
      </c>
      <c r="E649" s="3">
        <f t="shared" si="1"/>
        <v>-0.1264554682</v>
      </c>
      <c r="H649" s="15"/>
      <c r="I649" s="15"/>
      <c r="J649" s="1"/>
      <c r="K649" s="1"/>
      <c r="L649" s="1"/>
    </row>
    <row r="650" ht="15.75" customHeight="1">
      <c r="A650" s="15">
        <v>41068.0</v>
      </c>
      <c r="B650" s="3">
        <v>691022.06</v>
      </c>
      <c r="C650" s="3">
        <v>65490.81</v>
      </c>
      <c r="D650" s="3">
        <v>-99757.81</v>
      </c>
      <c r="E650" s="3">
        <f t="shared" si="1"/>
        <v>-0.1261511737</v>
      </c>
      <c r="H650" s="15"/>
      <c r="I650" s="15"/>
      <c r="J650" s="1"/>
      <c r="K650" s="1"/>
      <c r="L650" s="1"/>
    </row>
    <row r="651" ht="15.75" customHeight="1">
      <c r="A651" s="15">
        <v>41075.0</v>
      </c>
      <c r="B651" s="3">
        <v>692992.06</v>
      </c>
      <c r="C651" s="3">
        <v>65490.81</v>
      </c>
      <c r="D651" s="3">
        <v>-97787.81</v>
      </c>
      <c r="E651" s="3">
        <f t="shared" si="1"/>
        <v>-0.1236599621</v>
      </c>
      <c r="H651" s="15"/>
      <c r="I651" s="15"/>
      <c r="J651" s="1"/>
      <c r="K651" s="1"/>
      <c r="L651" s="1"/>
    </row>
    <row r="652" ht="15.75" customHeight="1">
      <c r="A652" s="15">
        <v>41082.0</v>
      </c>
      <c r="B652" s="3">
        <v>698516.81</v>
      </c>
      <c r="C652" s="3">
        <v>65490.81</v>
      </c>
      <c r="D652" s="3">
        <v>-92263.06</v>
      </c>
      <c r="E652" s="3">
        <f t="shared" si="1"/>
        <v>-0.1166735046</v>
      </c>
      <c r="H652" s="15"/>
      <c r="I652" s="15"/>
      <c r="J652" s="1"/>
      <c r="K652" s="1"/>
      <c r="L652" s="1"/>
    </row>
    <row r="653" ht="15.75" customHeight="1">
      <c r="A653" s="15">
        <v>41089.0</v>
      </c>
      <c r="B653" s="3">
        <v>713306.25</v>
      </c>
      <c r="C653" s="3">
        <v>65490.81</v>
      </c>
      <c r="D653" s="3">
        <v>-77473.63</v>
      </c>
      <c r="E653" s="3">
        <f t="shared" si="1"/>
        <v>-0.09797116993</v>
      </c>
      <c r="H653" s="15"/>
      <c r="I653" s="15"/>
      <c r="J653" s="1"/>
      <c r="K653" s="1"/>
      <c r="L653" s="1"/>
    </row>
    <row r="654" ht="15.75" customHeight="1">
      <c r="A654" s="15">
        <v>41096.0</v>
      </c>
      <c r="B654" s="3">
        <v>714965.31</v>
      </c>
      <c r="C654" s="3">
        <v>65490.81</v>
      </c>
      <c r="D654" s="3">
        <v>-75814.56</v>
      </c>
      <c r="E654" s="3">
        <f t="shared" si="1"/>
        <v>-0.09587315246</v>
      </c>
      <c r="H654" s="15"/>
      <c r="I654" s="15"/>
      <c r="J654" s="1"/>
      <c r="K654" s="1"/>
      <c r="L654" s="1"/>
    </row>
    <row r="655" ht="15.75" customHeight="1">
      <c r="A655" s="15">
        <v>41103.0</v>
      </c>
      <c r="B655" s="3">
        <v>714339.31</v>
      </c>
      <c r="C655" s="3">
        <v>65490.81</v>
      </c>
      <c r="D655" s="3">
        <v>-76440.56</v>
      </c>
      <c r="E655" s="3">
        <f t="shared" si="1"/>
        <v>-0.09666477604</v>
      </c>
      <c r="H655" s="15"/>
      <c r="I655" s="15"/>
      <c r="J655" s="1"/>
      <c r="K655" s="1"/>
      <c r="L655" s="1"/>
    </row>
    <row r="656" ht="15.75" customHeight="1">
      <c r="A656" s="15">
        <v>41110.0</v>
      </c>
      <c r="B656" s="3">
        <v>731184.69</v>
      </c>
      <c r="C656" s="3">
        <v>65490.81</v>
      </c>
      <c r="D656" s="3">
        <v>-59595.19</v>
      </c>
      <c r="E656" s="3">
        <f t="shared" si="1"/>
        <v>-0.07536255222</v>
      </c>
      <c r="H656" s="15"/>
      <c r="I656" s="15"/>
      <c r="J656" s="1"/>
      <c r="K656" s="1"/>
      <c r="L656" s="1"/>
    </row>
    <row r="657" ht="15.75" customHeight="1">
      <c r="A657" s="15">
        <v>41117.0</v>
      </c>
      <c r="B657" s="3">
        <v>735942.19</v>
      </c>
      <c r="C657" s="3">
        <v>19880.92</v>
      </c>
      <c r="D657" s="3">
        <v>-54837.69</v>
      </c>
      <c r="E657" s="3">
        <f t="shared" si="1"/>
        <v>-0.06934633946</v>
      </c>
      <c r="H657" s="15"/>
      <c r="I657" s="15"/>
      <c r="J657" s="1"/>
      <c r="K657" s="1"/>
      <c r="L657" s="1"/>
    </row>
    <row r="658" ht="15.75" customHeight="1">
      <c r="A658" s="15">
        <v>41124.0</v>
      </c>
      <c r="B658" s="3">
        <v>737544.75</v>
      </c>
      <c r="C658" s="3">
        <v>19880.92</v>
      </c>
      <c r="D658" s="3">
        <v>-53235.13</v>
      </c>
      <c r="E658" s="3">
        <f t="shared" si="1"/>
        <v>-0.0673197831</v>
      </c>
      <c r="H658" s="15"/>
      <c r="I658" s="15"/>
      <c r="J658" s="1"/>
      <c r="K658" s="1"/>
      <c r="L658" s="1"/>
    </row>
    <row r="659" ht="15.75" customHeight="1">
      <c r="A659" s="15">
        <v>41131.0</v>
      </c>
      <c r="B659" s="3">
        <v>740615.88</v>
      </c>
      <c r="C659" s="3">
        <v>19880.92</v>
      </c>
      <c r="D659" s="3">
        <v>-50164.0</v>
      </c>
      <c r="E659" s="3">
        <f t="shared" si="1"/>
        <v>-0.06343611069</v>
      </c>
      <c r="H659" s="15"/>
      <c r="I659" s="15"/>
      <c r="J659" s="1"/>
      <c r="K659" s="1"/>
      <c r="L659" s="1"/>
    </row>
    <row r="660" ht="15.75" customHeight="1">
      <c r="A660" s="15">
        <v>41138.0</v>
      </c>
      <c r="B660" s="3">
        <v>750410.5</v>
      </c>
      <c r="C660" s="3">
        <v>19880.92</v>
      </c>
      <c r="D660" s="3">
        <v>-40369.38</v>
      </c>
      <c r="E660" s="3">
        <f t="shared" si="1"/>
        <v>-0.05105008489</v>
      </c>
      <c r="H660" s="15"/>
      <c r="I660" s="15"/>
      <c r="J660" s="1"/>
      <c r="K660" s="1"/>
      <c r="L660" s="1"/>
    </row>
    <row r="661" ht="15.75" customHeight="1">
      <c r="A661" s="15">
        <v>41145.0</v>
      </c>
      <c r="B661" s="3">
        <v>753643.31</v>
      </c>
      <c r="C661" s="3">
        <v>19880.92</v>
      </c>
      <c r="D661" s="3">
        <v>-37136.56</v>
      </c>
      <c r="E661" s="3">
        <f t="shared" si="1"/>
        <v>-0.04696194344</v>
      </c>
      <c r="H661" s="15"/>
      <c r="I661" s="15"/>
      <c r="J661" s="1"/>
      <c r="K661" s="1"/>
      <c r="L661" s="1"/>
    </row>
    <row r="662" ht="15.75" customHeight="1">
      <c r="A662" s="15">
        <v>41152.0</v>
      </c>
      <c r="B662" s="3">
        <v>750137.13</v>
      </c>
      <c r="C662" s="3">
        <v>19880.92</v>
      </c>
      <c r="D662" s="3">
        <v>-40642.75</v>
      </c>
      <c r="E662" s="3">
        <f t="shared" si="1"/>
        <v>-0.05139578159</v>
      </c>
      <c r="H662" s="15"/>
      <c r="I662" s="15"/>
      <c r="J662" s="1"/>
      <c r="K662" s="1"/>
      <c r="L662" s="1"/>
    </row>
    <row r="663" ht="15.75" customHeight="1">
      <c r="A663" s="15">
        <v>41159.0</v>
      </c>
      <c r="B663" s="3">
        <v>762947.31</v>
      </c>
      <c r="C663" s="3">
        <v>19880.92</v>
      </c>
      <c r="D663" s="3">
        <v>-27832.56</v>
      </c>
      <c r="E663" s="3">
        <f t="shared" si="1"/>
        <v>-0.03519634313</v>
      </c>
      <c r="H663" s="15"/>
      <c r="I663" s="15"/>
      <c r="J663" s="1"/>
      <c r="K663" s="1"/>
      <c r="L663" s="1"/>
    </row>
    <row r="664" ht="15.75" customHeight="1">
      <c r="A664" s="15">
        <v>41166.0</v>
      </c>
      <c r="B664" s="3">
        <v>758276.75</v>
      </c>
      <c r="C664" s="3">
        <v>19880.92</v>
      </c>
      <c r="D664" s="3">
        <v>-32503.13</v>
      </c>
      <c r="E664" s="3">
        <f t="shared" si="1"/>
        <v>-0.04110262644</v>
      </c>
      <c r="H664" s="15"/>
      <c r="I664" s="15"/>
      <c r="J664" s="1"/>
      <c r="K664" s="1"/>
      <c r="L664" s="1"/>
    </row>
    <row r="665" ht="15.75" customHeight="1">
      <c r="A665" s="15">
        <v>41173.0</v>
      </c>
      <c r="B665" s="3">
        <v>757332.94</v>
      </c>
      <c r="C665" s="3">
        <v>19880.92</v>
      </c>
      <c r="D665" s="3">
        <v>-33446.94</v>
      </c>
      <c r="E665" s="3">
        <f t="shared" si="1"/>
        <v>-0.04229614441</v>
      </c>
      <c r="H665" s="15"/>
      <c r="I665" s="15"/>
      <c r="J665" s="1"/>
      <c r="K665" s="1"/>
      <c r="L665" s="1"/>
    </row>
    <row r="666" ht="15.75" customHeight="1">
      <c r="A666" s="15">
        <v>41180.0</v>
      </c>
      <c r="B666" s="3">
        <v>752955.5</v>
      </c>
      <c r="C666" s="3">
        <v>19880.92</v>
      </c>
      <c r="D666" s="3">
        <v>-37824.38</v>
      </c>
      <c r="E666" s="3">
        <f t="shared" si="1"/>
        <v>-0.04783174301</v>
      </c>
      <c r="H666" s="15"/>
      <c r="I666" s="15"/>
      <c r="J666" s="1"/>
      <c r="K666" s="1"/>
      <c r="L666" s="1"/>
    </row>
    <row r="667" ht="15.75" customHeight="1">
      <c r="A667" s="15">
        <v>41187.0</v>
      </c>
      <c r="B667" s="3">
        <v>777120.38</v>
      </c>
      <c r="C667" s="3">
        <v>19880.92</v>
      </c>
      <c r="D667" s="3">
        <v>-13659.5</v>
      </c>
      <c r="E667" s="3">
        <f t="shared" si="1"/>
        <v>-0.01727345415</v>
      </c>
      <c r="H667" s="15"/>
      <c r="I667" s="15"/>
      <c r="J667" s="1"/>
      <c r="K667" s="1"/>
      <c r="L667" s="1"/>
    </row>
    <row r="668" ht="15.75" customHeight="1">
      <c r="A668" s="15">
        <v>41194.0</v>
      </c>
      <c r="B668" s="3">
        <v>776171.75</v>
      </c>
      <c r="C668" s="3">
        <v>19880.92</v>
      </c>
      <c r="D668" s="3">
        <v>-14608.13</v>
      </c>
      <c r="E668" s="3">
        <f t="shared" si="1"/>
        <v>-0.01847306737</v>
      </c>
      <c r="H668" s="15"/>
      <c r="I668" s="15"/>
      <c r="J668" s="1"/>
      <c r="K668" s="1"/>
      <c r="L668" s="1"/>
    </row>
    <row r="669" ht="15.75" customHeight="1">
      <c r="A669" s="15">
        <v>41201.0</v>
      </c>
      <c r="B669" s="3">
        <v>785707.13</v>
      </c>
      <c r="C669" s="3">
        <v>19880.92</v>
      </c>
      <c r="D669" s="3">
        <v>-5072.75</v>
      </c>
      <c r="E669" s="3">
        <f t="shared" si="1"/>
        <v>-0.006414869837</v>
      </c>
      <c r="H669" s="15"/>
      <c r="I669" s="15"/>
      <c r="J669" s="1"/>
      <c r="K669" s="1"/>
      <c r="L669" s="1"/>
    </row>
    <row r="670" ht="15.75" customHeight="1">
      <c r="A670" s="15">
        <v>41208.0</v>
      </c>
      <c r="B670" s="3">
        <v>778147.56</v>
      </c>
      <c r="C670" s="3">
        <v>19880.92</v>
      </c>
      <c r="D670" s="3">
        <v>-12632.31</v>
      </c>
      <c r="E670" s="3">
        <f t="shared" si="1"/>
        <v>-0.01597449596</v>
      </c>
      <c r="H670" s="15"/>
      <c r="I670" s="15"/>
      <c r="J670" s="1"/>
      <c r="K670" s="1"/>
      <c r="L670" s="1"/>
    </row>
    <row r="671" ht="15.75" customHeight="1">
      <c r="A671" s="15">
        <v>41215.0</v>
      </c>
      <c r="B671" s="3">
        <v>776989.06</v>
      </c>
      <c r="C671" s="3">
        <v>19880.92</v>
      </c>
      <c r="D671" s="3">
        <v>-13790.81</v>
      </c>
      <c r="E671" s="3">
        <f t="shared" si="1"/>
        <v>-0.01743950542</v>
      </c>
      <c r="H671" s="15"/>
      <c r="I671" s="15"/>
      <c r="J671" s="1"/>
      <c r="K671" s="1"/>
      <c r="L671" s="1"/>
    </row>
    <row r="672" ht="15.75" customHeight="1">
      <c r="A672" s="15">
        <v>41222.0</v>
      </c>
      <c r="B672" s="3">
        <v>780202.75</v>
      </c>
      <c r="C672" s="3">
        <v>19880.92</v>
      </c>
      <c r="D672" s="3">
        <v>-10577.13</v>
      </c>
      <c r="E672" s="3">
        <f t="shared" si="1"/>
        <v>-0.01337556793</v>
      </c>
      <c r="H672" s="15"/>
      <c r="I672" s="15"/>
      <c r="J672" s="1"/>
      <c r="K672" s="1"/>
      <c r="L672" s="1"/>
    </row>
    <row r="673" ht="15.75" customHeight="1">
      <c r="A673" s="15">
        <v>41229.0</v>
      </c>
      <c r="B673" s="3">
        <v>766744.0</v>
      </c>
      <c r="C673" s="3">
        <v>19880.92</v>
      </c>
      <c r="D673" s="3">
        <v>-24035.88</v>
      </c>
      <c r="E673" s="3">
        <f t="shared" si="1"/>
        <v>-0.03039515876</v>
      </c>
      <c r="H673" s="15"/>
      <c r="I673" s="15"/>
      <c r="J673" s="1"/>
      <c r="K673" s="1"/>
      <c r="L673" s="1"/>
    </row>
    <row r="674" ht="15.75" customHeight="1">
      <c r="A674" s="15">
        <v>41236.0</v>
      </c>
      <c r="B674" s="3">
        <v>771431.69</v>
      </c>
      <c r="C674" s="3">
        <v>19880.92</v>
      </c>
      <c r="D674" s="3">
        <v>-19348.19</v>
      </c>
      <c r="E674" s="3">
        <f t="shared" si="1"/>
        <v>-0.02446722595</v>
      </c>
      <c r="H674" s="15"/>
      <c r="I674" s="15"/>
      <c r="J674" s="1"/>
      <c r="K674" s="1"/>
      <c r="L674" s="1"/>
    </row>
    <row r="675" ht="15.75" customHeight="1">
      <c r="A675" s="15">
        <v>41243.0</v>
      </c>
      <c r="B675" s="3">
        <v>779411.56</v>
      </c>
      <c r="C675" s="3">
        <v>156116.95</v>
      </c>
      <c r="D675" s="3">
        <v>-11368.31</v>
      </c>
      <c r="E675" s="3">
        <f t="shared" si="1"/>
        <v>-0.01437607391</v>
      </c>
      <c r="H675" s="15"/>
      <c r="I675" s="15"/>
      <c r="J675" s="1"/>
      <c r="K675" s="1"/>
      <c r="L675" s="1"/>
    </row>
    <row r="676" ht="15.75" customHeight="1">
      <c r="A676" s="15">
        <v>41250.0</v>
      </c>
      <c r="B676" s="3">
        <v>782903.69</v>
      </c>
      <c r="C676" s="3">
        <v>45896.75</v>
      </c>
      <c r="D676" s="3">
        <v>-7876.19</v>
      </c>
      <c r="E676" s="3">
        <f t="shared" si="1"/>
        <v>-0.00996002832</v>
      </c>
      <c r="H676" s="15"/>
      <c r="I676" s="15"/>
      <c r="J676" s="1"/>
      <c r="K676" s="1"/>
      <c r="L676" s="1"/>
    </row>
    <row r="677" ht="15.75" customHeight="1">
      <c r="A677" s="15">
        <v>41257.0</v>
      </c>
      <c r="B677" s="3">
        <v>784999.63</v>
      </c>
      <c r="C677" s="3">
        <v>45896.75</v>
      </c>
      <c r="D677" s="3">
        <v>-5780.25</v>
      </c>
      <c r="E677" s="3">
        <f t="shared" si="1"/>
        <v>-0.007309556232</v>
      </c>
      <c r="H677" s="15"/>
      <c r="I677" s="15"/>
      <c r="J677" s="1"/>
      <c r="K677" s="1"/>
      <c r="L677" s="1"/>
    </row>
    <row r="678" ht="15.75" customHeight="1">
      <c r="A678" s="15">
        <v>41264.0</v>
      </c>
      <c r="B678" s="3">
        <v>798784.75</v>
      </c>
      <c r="C678" s="3">
        <v>45896.75</v>
      </c>
      <c r="D678" s="3">
        <v>0.0</v>
      </c>
      <c r="E678" s="3">
        <f t="shared" si="1"/>
        <v>0</v>
      </c>
      <c r="H678" s="15"/>
      <c r="I678" s="15"/>
      <c r="J678" s="1"/>
      <c r="K678" s="1"/>
      <c r="L678" s="1"/>
    </row>
    <row r="679" ht="15.75" customHeight="1">
      <c r="A679" s="15">
        <v>41271.0</v>
      </c>
      <c r="B679" s="3">
        <v>803441.75</v>
      </c>
      <c r="C679" s="3">
        <v>45896.75</v>
      </c>
      <c r="D679" s="3">
        <v>0.0</v>
      </c>
      <c r="E679" s="3">
        <f t="shared" si="1"/>
        <v>0</v>
      </c>
      <c r="H679" s="15"/>
      <c r="I679" s="15"/>
      <c r="J679" s="1"/>
      <c r="K679" s="1"/>
      <c r="L679" s="1"/>
    </row>
    <row r="680" ht="15.75" customHeight="1">
      <c r="A680" s="15">
        <v>41278.0</v>
      </c>
      <c r="B680" s="3">
        <v>806572.19</v>
      </c>
      <c r="C680" s="3">
        <v>45896.75</v>
      </c>
      <c r="D680" s="3">
        <v>0.0</v>
      </c>
      <c r="E680" s="3">
        <f t="shared" si="1"/>
        <v>0</v>
      </c>
      <c r="H680" s="15"/>
      <c r="I680" s="15"/>
      <c r="J680" s="1"/>
      <c r="K680" s="1"/>
      <c r="L680" s="1"/>
    </row>
    <row r="681" ht="15.75" customHeight="1">
      <c r="A681" s="15">
        <v>41285.0</v>
      </c>
      <c r="B681" s="3">
        <v>811966.94</v>
      </c>
      <c r="C681" s="3">
        <v>45896.75</v>
      </c>
      <c r="D681" s="3">
        <v>0.0</v>
      </c>
      <c r="E681" s="3">
        <f t="shared" si="1"/>
        <v>0</v>
      </c>
      <c r="H681" s="15"/>
      <c r="I681" s="15"/>
      <c r="J681" s="1"/>
      <c r="K681" s="1"/>
      <c r="L681" s="1"/>
    </row>
    <row r="682" ht="15.75" customHeight="1">
      <c r="A682" s="15">
        <v>41292.0</v>
      </c>
      <c r="B682" s="3">
        <v>828530.88</v>
      </c>
      <c r="C682" s="3">
        <v>45896.75</v>
      </c>
      <c r="D682" s="3">
        <v>0.0</v>
      </c>
      <c r="E682" s="3">
        <f t="shared" si="1"/>
        <v>0</v>
      </c>
      <c r="H682" s="15"/>
      <c r="I682" s="15"/>
      <c r="J682" s="1"/>
      <c r="K682" s="1"/>
      <c r="L682" s="1"/>
    </row>
    <row r="683" ht="15.75" customHeight="1">
      <c r="A683" s="15">
        <v>41299.0</v>
      </c>
      <c r="B683" s="3">
        <v>835437.44</v>
      </c>
      <c r="C683" s="3">
        <v>45896.75</v>
      </c>
      <c r="D683" s="3">
        <v>0.0</v>
      </c>
      <c r="E683" s="3">
        <f t="shared" si="1"/>
        <v>0</v>
      </c>
      <c r="H683" s="15"/>
      <c r="I683" s="15"/>
      <c r="J683" s="1"/>
      <c r="K683" s="1"/>
      <c r="L683" s="1"/>
    </row>
    <row r="684" ht="15.75" customHeight="1">
      <c r="A684" s="15">
        <v>41306.0</v>
      </c>
      <c r="B684" s="3">
        <v>849313.56</v>
      </c>
      <c r="C684" s="3">
        <v>45896.75</v>
      </c>
      <c r="D684" s="3">
        <v>0.0</v>
      </c>
      <c r="E684" s="3">
        <f t="shared" si="1"/>
        <v>0</v>
      </c>
      <c r="H684" s="15"/>
      <c r="I684" s="15"/>
      <c r="J684" s="1"/>
      <c r="K684" s="1"/>
      <c r="L684" s="1"/>
    </row>
    <row r="685" ht="15.75" customHeight="1">
      <c r="A685" s="15">
        <v>41313.0</v>
      </c>
      <c r="B685" s="3">
        <v>857720.5</v>
      </c>
      <c r="C685" s="3">
        <v>45896.75</v>
      </c>
      <c r="D685" s="3">
        <v>0.0</v>
      </c>
      <c r="E685" s="3">
        <f t="shared" si="1"/>
        <v>0</v>
      </c>
      <c r="H685" s="15"/>
      <c r="I685" s="15"/>
      <c r="J685" s="1"/>
      <c r="K685" s="1"/>
      <c r="L685" s="1"/>
    </row>
    <row r="686" ht="15.75" customHeight="1">
      <c r="A686" s="15">
        <v>41320.0</v>
      </c>
      <c r="B686" s="3">
        <v>859360.88</v>
      </c>
      <c r="C686" s="3">
        <v>45896.75</v>
      </c>
      <c r="D686" s="3">
        <v>0.0</v>
      </c>
      <c r="E686" s="3">
        <f t="shared" si="1"/>
        <v>0</v>
      </c>
      <c r="H686" s="15"/>
      <c r="I686" s="15"/>
      <c r="J686" s="1"/>
      <c r="K686" s="1"/>
      <c r="L686" s="1"/>
    </row>
    <row r="687" ht="15.75" customHeight="1">
      <c r="A687" s="15">
        <v>41327.0</v>
      </c>
      <c r="B687" s="3">
        <v>861256.5</v>
      </c>
      <c r="C687" s="3">
        <v>45896.75</v>
      </c>
      <c r="D687" s="3">
        <v>0.0</v>
      </c>
      <c r="E687" s="3">
        <f t="shared" si="1"/>
        <v>0</v>
      </c>
      <c r="H687" s="15"/>
      <c r="I687" s="15"/>
      <c r="J687" s="1"/>
      <c r="K687" s="1"/>
      <c r="L687" s="1"/>
    </row>
    <row r="688" ht="15.75" customHeight="1">
      <c r="A688" s="15">
        <v>41334.0</v>
      </c>
      <c r="B688" s="3">
        <v>869771.81</v>
      </c>
      <c r="C688" s="3">
        <v>45896.75</v>
      </c>
      <c r="D688" s="3">
        <v>0.0</v>
      </c>
      <c r="E688" s="3">
        <f t="shared" si="1"/>
        <v>0</v>
      </c>
      <c r="H688" s="15"/>
      <c r="I688" s="15"/>
      <c r="J688" s="1"/>
      <c r="K688" s="1"/>
      <c r="L688" s="1"/>
    </row>
    <row r="689" ht="15.75" customHeight="1">
      <c r="A689" s="15">
        <v>41341.0</v>
      </c>
      <c r="B689" s="3">
        <v>877857.81</v>
      </c>
      <c r="C689" s="3">
        <v>45896.75</v>
      </c>
      <c r="D689" s="3">
        <v>0.0</v>
      </c>
      <c r="E689" s="3">
        <f t="shared" si="1"/>
        <v>0</v>
      </c>
      <c r="H689" s="15"/>
      <c r="I689" s="15"/>
      <c r="J689" s="1"/>
      <c r="K689" s="1"/>
      <c r="L689" s="1"/>
    </row>
    <row r="690" ht="15.75" customHeight="1">
      <c r="A690" s="15">
        <v>41348.0</v>
      </c>
      <c r="B690" s="3">
        <v>891903.94</v>
      </c>
      <c r="C690" s="3">
        <v>45896.75</v>
      </c>
      <c r="D690" s="3">
        <v>0.0</v>
      </c>
      <c r="E690" s="3">
        <f t="shared" si="1"/>
        <v>0</v>
      </c>
      <c r="H690" s="15"/>
      <c r="I690" s="15"/>
      <c r="J690" s="1"/>
      <c r="K690" s="1"/>
      <c r="L690" s="1"/>
    </row>
    <row r="691" ht="15.75" customHeight="1">
      <c r="A691" s="15">
        <v>41355.0</v>
      </c>
      <c r="B691" s="3">
        <v>873988.81</v>
      </c>
      <c r="C691" s="3">
        <v>45896.75</v>
      </c>
      <c r="D691" s="3">
        <v>-17915.13</v>
      </c>
      <c r="E691" s="3">
        <f t="shared" si="1"/>
        <v>-0.02008638957</v>
      </c>
      <c r="H691" s="15"/>
      <c r="I691" s="15"/>
      <c r="J691" s="1"/>
      <c r="K691" s="1"/>
      <c r="L691" s="1"/>
    </row>
    <row r="692" ht="15.75" customHeight="1">
      <c r="A692" s="15">
        <v>41361.0</v>
      </c>
      <c r="B692" s="3">
        <v>871987.06</v>
      </c>
      <c r="C692" s="3">
        <v>45896.75</v>
      </c>
      <c r="D692" s="3">
        <v>-19916.88</v>
      </c>
      <c r="E692" s="3">
        <f t="shared" si="1"/>
        <v>-0.02233074562</v>
      </c>
      <c r="H692" s="15"/>
      <c r="I692" s="15"/>
      <c r="J692" s="1"/>
      <c r="K692" s="1"/>
      <c r="L692" s="1"/>
    </row>
    <row r="693" ht="15.75" customHeight="1">
      <c r="A693" s="15">
        <v>41369.0</v>
      </c>
      <c r="B693" s="3">
        <v>871775.5</v>
      </c>
      <c r="C693" s="3">
        <v>45896.75</v>
      </c>
      <c r="D693" s="3">
        <v>-20128.44</v>
      </c>
      <c r="E693" s="3">
        <f t="shared" si="1"/>
        <v>-0.02256794605</v>
      </c>
      <c r="H693" s="15"/>
      <c r="I693" s="15"/>
      <c r="J693" s="1"/>
      <c r="K693" s="1"/>
      <c r="L693" s="1"/>
    </row>
    <row r="694" ht="15.75" customHeight="1">
      <c r="A694" s="15">
        <v>41376.0</v>
      </c>
      <c r="B694" s="3">
        <v>885133.19</v>
      </c>
      <c r="C694" s="3">
        <v>45896.75</v>
      </c>
      <c r="D694" s="3">
        <v>-6770.75</v>
      </c>
      <c r="E694" s="3">
        <f t="shared" si="1"/>
        <v>-0.007591344422</v>
      </c>
      <c r="H694" s="15"/>
      <c r="I694" s="15"/>
      <c r="J694" s="1"/>
      <c r="K694" s="1"/>
      <c r="L694" s="1"/>
    </row>
    <row r="695" ht="15.75" customHeight="1">
      <c r="A695" s="15">
        <v>41383.0</v>
      </c>
      <c r="B695" s="3">
        <v>874053.69</v>
      </c>
      <c r="C695" s="3">
        <v>28720.82</v>
      </c>
      <c r="D695" s="3">
        <v>-17850.25</v>
      </c>
      <c r="E695" s="3">
        <f t="shared" si="1"/>
        <v>-0.02001364631</v>
      </c>
      <c r="H695" s="15"/>
      <c r="I695" s="15"/>
      <c r="J695" s="1"/>
      <c r="K695" s="1"/>
      <c r="L695" s="1"/>
    </row>
    <row r="696" ht="15.75" customHeight="1">
      <c r="A696" s="15">
        <v>41390.0</v>
      </c>
      <c r="B696" s="3">
        <v>896766.69</v>
      </c>
      <c r="C696" s="3">
        <v>28720.82</v>
      </c>
      <c r="D696" s="3">
        <v>0.0</v>
      </c>
      <c r="E696" s="3">
        <f t="shared" si="1"/>
        <v>0</v>
      </c>
      <c r="H696" s="15"/>
      <c r="I696" s="15"/>
      <c r="J696" s="1"/>
      <c r="K696" s="1"/>
      <c r="L696" s="1"/>
    </row>
    <row r="697" ht="15.75" customHeight="1">
      <c r="A697" s="15">
        <v>41397.0</v>
      </c>
      <c r="B697" s="3">
        <v>897714.56</v>
      </c>
      <c r="C697" s="3">
        <v>19131.84</v>
      </c>
      <c r="D697" s="3">
        <v>0.0</v>
      </c>
      <c r="E697" s="3">
        <f t="shared" si="1"/>
        <v>0</v>
      </c>
      <c r="H697" s="15"/>
      <c r="I697" s="15"/>
      <c r="J697" s="1"/>
      <c r="K697" s="1"/>
      <c r="L697" s="1"/>
    </row>
    <row r="698" ht="15.75" customHeight="1">
      <c r="A698" s="15">
        <v>41404.0</v>
      </c>
      <c r="B698" s="3">
        <v>922783.5</v>
      </c>
      <c r="C698" s="3">
        <v>19131.84</v>
      </c>
      <c r="D698" s="3">
        <v>0.0</v>
      </c>
      <c r="E698" s="3">
        <f t="shared" si="1"/>
        <v>0</v>
      </c>
      <c r="H698" s="15"/>
      <c r="I698" s="15"/>
      <c r="J698" s="1"/>
      <c r="K698" s="1"/>
      <c r="L698" s="1"/>
    </row>
    <row r="699" ht="15.75" customHeight="1">
      <c r="A699" s="15">
        <v>41411.0</v>
      </c>
      <c r="B699" s="3">
        <v>931875.06</v>
      </c>
      <c r="C699" s="3">
        <v>19131.84</v>
      </c>
      <c r="D699" s="3">
        <v>0.0</v>
      </c>
      <c r="E699" s="3">
        <f t="shared" si="1"/>
        <v>0</v>
      </c>
      <c r="H699" s="15"/>
      <c r="I699" s="15"/>
      <c r="J699" s="1"/>
      <c r="K699" s="1"/>
      <c r="L699" s="1"/>
    </row>
    <row r="700" ht="15.75" customHeight="1">
      <c r="A700" s="15">
        <v>41418.0</v>
      </c>
      <c r="B700" s="3">
        <v>901314.75</v>
      </c>
      <c r="C700" s="3">
        <v>19131.84</v>
      </c>
      <c r="D700" s="3">
        <v>-30560.31</v>
      </c>
      <c r="E700" s="3">
        <f t="shared" si="1"/>
        <v>-0.03279442847</v>
      </c>
      <c r="H700" s="15"/>
      <c r="I700" s="15"/>
      <c r="J700" s="1"/>
      <c r="K700" s="1"/>
      <c r="L700" s="1"/>
    </row>
    <row r="701" ht="15.75" customHeight="1">
      <c r="A701" s="15">
        <v>41425.0</v>
      </c>
      <c r="B701" s="3">
        <v>888434.13</v>
      </c>
      <c r="C701" s="3">
        <v>19131.84</v>
      </c>
      <c r="D701" s="3">
        <v>-43440.94</v>
      </c>
      <c r="E701" s="3">
        <f t="shared" si="1"/>
        <v>-0.04661669988</v>
      </c>
      <c r="H701" s="15"/>
      <c r="I701" s="15"/>
      <c r="J701" s="1"/>
      <c r="K701" s="1"/>
      <c r="L701" s="1"/>
    </row>
    <row r="702" ht="15.75" customHeight="1">
      <c r="A702" s="15">
        <v>41432.0</v>
      </c>
      <c r="B702" s="3">
        <v>867901.25</v>
      </c>
      <c r="C702" s="3">
        <v>19131.84</v>
      </c>
      <c r="D702" s="3">
        <v>-63973.81</v>
      </c>
      <c r="E702" s="3">
        <f t="shared" si="1"/>
        <v>-0.06865063005</v>
      </c>
      <c r="H702" s="15"/>
      <c r="I702" s="15"/>
      <c r="J702" s="1"/>
      <c r="K702" s="1"/>
      <c r="L702" s="1"/>
    </row>
    <row r="703" ht="15.75" customHeight="1">
      <c r="A703" s="15">
        <v>41439.0</v>
      </c>
      <c r="B703" s="3">
        <v>864957.75</v>
      </c>
      <c r="C703" s="3">
        <v>128510.59</v>
      </c>
      <c r="D703" s="3">
        <v>-66917.31</v>
      </c>
      <c r="E703" s="3">
        <f t="shared" si="1"/>
        <v>-0.0718093153</v>
      </c>
      <c r="H703" s="15"/>
      <c r="I703" s="15"/>
      <c r="J703" s="1"/>
      <c r="K703" s="1"/>
      <c r="L703" s="1"/>
    </row>
    <row r="704" ht="15.75" customHeight="1">
      <c r="A704" s="15">
        <v>41446.0</v>
      </c>
      <c r="B704" s="3">
        <v>864312.31</v>
      </c>
      <c r="C704" s="3">
        <v>128510.59</v>
      </c>
      <c r="D704" s="3">
        <v>-67562.75</v>
      </c>
      <c r="E704" s="3">
        <f t="shared" si="1"/>
        <v>-0.07250194034</v>
      </c>
      <c r="H704" s="15"/>
      <c r="I704" s="15"/>
      <c r="J704" s="1"/>
      <c r="K704" s="1"/>
      <c r="L704" s="1"/>
    </row>
    <row r="705" ht="15.75" customHeight="1">
      <c r="A705" s="15">
        <v>41453.0</v>
      </c>
      <c r="B705" s="3">
        <v>879764.56</v>
      </c>
      <c r="C705" s="3">
        <v>128510.59</v>
      </c>
      <c r="D705" s="3">
        <v>-52110.5</v>
      </c>
      <c r="E705" s="3">
        <f t="shared" si="1"/>
        <v>-0.05592005005</v>
      </c>
      <c r="H705" s="15"/>
      <c r="I705" s="15"/>
      <c r="J705" s="1"/>
      <c r="K705" s="1"/>
      <c r="L705" s="1"/>
    </row>
    <row r="706" ht="15.75" customHeight="1">
      <c r="A706" s="15">
        <v>41460.0</v>
      </c>
      <c r="B706" s="3">
        <v>888939.19</v>
      </c>
      <c r="C706" s="3">
        <v>128510.59</v>
      </c>
      <c r="D706" s="3">
        <v>-42935.88</v>
      </c>
      <c r="E706" s="3">
        <f t="shared" si="1"/>
        <v>-0.04607471736</v>
      </c>
      <c r="H706" s="15"/>
      <c r="I706" s="15"/>
      <c r="J706" s="1"/>
      <c r="K706" s="1"/>
      <c r="L706" s="1"/>
    </row>
    <row r="707" ht="15.75" customHeight="1">
      <c r="A707" s="15">
        <v>41467.0</v>
      </c>
      <c r="B707" s="3">
        <v>896651.38</v>
      </c>
      <c r="C707" s="3">
        <v>128510.59</v>
      </c>
      <c r="D707" s="3">
        <v>-35223.69</v>
      </c>
      <c r="E707" s="3">
        <f t="shared" si="1"/>
        <v>-0.03779872594</v>
      </c>
      <c r="H707" s="15"/>
      <c r="I707" s="15"/>
      <c r="J707" s="1"/>
      <c r="K707" s="1"/>
      <c r="L707" s="1"/>
    </row>
    <row r="708" ht="15.75" customHeight="1">
      <c r="A708" s="15">
        <v>41474.0</v>
      </c>
      <c r="B708" s="3">
        <v>899442.38</v>
      </c>
      <c r="C708" s="3">
        <v>16521.98</v>
      </c>
      <c r="D708" s="3">
        <v>-32432.69</v>
      </c>
      <c r="E708" s="3">
        <f t="shared" si="1"/>
        <v>-0.03480368924</v>
      </c>
      <c r="H708" s="15"/>
      <c r="I708" s="15"/>
      <c r="J708" s="1"/>
      <c r="K708" s="1"/>
      <c r="L708" s="1"/>
    </row>
    <row r="709" ht="15.75" customHeight="1">
      <c r="A709" s="15">
        <v>41481.0</v>
      </c>
      <c r="B709" s="3">
        <v>883370.88</v>
      </c>
      <c r="C709" s="3">
        <v>16521.98</v>
      </c>
      <c r="D709" s="3">
        <v>-48504.19</v>
      </c>
      <c r="E709" s="3">
        <f t="shared" si="1"/>
        <v>-0.05205009994</v>
      </c>
      <c r="H709" s="15"/>
      <c r="I709" s="15"/>
      <c r="J709" s="1"/>
      <c r="K709" s="1"/>
      <c r="L709" s="1"/>
    </row>
    <row r="710" ht="15.75" customHeight="1">
      <c r="A710" s="15">
        <v>41488.0</v>
      </c>
      <c r="B710" s="3">
        <v>894423.56</v>
      </c>
      <c r="C710" s="3">
        <v>16521.98</v>
      </c>
      <c r="D710" s="3">
        <v>-37451.5</v>
      </c>
      <c r="E710" s="3">
        <f t="shared" si="1"/>
        <v>-0.0401894005</v>
      </c>
      <c r="H710" s="15"/>
      <c r="I710" s="15"/>
      <c r="J710" s="1"/>
      <c r="K710" s="1"/>
      <c r="L710" s="1"/>
    </row>
    <row r="711" ht="15.75" customHeight="1">
      <c r="A711" s="15">
        <v>41495.0</v>
      </c>
      <c r="B711" s="3">
        <v>889189.38</v>
      </c>
      <c r="C711" s="3">
        <v>47328.94</v>
      </c>
      <c r="D711" s="3">
        <v>-42685.69</v>
      </c>
      <c r="E711" s="3">
        <f t="shared" si="1"/>
        <v>-0.04580623716</v>
      </c>
      <c r="H711" s="15"/>
      <c r="I711" s="15"/>
      <c r="J711" s="1"/>
      <c r="K711" s="1"/>
      <c r="L711" s="1"/>
    </row>
    <row r="712" ht="15.75" customHeight="1">
      <c r="A712" s="15">
        <v>41502.0</v>
      </c>
      <c r="B712" s="3">
        <v>884795.25</v>
      </c>
      <c r="C712" s="3">
        <v>47328.94</v>
      </c>
      <c r="D712" s="3">
        <v>-47079.81</v>
      </c>
      <c r="E712" s="3">
        <f t="shared" si="1"/>
        <v>-0.05052159031</v>
      </c>
      <c r="H712" s="15"/>
      <c r="I712" s="15"/>
      <c r="J712" s="1"/>
      <c r="K712" s="1"/>
      <c r="L712" s="1"/>
    </row>
    <row r="713" ht="15.75" customHeight="1">
      <c r="A713" s="15">
        <v>41509.0</v>
      </c>
      <c r="B713" s="3">
        <v>876752.31</v>
      </c>
      <c r="C713" s="3">
        <v>47328.94</v>
      </c>
      <c r="D713" s="3">
        <v>-55122.75</v>
      </c>
      <c r="E713" s="3">
        <f t="shared" si="1"/>
        <v>-0.05915251128</v>
      </c>
      <c r="H713" s="15"/>
      <c r="I713" s="15"/>
      <c r="J713" s="1"/>
      <c r="K713" s="1"/>
      <c r="L713" s="1"/>
    </row>
    <row r="714" ht="15.75" customHeight="1">
      <c r="A714" s="15">
        <v>41516.0</v>
      </c>
      <c r="B714" s="3">
        <v>872908.44</v>
      </c>
      <c r="C714" s="3">
        <v>47328.94</v>
      </c>
      <c r="D714" s="3">
        <v>-58966.63</v>
      </c>
      <c r="E714" s="3">
        <f t="shared" si="1"/>
        <v>-0.06327739901</v>
      </c>
      <c r="H714" s="15"/>
      <c r="I714" s="15"/>
      <c r="J714" s="1"/>
      <c r="K714" s="1"/>
      <c r="L714" s="1"/>
    </row>
    <row r="715" ht="15.75" customHeight="1">
      <c r="A715" s="15">
        <v>41523.0</v>
      </c>
      <c r="B715" s="3">
        <v>880878.94</v>
      </c>
      <c r="C715" s="3">
        <v>47328.94</v>
      </c>
      <c r="D715" s="3">
        <v>-50996.13</v>
      </c>
      <c r="E715" s="3">
        <f t="shared" si="1"/>
        <v>-0.05472421378</v>
      </c>
      <c r="H715" s="15"/>
      <c r="I715" s="15"/>
      <c r="J715" s="1"/>
      <c r="K715" s="1"/>
      <c r="L715" s="1"/>
    </row>
    <row r="716" ht="15.75" customHeight="1">
      <c r="A716" s="15">
        <v>41530.0</v>
      </c>
      <c r="B716" s="3">
        <v>893787.38</v>
      </c>
      <c r="C716" s="3">
        <v>47328.94</v>
      </c>
      <c r="D716" s="3">
        <v>-38087.69</v>
      </c>
      <c r="E716" s="3">
        <f t="shared" si="1"/>
        <v>-0.04087209931</v>
      </c>
      <c r="H716" s="15"/>
      <c r="I716" s="15"/>
      <c r="J716" s="1"/>
      <c r="K716" s="1"/>
      <c r="L716" s="1"/>
    </row>
    <row r="717" ht="15.75" customHeight="1">
      <c r="A717" s="15">
        <v>41537.0</v>
      </c>
      <c r="B717" s="3">
        <v>903610.75</v>
      </c>
      <c r="C717" s="3">
        <v>47328.94</v>
      </c>
      <c r="D717" s="3">
        <v>-28264.31</v>
      </c>
      <c r="E717" s="3">
        <f t="shared" si="1"/>
        <v>-0.03033057887</v>
      </c>
      <c r="H717" s="15"/>
      <c r="I717" s="15"/>
      <c r="J717" s="1"/>
      <c r="K717" s="1"/>
      <c r="L717" s="1"/>
    </row>
    <row r="718" ht="15.75" customHeight="1">
      <c r="A718" s="15">
        <v>41544.0</v>
      </c>
      <c r="B718" s="3">
        <v>913301.69</v>
      </c>
      <c r="C718" s="3">
        <v>47328.94</v>
      </c>
      <c r="D718" s="3">
        <v>-18573.38</v>
      </c>
      <c r="E718" s="3">
        <f t="shared" si="1"/>
        <v>-0.0199311912</v>
      </c>
      <c r="H718" s="15"/>
      <c r="I718" s="15"/>
      <c r="J718" s="1"/>
      <c r="K718" s="1"/>
      <c r="L718" s="1"/>
    </row>
    <row r="719" ht="15.75" customHeight="1">
      <c r="A719" s="15">
        <v>41551.0</v>
      </c>
      <c r="B719" s="3">
        <v>904223.31</v>
      </c>
      <c r="C719" s="3">
        <v>47328.94</v>
      </c>
      <c r="D719" s="3">
        <v>-27651.75</v>
      </c>
      <c r="E719" s="3">
        <f t="shared" si="1"/>
        <v>-0.02967323753</v>
      </c>
      <c r="H719" s="15"/>
      <c r="I719" s="15"/>
      <c r="J719" s="1"/>
      <c r="K719" s="1"/>
      <c r="L719" s="1"/>
    </row>
    <row r="720" ht="15.75" customHeight="1">
      <c r="A720" s="15">
        <v>41558.0</v>
      </c>
      <c r="B720" s="3">
        <v>906686.38</v>
      </c>
      <c r="C720" s="3">
        <v>47328.94</v>
      </c>
      <c r="D720" s="3">
        <v>-25188.69</v>
      </c>
      <c r="E720" s="3">
        <f t="shared" si="1"/>
        <v>-0.02703011496</v>
      </c>
      <c r="H720" s="15"/>
      <c r="I720" s="15"/>
      <c r="J720" s="1"/>
      <c r="K720" s="1"/>
      <c r="L720" s="1"/>
    </row>
    <row r="721" ht="15.75" customHeight="1">
      <c r="A721" s="15">
        <v>41565.0</v>
      </c>
      <c r="B721" s="3">
        <v>906491.69</v>
      </c>
      <c r="C721" s="3">
        <v>47328.94</v>
      </c>
      <c r="D721" s="3">
        <v>-25383.38</v>
      </c>
      <c r="E721" s="3">
        <f t="shared" si="1"/>
        <v>-0.02723903782</v>
      </c>
      <c r="H721" s="15"/>
      <c r="I721" s="15"/>
      <c r="J721" s="1"/>
      <c r="K721" s="1"/>
      <c r="L721" s="1"/>
    </row>
    <row r="722" ht="15.75" customHeight="1">
      <c r="A722" s="15">
        <v>41572.0</v>
      </c>
      <c r="B722" s="3">
        <v>913815.06</v>
      </c>
      <c r="C722" s="3">
        <v>47328.94</v>
      </c>
      <c r="D722" s="3">
        <v>-18060.0</v>
      </c>
      <c r="E722" s="3">
        <f t="shared" si="1"/>
        <v>-0.01938028044</v>
      </c>
      <c r="H722" s="15"/>
      <c r="I722" s="15"/>
      <c r="J722" s="1"/>
      <c r="K722" s="1"/>
      <c r="L722" s="1"/>
    </row>
    <row r="723" ht="15.75" customHeight="1">
      <c r="A723" s="15">
        <v>41579.0</v>
      </c>
      <c r="B723" s="3">
        <v>921791.0</v>
      </c>
      <c r="C723" s="3">
        <v>47328.94</v>
      </c>
      <c r="D723" s="3">
        <v>-10084.06</v>
      </c>
      <c r="E723" s="3">
        <f t="shared" si="1"/>
        <v>-0.01082125752</v>
      </c>
      <c r="H723" s="15"/>
      <c r="I723" s="15"/>
      <c r="J723" s="1"/>
      <c r="K723" s="1"/>
      <c r="L723" s="1"/>
    </row>
    <row r="724" ht="15.75" customHeight="1">
      <c r="A724" s="15">
        <v>41586.0</v>
      </c>
      <c r="B724" s="3">
        <v>915026.94</v>
      </c>
      <c r="C724" s="3">
        <v>47328.94</v>
      </c>
      <c r="D724" s="3">
        <v>-16848.13</v>
      </c>
      <c r="E724" s="3">
        <f t="shared" si="1"/>
        <v>-0.01807981641</v>
      </c>
      <c r="H724" s="15"/>
      <c r="I724" s="15"/>
      <c r="J724" s="1"/>
      <c r="K724" s="1"/>
      <c r="L724" s="1"/>
    </row>
    <row r="725" ht="15.75" customHeight="1">
      <c r="A725" s="15">
        <v>41593.0</v>
      </c>
      <c r="B725" s="3">
        <v>926892.69</v>
      </c>
      <c r="C725" s="3">
        <v>47328.94</v>
      </c>
      <c r="D725" s="3">
        <v>-4982.38</v>
      </c>
      <c r="E725" s="3">
        <f t="shared" si="1"/>
        <v>-0.005346618033</v>
      </c>
      <c r="H725" s="15"/>
      <c r="I725" s="15"/>
      <c r="J725" s="1"/>
      <c r="K725" s="1"/>
      <c r="L725" s="1"/>
    </row>
    <row r="726" ht="15.75" customHeight="1">
      <c r="A726" s="15">
        <v>41600.0</v>
      </c>
      <c r="B726" s="3">
        <v>924512.38</v>
      </c>
      <c r="C726" s="3">
        <v>47328.94</v>
      </c>
      <c r="D726" s="3">
        <v>-7362.69</v>
      </c>
      <c r="E726" s="3">
        <f t="shared" si="1"/>
        <v>-0.007900941141</v>
      </c>
      <c r="H726" s="15"/>
      <c r="I726" s="15"/>
      <c r="J726" s="1"/>
      <c r="K726" s="1"/>
      <c r="L726" s="1"/>
    </row>
    <row r="727" ht="15.75" customHeight="1">
      <c r="A727" s="15">
        <v>41607.0</v>
      </c>
      <c r="B727" s="3">
        <v>920065.56</v>
      </c>
      <c r="C727" s="3">
        <v>47328.94</v>
      </c>
      <c r="D727" s="3">
        <v>-11809.5</v>
      </c>
      <c r="E727" s="3">
        <f t="shared" si="1"/>
        <v>-0.01267283621</v>
      </c>
      <c r="H727" s="15"/>
      <c r="I727" s="15"/>
      <c r="J727" s="1"/>
      <c r="K727" s="1"/>
      <c r="L727" s="1"/>
    </row>
    <row r="728" ht="15.75" customHeight="1">
      <c r="A728" s="15">
        <v>41614.0</v>
      </c>
      <c r="B728" s="3">
        <v>898738.75</v>
      </c>
      <c r="C728" s="3">
        <v>47328.94</v>
      </c>
      <c r="D728" s="3">
        <v>-33136.31</v>
      </c>
      <c r="E728" s="3">
        <f t="shared" si="1"/>
        <v>-0.03555874754</v>
      </c>
      <c r="H728" s="15"/>
      <c r="I728" s="15"/>
      <c r="J728" s="1"/>
      <c r="K728" s="1"/>
      <c r="L728" s="1"/>
    </row>
    <row r="729" ht="15.75" customHeight="1">
      <c r="A729" s="15">
        <v>41621.0</v>
      </c>
      <c r="B729" s="3">
        <v>899566.06</v>
      </c>
      <c r="C729" s="3">
        <v>47328.94</v>
      </c>
      <c r="D729" s="3">
        <v>-32309.0</v>
      </c>
      <c r="E729" s="3">
        <f t="shared" si="1"/>
        <v>-0.03467095686</v>
      </c>
      <c r="H729" s="15"/>
      <c r="I729" s="15"/>
      <c r="J729" s="1"/>
      <c r="K729" s="1"/>
      <c r="L729" s="1"/>
    </row>
    <row r="730" ht="15.75" customHeight="1">
      <c r="A730" s="15">
        <v>41628.0</v>
      </c>
      <c r="B730" s="3">
        <v>923084.56</v>
      </c>
      <c r="C730" s="3">
        <v>47328.94</v>
      </c>
      <c r="D730" s="3">
        <v>-8790.5</v>
      </c>
      <c r="E730" s="3">
        <f t="shared" si="1"/>
        <v>-0.009433131519</v>
      </c>
      <c r="H730" s="15"/>
      <c r="I730" s="15"/>
      <c r="J730" s="1"/>
      <c r="K730" s="1"/>
      <c r="L730" s="1"/>
    </row>
    <row r="731" ht="15.75" customHeight="1">
      <c r="A731" s="15">
        <v>41635.0</v>
      </c>
      <c r="B731" s="3">
        <v>934420.56</v>
      </c>
      <c r="C731" s="3">
        <v>47328.94</v>
      </c>
      <c r="D731" s="3">
        <v>0.0</v>
      </c>
      <c r="E731" s="3">
        <f t="shared" si="1"/>
        <v>0</v>
      </c>
      <c r="H731" s="15"/>
      <c r="I731" s="15"/>
      <c r="J731" s="1"/>
      <c r="K731" s="1"/>
      <c r="L731" s="1"/>
    </row>
    <row r="732" ht="15.75" customHeight="1">
      <c r="A732" s="15">
        <v>41642.0</v>
      </c>
      <c r="B732" s="3">
        <v>935196.69</v>
      </c>
      <c r="C732" s="3">
        <v>47328.94</v>
      </c>
      <c r="D732" s="3">
        <v>0.0</v>
      </c>
      <c r="E732" s="3">
        <f t="shared" si="1"/>
        <v>0</v>
      </c>
      <c r="H732" s="15"/>
      <c r="I732" s="15"/>
      <c r="J732" s="1"/>
      <c r="K732" s="1"/>
      <c r="L732" s="1"/>
    </row>
    <row r="733" ht="15.75" customHeight="1">
      <c r="A733" s="15">
        <v>41649.0</v>
      </c>
      <c r="B733" s="3">
        <v>934751.38</v>
      </c>
      <c r="C733" s="3">
        <v>47328.94</v>
      </c>
      <c r="D733" s="3">
        <v>-445.31</v>
      </c>
      <c r="E733" s="3">
        <f t="shared" si="1"/>
        <v>-0.0004761672114</v>
      </c>
      <c r="H733" s="15"/>
      <c r="I733" s="15"/>
      <c r="J733" s="1"/>
      <c r="K733" s="1"/>
      <c r="L733" s="1"/>
    </row>
    <row r="734" ht="15.75" customHeight="1">
      <c r="A734" s="15">
        <v>41656.0</v>
      </c>
      <c r="B734" s="3">
        <v>937925.25</v>
      </c>
      <c r="C734" s="3">
        <v>47328.94</v>
      </c>
      <c r="D734" s="3">
        <v>0.0</v>
      </c>
      <c r="E734" s="3">
        <f t="shared" si="1"/>
        <v>0</v>
      </c>
      <c r="H734" s="15"/>
      <c r="I734" s="15"/>
      <c r="J734" s="1"/>
      <c r="K734" s="1"/>
      <c r="L734" s="1"/>
    </row>
    <row r="735" ht="15.75" customHeight="1">
      <c r="A735" s="15">
        <v>41663.0</v>
      </c>
      <c r="B735" s="3">
        <v>931399.38</v>
      </c>
      <c r="C735" s="3">
        <v>47328.94</v>
      </c>
      <c r="D735" s="3">
        <v>-6525.88</v>
      </c>
      <c r="E735" s="3">
        <f t="shared" si="1"/>
        <v>-0.006957782616</v>
      </c>
      <c r="H735" s="15"/>
      <c r="I735" s="15"/>
      <c r="J735" s="1"/>
      <c r="K735" s="1"/>
      <c r="L735" s="1"/>
    </row>
    <row r="736" ht="15.75" customHeight="1">
      <c r="A736" s="15">
        <v>41670.0</v>
      </c>
      <c r="B736" s="3">
        <v>929048.88</v>
      </c>
      <c r="C736" s="3">
        <v>47328.94</v>
      </c>
      <c r="D736" s="3">
        <v>-8876.38</v>
      </c>
      <c r="E736" s="3">
        <f t="shared" si="1"/>
        <v>-0.009463845866</v>
      </c>
      <c r="H736" s="15"/>
      <c r="I736" s="15"/>
      <c r="J736" s="1"/>
      <c r="K736" s="1"/>
      <c r="L736" s="1"/>
    </row>
    <row r="737" ht="15.75" customHeight="1">
      <c r="A737" s="15">
        <v>41677.0</v>
      </c>
      <c r="B737" s="3">
        <v>923717.0</v>
      </c>
      <c r="C737" s="3">
        <v>47328.94</v>
      </c>
      <c r="D737" s="3">
        <v>-14208.25</v>
      </c>
      <c r="E737" s="3">
        <f t="shared" si="1"/>
        <v>-0.01514859526</v>
      </c>
      <c r="H737" s="15"/>
      <c r="I737" s="15"/>
      <c r="J737" s="1"/>
      <c r="K737" s="1"/>
      <c r="L737" s="1"/>
    </row>
    <row r="738" ht="15.75" customHeight="1">
      <c r="A738" s="15">
        <v>41684.0</v>
      </c>
      <c r="B738" s="3">
        <v>946727.38</v>
      </c>
      <c r="C738" s="3">
        <v>47328.94</v>
      </c>
      <c r="D738" s="3">
        <v>0.0</v>
      </c>
      <c r="E738" s="3">
        <f t="shared" si="1"/>
        <v>0</v>
      </c>
      <c r="H738" s="15"/>
      <c r="I738" s="15"/>
      <c r="J738" s="1"/>
      <c r="K738" s="1"/>
      <c r="L738" s="1"/>
    </row>
    <row r="739" ht="15.75" customHeight="1">
      <c r="A739" s="15">
        <v>41691.0</v>
      </c>
      <c r="B739" s="3">
        <v>960363.88</v>
      </c>
      <c r="C739" s="3">
        <v>34057.94</v>
      </c>
      <c r="D739" s="3">
        <v>0.0</v>
      </c>
      <c r="E739" s="3">
        <f t="shared" si="1"/>
        <v>0</v>
      </c>
      <c r="H739" s="15"/>
      <c r="I739" s="15"/>
      <c r="J739" s="1"/>
      <c r="K739" s="1"/>
      <c r="L739" s="1"/>
    </row>
    <row r="740" ht="15.75" customHeight="1">
      <c r="A740" s="15">
        <v>41698.0</v>
      </c>
      <c r="B740" s="3">
        <v>952208.75</v>
      </c>
      <c r="C740" s="3">
        <v>34057.94</v>
      </c>
      <c r="D740" s="3">
        <v>-8155.13</v>
      </c>
      <c r="E740" s="3">
        <f t="shared" si="1"/>
        <v>-0.008491708372</v>
      </c>
      <c r="H740" s="15"/>
      <c r="I740" s="15"/>
      <c r="J740" s="1"/>
      <c r="K740" s="1"/>
      <c r="L740" s="1"/>
    </row>
    <row r="741" ht="15.75" customHeight="1">
      <c r="A741" s="15">
        <v>41705.0</v>
      </c>
      <c r="B741" s="3">
        <v>968286.75</v>
      </c>
      <c r="C741" s="3">
        <v>34057.94</v>
      </c>
      <c r="D741" s="3">
        <v>0.0</v>
      </c>
      <c r="E741" s="3">
        <f t="shared" si="1"/>
        <v>0</v>
      </c>
      <c r="H741" s="15"/>
      <c r="I741" s="15"/>
      <c r="J741" s="1"/>
      <c r="K741" s="1"/>
      <c r="L741" s="1"/>
    </row>
    <row r="742" ht="15.75" customHeight="1">
      <c r="A742" s="15">
        <v>41712.0</v>
      </c>
      <c r="B742" s="3">
        <v>930439.81</v>
      </c>
      <c r="C742" s="3">
        <v>31666.95</v>
      </c>
      <c r="D742" s="3">
        <v>-37846.94</v>
      </c>
      <c r="E742" s="3">
        <f t="shared" si="1"/>
        <v>-0.03908649994</v>
      </c>
      <c r="H742" s="15"/>
      <c r="I742" s="15"/>
      <c r="J742" s="1"/>
      <c r="K742" s="1"/>
      <c r="L742" s="1"/>
    </row>
    <row r="743" ht="15.75" customHeight="1">
      <c r="A743" s="15">
        <v>41719.0</v>
      </c>
      <c r="B743" s="3">
        <v>945647.38</v>
      </c>
      <c r="C743" s="3">
        <v>31666.95</v>
      </c>
      <c r="D743" s="3">
        <v>-22639.38</v>
      </c>
      <c r="E743" s="3">
        <f t="shared" si="1"/>
        <v>-0.02338086316</v>
      </c>
      <c r="H743" s="15"/>
      <c r="I743" s="15"/>
      <c r="J743" s="1"/>
      <c r="K743" s="1"/>
      <c r="L743" s="1"/>
    </row>
    <row r="744" ht="15.75" customHeight="1">
      <c r="A744" s="15">
        <v>41726.0</v>
      </c>
      <c r="B744" s="3">
        <v>940740.06</v>
      </c>
      <c r="C744" s="3">
        <v>31666.95</v>
      </c>
      <c r="D744" s="3">
        <v>-27546.69</v>
      </c>
      <c r="E744" s="3">
        <f t="shared" si="1"/>
        <v>-0.02844889698</v>
      </c>
      <c r="H744" s="15"/>
      <c r="I744" s="15"/>
      <c r="J744" s="1"/>
      <c r="K744" s="1"/>
      <c r="L744" s="1"/>
    </row>
    <row r="745" ht="15.75" customHeight="1">
      <c r="A745" s="15">
        <v>41733.0</v>
      </c>
      <c r="B745" s="3">
        <v>945969.75</v>
      </c>
      <c r="C745" s="3">
        <v>31666.95</v>
      </c>
      <c r="D745" s="3">
        <v>-22317.0</v>
      </c>
      <c r="E745" s="3">
        <f t="shared" si="1"/>
        <v>-0.02304792459</v>
      </c>
      <c r="H745" s="15"/>
      <c r="I745" s="15"/>
      <c r="J745" s="1"/>
      <c r="K745" s="1"/>
      <c r="L745" s="1"/>
    </row>
    <row r="746" ht="15.75" customHeight="1">
      <c r="A746" s="15">
        <v>41740.0</v>
      </c>
      <c r="B746" s="3">
        <v>938057.94</v>
      </c>
      <c r="C746" s="3">
        <v>57249.51</v>
      </c>
      <c r="D746" s="3">
        <v>-30228.81</v>
      </c>
      <c r="E746" s="3">
        <f t="shared" si="1"/>
        <v>-0.03121886156</v>
      </c>
      <c r="H746" s="15"/>
      <c r="I746" s="15"/>
      <c r="J746" s="1"/>
      <c r="K746" s="1"/>
      <c r="L746" s="1"/>
    </row>
    <row r="747" ht="15.75" customHeight="1">
      <c r="A747" s="15">
        <v>41746.0</v>
      </c>
      <c r="B747" s="3">
        <v>945215.44</v>
      </c>
      <c r="C747" s="3">
        <v>57249.51</v>
      </c>
      <c r="D747" s="3">
        <v>-23071.31</v>
      </c>
      <c r="E747" s="3">
        <f t="shared" si="1"/>
        <v>-0.0238269397</v>
      </c>
      <c r="H747" s="15"/>
      <c r="I747" s="15"/>
      <c r="J747" s="1"/>
      <c r="K747" s="1"/>
      <c r="L747" s="1"/>
    </row>
    <row r="748" ht="15.75" customHeight="1">
      <c r="A748" s="15">
        <v>41753.0</v>
      </c>
      <c r="B748" s="3">
        <v>959561.94</v>
      </c>
      <c r="C748" s="3">
        <v>57249.51</v>
      </c>
      <c r="D748" s="3">
        <v>-8724.81</v>
      </c>
      <c r="E748" s="3">
        <f t="shared" si="1"/>
        <v>-0.009010564278</v>
      </c>
      <c r="H748" s="15"/>
      <c r="I748" s="15"/>
      <c r="J748" s="1"/>
      <c r="K748" s="1"/>
      <c r="L748" s="1"/>
    </row>
    <row r="749" ht="15.75" customHeight="1">
      <c r="A749" s="15">
        <v>41761.0</v>
      </c>
      <c r="B749" s="3">
        <v>942331.5</v>
      </c>
      <c r="C749" s="3">
        <v>57249.51</v>
      </c>
      <c r="D749" s="3">
        <v>-25955.25</v>
      </c>
      <c r="E749" s="3">
        <f t="shared" si="1"/>
        <v>-0.02680533427</v>
      </c>
      <c r="H749" s="15"/>
      <c r="I749" s="15"/>
      <c r="J749" s="1"/>
      <c r="K749" s="1"/>
      <c r="L749" s="1"/>
    </row>
    <row r="750" ht="15.75" customHeight="1">
      <c r="A750" s="15">
        <v>41768.0</v>
      </c>
      <c r="B750" s="3">
        <v>961285.81</v>
      </c>
      <c r="C750" s="3">
        <v>57249.51</v>
      </c>
      <c r="D750" s="3">
        <v>-7000.94</v>
      </c>
      <c r="E750" s="3">
        <f t="shared" si="1"/>
        <v>-0.007230234226</v>
      </c>
      <c r="H750" s="15"/>
      <c r="I750" s="15"/>
      <c r="J750" s="1"/>
      <c r="K750" s="1"/>
      <c r="L750" s="1"/>
    </row>
    <row r="751" ht="15.75" customHeight="1">
      <c r="A751" s="15">
        <v>41775.0</v>
      </c>
      <c r="B751" s="3">
        <v>960998.5</v>
      </c>
      <c r="C751" s="3">
        <v>57249.51</v>
      </c>
      <c r="D751" s="3">
        <v>-7288.25</v>
      </c>
      <c r="E751" s="3">
        <f t="shared" si="1"/>
        <v>-0.00752695418</v>
      </c>
      <c r="H751" s="15"/>
      <c r="I751" s="15"/>
      <c r="J751" s="1"/>
      <c r="K751" s="1"/>
      <c r="L751" s="1"/>
    </row>
    <row r="752" ht="15.75" customHeight="1">
      <c r="A752" s="15">
        <v>41782.0</v>
      </c>
      <c r="B752" s="3">
        <v>958904.19</v>
      </c>
      <c r="C752" s="3">
        <v>57249.51</v>
      </c>
      <c r="D752" s="3">
        <v>-9382.56</v>
      </c>
      <c r="E752" s="3">
        <f t="shared" si="1"/>
        <v>-0.009689856853</v>
      </c>
      <c r="H752" s="15"/>
      <c r="I752" s="15"/>
      <c r="J752" s="1"/>
      <c r="K752" s="1"/>
      <c r="L752" s="1"/>
    </row>
    <row r="753" ht="15.75" customHeight="1">
      <c r="A753" s="15">
        <v>41789.0</v>
      </c>
      <c r="B753" s="3">
        <v>962383.06</v>
      </c>
      <c r="C753" s="3">
        <v>43812.3</v>
      </c>
      <c r="D753" s="3">
        <v>-5903.69</v>
      </c>
      <c r="E753" s="3">
        <f t="shared" si="1"/>
        <v>-0.006097047182</v>
      </c>
      <c r="H753" s="15"/>
      <c r="I753" s="15"/>
      <c r="J753" s="1"/>
      <c r="K753" s="1"/>
      <c r="L753" s="1"/>
    </row>
    <row r="754" ht="15.75" customHeight="1">
      <c r="A754" s="15">
        <v>41796.0</v>
      </c>
      <c r="B754" s="3">
        <v>949990.69</v>
      </c>
      <c r="C754" s="3">
        <v>33339.36</v>
      </c>
      <c r="D754" s="3">
        <v>-18296.06</v>
      </c>
      <c r="E754" s="3">
        <f t="shared" si="1"/>
        <v>-0.01889529109</v>
      </c>
      <c r="H754" s="15"/>
      <c r="I754" s="15"/>
      <c r="J754" s="1"/>
      <c r="K754" s="1"/>
      <c r="L754" s="1"/>
    </row>
    <row r="755" ht="15.75" customHeight="1">
      <c r="A755" s="15">
        <v>41803.0</v>
      </c>
      <c r="B755" s="3">
        <v>931802.81</v>
      </c>
      <c r="C755" s="3">
        <v>33339.36</v>
      </c>
      <c r="D755" s="3">
        <v>-36483.94</v>
      </c>
      <c r="E755" s="3">
        <f t="shared" si="1"/>
        <v>-0.03767885908</v>
      </c>
      <c r="H755" s="15"/>
      <c r="I755" s="15"/>
      <c r="J755" s="1"/>
      <c r="K755" s="1"/>
      <c r="L755" s="1"/>
    </row>
    <row r="756" ht="15.75" customHeight="1">
      <c r="A756" s="15">
        <v>41810.0</v>
      </c>
      <c r="B756" s="3">
        <v>930984.75</v>
      </c>
      <c r="C756" s="3">
        <v>33339.36</v>
      </c>
      <c r="D756" s="3">
        <v>-37302.0</v>
      </c>
      <c r="E756" s="3">
        <f t="shared" si="1"/>
        <v>-0.03852371211</v>
      </c>
      <c r="H756" s="15"/>
      <c r="I756" s="15"/>
      <c r="J756" s="1"/>
      <c r="K756" s="1"/>
      <c r="L756" s="1"/>
    </row>
    <row r="757" ht="15.75" customHeight="1">
      <c r="A757" s="15">
        <v>41817.0</v>
      </c>
      <c r="B757" s="3">
        <v>936681.44</v>
      </c>
      <c r="C757" s="3">
        <v>149525.75</v>
      </c>
      <c r="D757" s="3">
        <v>-31605.31</v>
      </c>
      <c r="E757" s="3">
        <f t="shared" si="1"/>
        <v>-0.03264044458</v>
      </c>
      <c r="H757" s="15"/>
      <c r="I757" s="15"/>
      <c r="J757" s="1"/>
      <c r="K757" s="1"/>
      <c r="L757" s="1"/>
    </row>
    <row r="758" ht="15.75" customHeight="1">
      <c r="A758" s="15">
        <v>41824.0</v>
      </c>
      <c r="B758" s="3">
        <v>942820.13</v>
      </c>
      <c r="C758" s="3">
        <v>90961.31</v>
      </c>
      <c r="D758" s="3">
        <v>-25466.63</v>
      </c>
      <c r="E758" s="3">
        <f t="shared" si="1"/>
        <v>-0.02630071102</v>
      </c>
      <c r="H758" s="15"/>
      <c r="I758" s="15"/>
      <c r="J758" s="1"/>
      <c r="K758" s="1"/>
      <c r="L758" s="1"/>
    </row>
    <row r="759" ht="15.75" customHeight="1">
      <c r="A759" s="15">
        <v>41831.0</v>
      </c>
      <c r="B759" s="3">
        <v>935997.69</v>
      </c>
      <c r="C759" s="3">
        <v>32081.48</v>
      </c>
      <c r="D759" s="3">
        <v>-32289.06</v>
      </c>
      <c r="E759" s="3">
        <f t="shared" si="1"/>
        <v>-0.0333465887</v>
      </c>
      <c r="H759" s="15"/>
      <c r="I759" s="15"/>
      <c r="J759" s="1"/>
      <c r="K759" s="1"/>
      <c r="L759" s="1"/>
    </row>
    <row r="760" ht="15.75" customHeight="1">
      <c r="A760" s="15">
        <v>41838.0</v>
      </c>
      <c r="B760" s="3">
        <v>937569.56</v>
      </c>
      <c r="C760" s="3">
        <v>32081.48</v>
      </c>
      <c r="D760" s="3">
        <v>-30717.19</v>
      </c>
      <c r="E760" s="3">
        <f t="shared" si="1"/>
        <v>-0.03172323694</v>
      </c>
      <c r="H760" s="15"/>
      <c r="I760" s="15"/>
      <c r="J760" s="1"/>
      <c r="K760" s="1"/>
      <c r="L760" s="1"/>
    </row>
    <row r="761" ht="15.75" customHeight="1">
      <c r="A761" s="15">
        <v>41845.0</v>
      </c>
      <c r="B761" s="3">
        <v>953995.44</v>
      </c>
      <c r="C761" s="3">
        <v>32081.48</v>
      </c>
      <c r="D761" s="3">
        <v>-14291.31</v>
      </c>
      <c r="E761" s="3">
        <f t="shared" si="1"/>
        <v>-0.01475937784</v>
      </c>
      <c r="H761" s="15"/>
      <c r="I761" s="15"/>
      <c r="J761" s="1"/>
      <c r="K761" s="1"/>
      <c r="L761" s="1"/>
    </row>
    <row r="762" ht="15.75" customHeight="1">
      <c r="A762" s="15">
        <v>41852.0</v>
      </c>
      <c r="B762" s="3">
        <v>955046.31</v>
      </c>
      <c r="C762" s="3">
        <v>32081.48</v>
      </c>
      <c r="D762" s="3">
        <v>-13240.44</v>
      </c>
      <c r="E762" s="3">
        <f t="shared" si="1"/>
        <v>-0.01367408983</v>
      </c>
      <c r="H762" s="15"/>
      <c r="I762" s="15"/>
      <c r="J762" s="1"/>
      <c r="K762" s="1"/>
      <c r="L762" s="1"/>
    </row>
    <row r="763" ht="15.75" customHeight="1">
      <c r="A763" s="15">
        <v>41859.0</v>
      </c>
      <c r="B763" s="3">
        <v>934211.5</v>
      </c>
      <c r="C763" s="3">
        <v>32081.48</v>
      </c>
      <c r="D763" s="3">
        <v>-34075.25</v>
      </c>
      <c r="E763" s="3">
        <f t="shared" si="1"/>
        <v>-0.03519127986</v>
      </c>
      <c r="H763" s="15"/>
      <c r="I763" s="15"/>
      <c r="J763" s="1"/>
      <c r="K763" s="1"/>
      <c r="L763" s="1"/>
    </row>
    <row r="764" ht="15.75" customHeight="1">
      <c r="A764" s="15">
        <v>41866.0</v>
      </c>
      <c r="B764" s="3">
        <v>947355.44</v>
      </c>
      <c r="C764" s="3">
        <v>32081.48</v>
      </c>
      <c r="D764" s="3">
        <v>-20931.31</v>
      </c>
      <c r="E764" s="3">
        <f t="shared" si="1"/>
        <v>-0.02161685059</v>
      </c>
      <c r="H764" s="15"/>
      <c r="I764" s="15"/>
      <c r="J764" s="1"/>
      <c r="K764" s="1"/>
      <c r="L764" s="1"/>
    </row>
    <row r="765" ht="15.75" customHeight="1">
      <c r="A765" s="15">
        <v>41873.0</v>
      </c>
      <c r="B765" s="3">
        <v>972647.88</v>
      </c>
      <c r="C765" s="3">
        <v>27549.03</v>
      </c>
      <c r="D765" s="3">
        <v>0.0</v>
      </c>
      <c r="E765" s="3">
        <f t="shared" si="1"/>
        <v>0</v>
      </c>
      <c r="H765" s="15"/>
      <c r="I765" s="15"/>
      <c r="J765" s="1"/>
      <c r="K765" s="1"/>
      <c r="L765" s="1"/>
    </row>
    <row r="766" ht="15.75" customHeight="1">
      <c r="A766" s="15">
        <v>41880.0</v>
      </c>
      <c r="B766" s="3">
        <v>985326.5</v>
      </c>
      <c r="C766" s="3">
        <v>27549.03</v>
      </c>
      <c r="D766" s="3">
        <v>0.0</v>
      </c>
      <c r="E766" s="3">
        <f t="shared" si="1"/>
        <v>0</v>
      </c>
      <c r="H766" s="15"/>
      <c r="I766" s="15"/>
      <c r="J766" s="1"/>
      <c r="K766" s="1"/>
      <c r="L766" s="1"/>
    </row>
    <row r="767" ht="15.75" customHeight="1">
      <c r="A767" s="15">
        <v>41887.0</v>
      </c>
      <c r="B767" s="3">
        <v>992544.0</v>
      </c>
      <c r="C767" s="3">
        <v>27549.03</v>
      </c>
      <c r="D767" s="3">
        <v>0.0</v>
      </c>
      <c r="E767" s="3">
        <f t="shared" si="1"/>
        <v>0</v>
      </c>
      <c r="H767" s="15"/>
      <c r="I767" s="15"/>
      <c r="J767" s="1"/>
      <c r="K767" s="1"/>
      <c r="L767" s="1"/>
    </row>
    <row r="768" ht="15.75" customHeight="1">
      <c r="A768" s="15">
        <v>41894.0</v>
      </c>
      <c r="B768" s="3">
        <v>990399.88</v>
      </c>
      <c r="C768" s="3">
        <v>27549.03</v>
      </c>
      <c r="D768" s="3">
        <v>-2144.13</v>
      </c>
      <c r="E768" s="3">
        <f t="shared" si="1"/>
        <v>-0.002160236725</v>
      </c>
      <c r="H768" s="15"/>
      <c r="I768" s="15"/>
      <c r="J768" s="1"/>
      <c r="K768" s="1"/>
      <c r="L768" s="1"/>
    </row>
    <row r="769" ht="15.75" customHeight="1">
      <c r="A769" s="15">
        <v>41901.0</v>
      </c>
      <c r="B769" s="3">
        <v>961012.81</v>
      </c>
      <c r="C769" s="3">
        <v>27549.03</v>
      </c>
      <c r="D769" s="3">
        <v>-31531.19</v>
      </c>
      <c r="E769" s="3">
        <f t="shared" si="1"/>
        <v>-0.0317680526</v>
      </c>
      <c r="H769" s="15"/>
      <c r="I769" s="15"/>
      <c r="J769" s="1"/>
      <c r="K769" s="1"/>
      <c r="L769" s="1"/>
    </row>
    <row r="770" ht="15.75" customHeight="1">
      <c r="A770" s="15">
        <v>41908.0</v>
      </c>
      <c r="B770" s="3">
        <v>939692.44</v>
      </c>
      <c r="C770" s="3">
        <v>27549.03</v>
      </c>
      <c r="D770" s="3">
        <v>-52851.56</v>
      </c>
      <c r="E770" s="3">
        <f t="shared" si="1"/>
        <v>-0.05324858142</v>
      </c>
      <c r="H770" s="15"/>
      <c r="I770" s="15"/>
      <c r="J770" s="1"/>
      <c r="K770" s="1"/>
      <c r="L770" s="1"/>
    </row>
    <row r="771" ht="15.75" customHeight="1">
      <c r="A771" s="15">
        <v>41915.0</v>
      </c>
      <c r="B771" s="3">
        <v>936601.13</v>
      </c>
      <c r="C771" s="3">
        <v>94064.29</v>
      </c>
      <c r="D771" s="3">
        <v>-55942.88</v>
      </c>
      <c r="E771" s="3">
        <f t="shared" si="1"/>
        <v>-0.05636312345</v>
      </c>
      <c r="H771" s="15"/>
      <c r="I771" s="15"/>
      <c r="J771" s="1"/>
      <c r="K771" s="1"/>
      <c r="L771" s="1"/>
    </row>
    <row r="772" ht="15.75" customHeight="1">
      <c r="A772" s="15">
        <v>41922.0</v>
      </c>
      <c r="B772" s="3">
        <v>904356.75</v>
      </c>
      <c r="C772" s="3">
        <v>143173.19</v>
      </c>
      <c r="D772" s="3">
        <v>-88187.25</v>
      </c>
      <c r="E772" s="3">
        <f t="shared" si="1"/>
        <v>-0.08884971346</v>
      </c>
      <c r="H772" s="15"/>
      <c r="I772" s="15"/>
      <c r="J772" s="1"/>
      <c r="K772" s="1"/>
      <c r="L772" s="1"/>
    </row>
    <row r="773" ht="15.75" customHeight="1">
      <c r="A773" s="15">
        <v>41929.0</v>
      </c>
      <c r="B773" s="3">
        <v>901128.38</v>
      </c>
      <c r="C773" s="3">
        <v>143173.19</v>
      </c>
      <c r="D773" s="3">
        <v>-91415.63</v>
      </c>
      <c r="E773" s="3">
        <f t="shared" si="1"/>
        <v>-0.09210234508</v>
      </c>
      <c r="H773" s="15"/>
      <c r="I773" s="15"/>
      <c r="J773" s="1"/>
      <c r="K773" s="1"/>
      <c r="L773" s="1"/>
    </row>
    <row r="774" ht="15.75" customHeight="1">
      <c r="A774" s="15">
        <v>41936.0</v>
      </c>
      <c r="B774" s="3">
        <v>918091.25</v>
      </c>
      <c r="C774" s="3">
        <v>190158.31</v>
      </c>
      <c r="D774" s="3">
        <v>-74452.75</v>
      </c>
      <c r="E774" s="3">
        <f t="shared" si="1"/>
        <v>-0.07501203977</v>
      </c>
      <c r="H774" s="15"/>
      <c r="I774" s="15"/>
      <c r="J774" s="1"/>
      <c r="K774" s="1"/>
      <c r="L774" s="1"/>
    </row>
    <row r="775" ht="15.75" customHeight="1">
      <c r="A775" s="15">
        <v>41943.0</v>
      </c>
      <c r="B775" s="3">
        <v>939439.13</v>
      </c>
      <c r="C775" s="3">
        <v>243004.56</v>
      </c>
      <c r="D775" s="3">
        <v>-53104.88</v>
      </c>
      <c r="E775" s="3">
        <f t="shared" si="1"/>
        <v>-0.05350380437</v>
      </c>
      <c r="H775" s="15"/>
      <c r="I775" s="15"/>
      <c r="J775" s="1"/>
      <c r="K775" s="1"/>
      <c r="L775" s="1"/>
    </row>
    <row r="776" ht="15.75" customHeight="1">
      <c r="A776" s="15">
        <v>41950.0</v>
      </c>
      <c r="B776" s="3">
        <v>951300.81</v>
      </c>
      <c r="C776" s="3">
        <v>125411.48</v>
      </c>
      <c r="D776" s="3">
        <v>-41243.19</v>
      </c>
      <c r="E776" s="3">
        <f t="shared" si="1"/>
        <v>-0.04155300924</v>
      </c>
      <c r="H776" s="15"/>
      <c r="I776" s="15"/>
      <c r="J776" s="1"/>
      <c r="K776" s="1"/>
      <c r="L776" s="1"/>
    </row>
    <row r="777" ht="15.75" customHeight="1">
      <c r="A777" s="15">
        <v>41957.0</v>
      </c>
      <c r="B777" s="3">
        <v>951540.75</v>
      </c>
      <c r="C777" s="3">
        <v>6288.75</v>
      </c>
      <c r="D777" s="3">
        <v>-41003.25</v>
      </c>
      <c r="E777" s="3">
        <f t="shared" si="1"/>
        <v>-0.04131126681</v>
      </c>
      <c r="H777" s="15"/>
      <c r="I777" s="15"/>
      <c r="J777" s="1"/>
      <c r="K777" s="1"/>
      <c r="L777" s="1"/>
    </row>
    <row r="778" ht="15.75" customHeight="1">
      <c r="A778" s="15">
        <v>41964.0</v>
      </c>
      <c r="B778" s="3">
        <v>939263.13</v>
      </c>
      <c r="C778" s="3">
        <v>6288.75</v>
      </c>
      <c r="D778" s="3">
        <v>-53280.88</v>
      </c>
      <c r="E778" s="3">
        <f t="shared" si="1"/>
        <v>-0.05368112648</v>
      </c>
      <c r="H778" s="15"/>
      <c r="I778" s="15"/>
      <c r="J778" s="1"/>
      <c r="K778" s="1"/>
      <c r="L778" s="1"/>
    </row>
    <row r="779" ht="15.75" customHeight="1">
      <c r="A779" s="15">
        <v>41971.0</v>
      </c>
      <c r="B779" s="3">
        <v>947710.19</v>
      </c>
      <c r="C779" s="3">
        <v>6288.75</v>
      </c>
      <c r="D779" s="3">
        <v>-44833.81</v>
      </c>
      <c r="E779" s="3">
        <f t="shared" si="1"/>
        <v>-0.04517060201</v>
      </c>
      <c r="H779" s="15"/>
      <c r="I779" s="15"/>
      <c r="J779" s="1"/>
      <c r="K779" s="1"/>
      <c r="L779" s="1"/>
    </row>
    <row r="780" ht="15.75" customHeight="1">
      <c r="A780" s="15">
        <v>41978.0</v>
      </c>
      <c r="B780" s="3">
        <v>968292.38</v>
      </c>
      <c r="C780" s="3">
        <v>6288.75</v>
      </c>
      <c r="D780" s="3">
        <v>-24251.63</v>
      </c>
      <c r="E780" s="3">
        <f t="shared" si="1"/>
        <v>-0.02443380848</v>
      </c>
      <c r="H780" s="15"/>
      <c r="I780" s="15"/>
      <c r="J780" s="1"/>
      <c r="K780" s="1"/>
      <c r="L780" s="1"/>
    </row>
    <row r="781" ht="15.75" customHeight="1">
      <c r="A781" s="15">
        <v>41985.0</v>
      </c>
      <c r="B781" s="3">
        <v>972440.88</v>
      </c>
      <c r="C781" s="3">
        <v>102380.09</v>
      </c>
      <c r="D781" s="3">
        <v>-20103.13</v>
      </c>
      <c r="E781" s="3">
        <f t="shared" si="1"/>
        <v>-0.0202541449</v>
      </c>
      <c r="H781" s="15"/>
      <c r="I781" s="15"/>
      <c r="J781" s="1"/>
      <c r="K781" s="1"/>
      <c r="L781" s="1"/>
    </row>
    <row r="782" ht="15.75" customHeight="1">
      <c r="A782" s="15">
        <v>41992.0</v>
      </c>
      <c r="B782" s="3">
        <v>985567.13</v>
      </c>
      <c r="C782" s="3">
        <v>102380.09</v>
      </c>
      <c r="D782" s="3">
        <v>-6976.88</v>
      </c>
      <c r="E782" s="3">
        <f t="shared" si="1"/>
        <v>-0.007029290389</v>
      </c>
      <c r="H782" s="15"/>
      <c r="I782" s="15"/>
      <c r="J782" s="1"/>
      <c r="K782" s="1"/>
      <c r="L782" s="1"/>
    </row>
    <row r="783" ht="15.75" customHeight="1">
      <c r="A783" s="15">
        <v>41997.0</v>
      </c>
      <c r="B783" s="3">
        <v>993271.5</v>
      </c>
      <c r="C783" s="3">
        <v>102380.09</v>
      </c>
      <c r="D783" s="3">
        <v>0.0</v>
      </c>
      <c r="E783" s="3">
        <f t="shared" si="1"/>
        <v>0</v>
      </c>
      <c r="H783" s="15"/>
      <c r="I783" s="15"/>
      <c r="J783" s="1"/>
      <c r="K783" s="1"/>
      <c r="L783" s="1"/>
    </row>
    <row r="784" ht="15.75" customHeight="1">
      <c r="A784" s="15">
        <v>42006.0</v>
      </c>
      <c r="B784" s="3">
        <v>1000803.88</v>
      </c>
      <c r="C784" s="3">
        <v>40030.43</v>
      </c>
      <c r="D784" s="3">
        <v>0.0</v>
      </c>
      <c r="E784" s="3">
        <f t="shared" si="1"/>
        <v>0</v>
      </c>
      <c r="H784" s="15"/>
      <c r="I784" s="15"/>
      <c r="J784" s="1"/>
      <c r="K784" s="1"/>
      <c r="L784" s="1"/>
    </row>
    <row r="785" ht="15.75" customHeight="1">
      <c r="A785" s="15">
        <v>42013.0</v>
      </c>
      <c r="B785" s="3">
        <v>1012637.0</v>
      </c>
      <c r="C785" s="3">
        <v>40030.43</v>
      </c>
      <c r="D785" s="3">
        <v>0.0</v>
      </c>
      <c r="E785" s="3">
        <f t="shared" si="1"/>
        <v>0</v>
      </c>
      <c r="H785" s="15"/>
      <c r="I785" s="15"/>
      <c r="J785" s="1"/>
      <c r="K785" s="1"/>
      <c r="L785" s="1"/>
    </row>
    <row r="786" ht="15.75" customHeight="1">
      <c r="A786" s="15">
        <v>42020.0</v>
      </c>
      <c r="B786" s="3">
        <v>982001.44</v>
      </c>
      <c r="C786" s="3">
        <v>40030.43</v>
      </c>
      <c r="D786" s="3">
        <v>-30635.56</v>
      </c>
      <c r="E786" s="3">
        <f t="shared" si="1"/>
        <v>-0.03025324968</v>
      </c>
      <c r="H786" s="15"/>
      <c r="I786" s="15"/>
      <c r="J786" s="1"/>
      <c r="K786" s="1"/>
      <c r="L786" s="1"/>
    </row>
    <row r="787" ht="15.75" customHeight="1">
      <c r="A787" s="15">
        <v>42027.0</v>
      </c>
      <c r="B787" s="3">
        <v>1006908.25</v>
      </c>
      <c r="C787" s="3">
        <v>40030.43</v>
      </c>
      <c r="D787" s="3">
        <v>-5728.75</v>
      </c>
      <c r="E787" s="3">
        <f t="shared" si="1"/>
        <v>-0.005657259215</v>
      </c>
      <c r="H787" s="15"/>
      <c r="I787" s="15"/>
      <c r="J787" s="1"/>
      <c r="K787" s="1"/>
      <c r="L787" s="1"/>
    </row>
    <row r="788" ht="15.75" customHeight="1">
      <c r="A788" s="15">
        <v>42034.0</v>
      </c>
      <c r="B788" s="3">
        <v>1013447.81</v>
      </c>
      <c r="C788" s="3">
        <v>17064.26</v>
      </c>
      <c r="D788" s="3">
        <v>0.0</v>
      </c>
      <c r="E788" s="3">
        <f t="shared" si="1"/>
        <v>0</v>
      </c>
      <c r="H788" s="15"/>
      <c r="I788" s="15"/>
      <c r="J788" s="1"/>
      <c r="K788" s="1"/>
      <c r="L788" s="1"/>
    </row>
    <row r="789" ht="15.75" customHeight="1">
      <c r="A789" s="15">
        <v>42041.0</v>
      </c>
      <c r="B789" s="3">
        <v>1037709.44</v>
      </c>
      <c r="C789" s="3">
        <v>17064.26</v>
      </c>
      <c r="D789" s="3">
        <v>0.0</v>
      </c>
      <c r="E789" s="3">
        <f t="shared" si="1"/>
        <v>0</v>
      </c>
      <c r="H789" s="15"/>
      <c r="I789" s="15"/>
      <c r="J789" s="1"/>
      <c r="K789" s="1"/>
      <c r="L789" s="1"/>
    </row>
    <row r="790" ht="15.75" customHeight="1">
      <c r="A790" s="15">
        <v>42048.0</v>
      </c>
      <c r="B790" s="3">
        <v>1046690.81</v>
      </c>
      <c r="C790" s="3">
        <v>17064.26</v>
      </c>
      <c r="D790" s="3">
        <v>0.0</v>
      </c>
      <c r="E790" s="3">
        <f t="shared" si="1"/>
        <v>0</v>
      </c>
      <c r="H790" s="15"/>
      <c r="I790" s="15"/>
      <c r="J790" s="1"/>
      <c r="K790" s="1"/>
      <c r="L790" s="1"/>
    </row>
    <row r="791" ht="15.75" customHeight="1">
      <c r="A791" s="15">
        <v>42055.0</v>
      </c>
      <c r="B791" s="3">
        <v>1051328.13</v>
      </c>
      <c r="C791" s="3">
        <v>17064.26</v>
      </c>
      <c r="D791" s="3">
        <v>0.0</v>
      </c>
      <c r="E791" s="3">
        <f t="shared" si="1"/>
        <v>0</v>
      </c>
      <c r="H791" s="15"/>
      <c r="I791" s="15"/>
      <c r="J791" s="1"/>
      <c r="K791" s="1"/>
      <c r="L791" s="1"/>
    </row>
    <row r="792" ht="15.75" customHeight="1">
      <c r="A792" s="15">
        <v>42062.0</v>
      </c>
      <c r="B792" s="3">
        <v>1069702.63</v>
      </c>
      <c r="C792" s="3">
        <v>17064.26</v>
      </c>
      <c r="D792" s="3">
        <v>0.0</v>
      </c>
      <c r="E792" s="3">
        <f t="shared" si="1"/>
        <v>0</v>
      </c>
      <c r="H792" s="15"/>
      <c r="I792" s="15"/>
      <c r="J792" s="1"/>
      <c r="K792" s="1"/>
      <c r="L792" s="1"/>
    </row>
    <row r="793" ht="15.75" customHeight="1">
      <c r="A793" s="15">
        <v>42069.0</v>
      </c>
      <c r="B793" s="3">
        <v>1079001.13</v>
      </c>
      <c r="C793" s="3">
        <v>17064.26</v>
      </c>
      <c r="D793" s="3">
        <v>0.0</v>
      </c>
      <c r="E793" s="3">
        <f t="shared" si="1"/>
        <v>0</v>
      </c>
      <c r="H793" s="15"/>
      <c r="I793" s="15"/>
      <c r="J793" s="1"/>
      <c r="K793" s="1"/>
      <c r="L793" s="1"/>
    </row>
    <row r="794" ht="15.75" customHeight="1">
      <c r="A794" s="15">
        <v>42076.0</v>
      </c>
      <c r="B794" s="3">
        <v>1077630.75</v>
      </c>
      <c r="C794" s="3">
        <v>17064.26</v>
      </c>
      <c r="D794" s="3">
        <v>-1370.38</v>
      </c>
      <c r="E794" s="3">
        <f t="shared" si="1"/>
        <v>-0.001270045009</v>
      </c>
      <c r="H794" s="15"/>
      <c r="I794" s="15"/>
      <c r="J794" s="1"/>
      <c r="K794" s="1"/>
      <c r="L794" s="1"/>
    </row>
    <row r="795" ht="15.75" customHeight="1">
      <c r="A795" s="15">
        <v>42083.0</v>
      </c>
      <c r="B795" s="3">
        <v>1099702.13</v>
      </c>
      <c r="C795" s="3">
        <v>17064.26</v>
      </c>
      <c r="D795" s="3">
        <v>0.0</v>
      </c>
      <c r="E795" s="3">
        <f t="shared" si="1"/>
        <v>0</v>
      </c>
      <c r="H795" s="15"/>
      <c r="I795" s="15"/>
      <c r="J795" s="1"/>
      <c r="K795" s="1"/>
      <c r="L795" s="1"/>
    </row>
    <row r="796" ht="15.75" customHeight="1">
      <c r="A796" s="15">
        <v>42090.0</v>
      </c>
      <c r="B796" s="3">
        <v>1092057.38</v>
      </c>
      <c r="C796" s="3">
        <v>17064.26</v>
      </c>
      <c r="D796" s="3">
        <v>-7644.75</v>
      </c>
      <c r="E796" s="3">
        <f t="shared" si="1"/>
        <v>-0.006951655172</v>
      </c>
      <c r="H796" s="15"/>
      <c r="I796" s="15"/>
      <c r="J796" s="1"/>
      <c r="K796" s="1"/>
      <c r="L796" s="1"/>
    </row>
    <row r="797" ht="15.75" customHeight="1">
      <c r="A797" s="15">
        <v>42096.0</v>
      </c>
      <c r="B797" s="3">
        <v>1106967.25</v>
      </c>
      <c r="C797" s="3">
        <v>17064.26</v>
      </c>
      <c r="D797" s="3">
        <v>0.0</v>
      </c>
      <c r="E797" s="3">
        <f t="shared" si="1"/>
        <v>0</v>
      </c>
      <c r="H797" s="15"/>
      <c r="I797" s="15"/>
      <c r="J797" s="1"/>
      <c r="K797" s="1"/>
      <c r="L797" s="1"/>
    </row>
    <row r="798" ht="15.75" customHeight="1">
      <c r="A798" s="15">
        <v>42104.0</v>
      </c>
      <c r="B798" s="3">
        <v>1115055.25</v>
      </c>
      <c r="C798" s="3">
        <v>17064.26</v>
      </c>
      <c r="D798" s="3">
        <v>0.0</v>
      </c>
      <c r="E798" s="3">
        <f t="shared" si="1"/>
        <v>0</v>
      </c>
      <c r="H798" s="15"/>
      <c r="I798" s="15"/>
      <c r="J798" s="1"/>
      <c r="K798" s="1"/>
      <c r="L798" s="1"/>
    </row>
    <row r="799" ht="15.75" customHeight="1">
      <c r="A799" s="15">
        <v>42111.0</v>
      </c>
      <c r="B799" s="3">
        <v>1095623.75</v>
      </c>
      <c r="C799" s="3">
        <v>17064.26</v>
      </c>
      <c r="D799" s="3">
        <v>-19431.5</v>
      </c>
      <c r="E799" s="3">
        <f t="shared" si="1"/>
        <v>-0.01742649075</v>
      </c>
      <c r="H799" s="15"/>
      <c r="I799" s="15"/>
      <c r="J799" s="1"/>
      <c r="K799" s="1"/>
      <c r="L799" s="1"/>
    </row>
    <row r="800" ht="15.75" customHeight="1">
      <c r="A800" s="15">
        <v>42118.0</v>
      </c>
      <c r="B800" s="3">
        <v>1094553.25</v>
      </c>
      <c r="C800" s="3">
        <v>17064.26</v>
      </c>
      <c r="D800" s="3">
        <v>-20502.0</v>
      </c>
      <c r="E800" s="3">
        <f t="shared" si="1"/>
        <v>-0.01838653286</v>
      </c>
      <c r="H800" s="15"/>
      <c r="I800" s="15"/>
      <c r="J800" s="1"/>
      <c r="K800" s="1"/>
      <c r="L800" s="1"/>
    </row>
    <row r="801" ht="15.75" customHeight="1">
      <c r="A801" s="15">
        <v>42125.0</v>
      </c>
      <c r="B801" s="3">
        <v>1076277.75</v>
      </c>
      <c r="C801" s="3">
        <v>17064.26</v>
      </c>
      <c r="D801" s="3">
        <v>-38777.5</v>
      </c>
      <c r="E801" s="3">
        <f t="shared" si="1"/>
        <v>-0.03477630369</v>
      </c>
      <c r="H801" s="15"/>
      <c r="I801" s="15"/>
      <c r="J801" s="1"/>
      <c r="K801" s="1"/>
      <c r="L801" s="1"/>
    </row>
    <row r="802" ht="15.75" customHeight="1">
      <c r="A802" s="15">
        <v>42132.0</v>
      </c>
      <c r="B802" s="3">
        <v>1069201.25</v>
      </c>
      <c r="C802" s="3">
        <v>17064.26</v>
      </c>
      <c r="D802" s="3">
        <v>-45854.0</v>
      </c>
      <c r="E802" s="3">
        <f t="shared" si="1"/>
        <v>-0.04112262599</v>
      </c>
      <c r="H802" s="15"/>
      <c r="I802" s="15"/>
      <c r="J802" s="1"/>
      <c r="K802" s="1"/>
      <c r="L802" s="1"/>
    </row>
    <row r="803" ht="15.75" customHeight="1">
      <c r="A803" s="15">
        <v>42139.0</v>
      </c>
      <c r="B803" s="3">
        <v>1089808.13</v>
      </c>
      <c r="C803" s="3">
        <v>166588.97</v>
      </c>
      <c r="D803" s="3">
        <v>-25247.13</v>
      </c>
      <c r="E803" s="3">
        <f t="shared" si="1"/>
        <v>-0.02264204397</v>
      </c>
      <c r="H803" s="15"/>
      <c r="I803" s="15"/>
      <c r="J803" s="1"/>
      <c r="K803" s="1"/>
      <c r="L803" s="1"/>
    </row>
    <row r="804" ht="15.75" customHeight="1">
      <c r="A804" s="15">
        <v>42146.0</v>
      </c>
      <c r="B804" s="3">
        <v>1079372.75</v>
      </c>
      <c r="C804" s="3">
        <v>166588.97</v>
      </c>
      <c r="D804" s="3">
        <v>-35682.5</v>
      </c>
      <c r="E804" s="3">
        <f t="shared" si="1"/>
        <v>-0.03200065647</v>
      </c>
      <c r="H804" s="15"/>
      <c r="I804" s="15"/>
      <c r="J804" s="1"/>
      <c r="K804" s="1"/>
      <c r="L804" s="1"/>
    </row>
    <row r="805" ht="15.75" customHeight="1">
      <c r="A805" s="15">
        <v>42153.0</v>
      </c>
      <c r="B805" s="3">
        <v>1090308.75</v>
      </c>
      <c r="C805" s="3">
        <v>166588.97</v>
      </c>
      <c r="D805" s="3">
        <v>-24746.5</v>
      </c>
      <c r="E805" s="3">
        <f t="shared" si="1"/>
        <v>-0.0221930707</v>
      </c>
      <c r="H805" s="15"/>
      <c r="I805" s="15"/>
      <c r="J805" s="1"/>
      <c r="K805" s="1"/>
      <c r="L805" s="1"/>
    </row>
    <row r="806" ht="15.75" customHeight="1">
      <c r="A806" s="15">
        <v>42160.0</v>
      </c>
      <c r="B806" s="3">
        <v>1063127.38</v>
      </c>
      <c r="C806" s="3">
        <v>336503.81</v>
      </c>
      <c r="D806" s="3">
        <v>-51927.88</v>
      </c>
      <c r="E806" s="3">
        <f t="shared" si="1"/>
        <v>-0.04656978208</v>
      </c>
      <c r="H806" s="15"/>
      <c r="I806" s="15"/>
      <c r="J806" s="1"/>
      <c r="K806" s="1"/>
      <c r="L806" s="1"/>
    </row>
    <row r="807" ht="15.75" customHeight="1">
      <c r="A807" s="15">
        <v>42167.0</v>
      </c>
      <c r="B807" s="3">
        <v>1070509.25</v>
      </c>
      <c r="C807" s="3">
        <v>336503.81</v>
      </c>
      <c r="D807" s="3">
        <v>-44546.0</v>
      </c>
      <c r="E807" s="3">
        <f t="shared" si="1"/>
        <v>-0.03994958994</v>
      </c>
      <c r="H807" s="15"/>
      <c r="I807" s="15"/>
      <c r="J807" s="1"/>
      <c r="K807" s="1"/>
      <c r="L807" s="1"/>
    </row>
    <row r="808" ht="15.75" customHeight="1">
      <c r="A808" s="15">
        <v>42174.0</v>
      </c>
      <c r="B808" s="3">
        <v>1058671.88</v>
      </c>
      <c r="C808" s="3">
        <v>336503.81</v>
      </c>
      <c r="D808" s="3">
        <v>-56383.38</v>
      </c>
      <c r="E808" s="3">
        <f t="shared" si="1"/>
        <v>-0.05056554821</v>
      </c>
      <c r="H808" s="15"/>
      <c r="I808" s="15"/>
      <c r="J808" s="1"/>
      <c r="K808" s="1"/>
      <c r="L808" s="1"/>
    </row>
    <row r="809" ht="15.75" customHeight="1">
      <c r="A809" s="15">
        <v>42181.0</v>
      </c>
      <c r="B809" s="3">
        <v>1055643.38</v>
      </c>
      <c r="C809" s="3">
        <v>336503.81</v>
      </c>
      <c r="D809" s="3">
        <v>-59411.88</v>
      </c>
      <c r="E809" s="3">
        <f t="shared" si="1"/>
        <v>-0.05328155712</v>
      </c>
      <c r="H809" s="15"/>
      <c r="I809" s="15"/>
      <c r="J809" s="1"/>
      <c r="K809" s="1"/>
      <c r="L809" s="1"/>
    </row>
    <row r="810" ht="15.75" customHeight="1">
      <c r="A810" s="15">
        <v>42188.0</v>
      </c>
      <c r="B810" s="3">
        <v>1057104.13</v>
      </c>
      <c r="C810" s="3">
        <v>336503.81</v>
      </c>
      <c r="D810" s="3">
        <v>-57951.13</v>
      </c>
      <c r="E810" s="3">
        <f t="shared" si="1"/>
        <v>-0.05197153235</v>
      </c>
      <c r="H810" s="15"/>
      <c r="I810" s="15"/>
      <c r="J810" s="1"/>
      <c r="K810" s="1"/>
      <c r="L810" s="1"/>
    </row>
    <row r="811" ht="15.75" customHeight="1">
      <c r="A811" s="15">
        <v>42195.0</v>
      </c>
      <c r="B811" s="3">
        <v>1047354.19</v>
      </c>
      <c r="C811" s="3">
        <v>336503.81</v>
      </c>
      <c r="D811" s="3">
        <v>-67701.06</v>
      </c>
      <c r="E811" s="3">
        <f t="shared" si="1"/>
        <v>-0.06071543092</v>
      </c>
      <c r="H811" s="15"/>
      <c r="I811" s="15"/>
      <c r="J811" s="1"/>
      <c r="K811" s="1"/>
      <c r="L811" s="1"/>
    </row>
    <row r="812" ht="15.75" customHeight="1">
      <c r="A812" s="15">
        <v>42202.0</v>
      </c>
      <c r="B812" s="3">
        <v>1076163.0</v>
      </c>
      <c r="C812" s="3">
        <v>336503.81</v>
      </c>
      <c r="D812" s="3">
        <v>-38892.25</v>
      </c>
      <c r="E812" s="3">
        <f t="shared" si="1"/>
        <v>-0.03487921338</v>
      </c>
      <c r="H812" s="15"/>
      <c r="I812" s="15"/>
      <c r="J812" s="1"/>
      <c r="K812" s="1"/>
      <c r="L812" s="1"/>
    </row>
    <row r="813" ht="15.75" customHeight="1">
      <c r="A813" s="15">
        <v>42209.0</v>
      </c>
      <c r="B813" s="3">
        <v>1073330.13</v>
      </c>
      <c r="C813" s="3">
        <v>336503.81</v>
      </c>
      <c r="D813" s="3">
        <v>-41725.13</v>
      </c>
      <c r="E813" s="3">
        <f t="shared" si="1"/>
        <v>-0.03741978705</v>
      </c>
      <c r="H813" s="15"/>
      <c r="I813" s="15"/>
      <c r="J813" s="1"/>
      <c r="K813" s="1"/>
      <c r="L813" s="1"/>
    </row>
    <row r="814" ht="15.75" customHeight="1">
      <c r="A814" s="15">
        <v>42216.0</v>
      </c>
      <c r="B814" s="3">
        <v>1087902.63</v>
      </c>
      <c r="C814" s="3">
        <v>336503.81</v>
      </c>
      <c r="D814" s="3">
        <v>-27152.63</v>
      </c>
      <c r="E814" s="3">
        <f t="shared" si="1"/>
        <v>-0.0243509279</v>
      </c>
      <c r="H814" s="15"/>
      <c r="I814" s="15"/>
      <c r="J814" s="1"/>
      <c r="K814" s="1"/>
      <c r="L814" s="1"/>
    </row>
    <row r="815" ht="15.75" customHeight="1">
      <c r="A815" s="15">
        <v>42223.0</v>
      </c>
      <c r="B815" s="3">
        <v>1048868.88</v>
      </c>
      <c r="C815" s="3">
        <v>63467.31</v>
      </c>
      <c r="D815" s="3">
        <v>-66186.38</v>
      </c>
      <c r="E815" s="3">
        <f t="shared" si="1"/>
        <v>-0.05935704083</v>
      </c>
      <c r="H815" s="15"/>
      <c r="I815" s="15"/>
      <c r="J815" s="1"/>
      <c r="K815" s="1"/>
      <c r="L815" s="1"/>
    </row>
    <row r="816" ht="15.75" customHeight="1">
      <c r="A816" s="15">
        <v>42230.0</v>
      </c>
      <c r="B816" s="3">
        <v>1027632.5</v>
      </c>
      <c r="C816" s="3">
        <v>63467.31</v>
      </c>
      <c r="D816" s="3">
        <v>-87422.75</v>
      </c>
      <c r="E816" s="3">
        <f t="shared" si="1"/>
        <v>-0.07840216886</v>
      </c>
      <c r="H816" s="15"/>
      <c r="I816" s="15"/>
      <c r="J816" s="1"/>
      <c r="K816" s="1"/>
      <c r="L816" s="1"/>
    </row>
    <row r="817" ht="15.75" customHeight="1">
      <c r="A817" s="15">
        <v>42237.0</v>
      </c>
      <c r="B817" s="3">
        <v>1020540.5</v>
      </c>
      <c r="C817" s="3">
        <v>121758.39</v>
      </c>
      <c r="D817" s="3">
        <v>-94514.75</v>
      </c>
      <c r="E817" s="3">
        <f t="shared" si="1"/>
        <v>-0.08476239182</v>
      </c>
      <c r="H817" s="15"/>
      <c r="I817" s="15"/>
      <c r="J817" s="1"/>
      <c r="K817" s="1"/>
      <c r="L817" s="1"/>
    </row>
    <row r="818" ht="15.75" customHeight="1">
      <c r="A818" s="15">
        <v>42244.0</v>
      </c>
      <c r="B818" s="3">
        <v>1027332.06</v>
      </c>
      <c r="C818" s="3">
        <v>228279.5</v>
      </c>
      <c r="D818" s="3">
        <v>-87723.19</v>
      </c>
      <c r="E818" s="3">
        <f t="shared" si="1"/>
        <v>-0.07867160842</v>
      </c>
      <c r="H818" s="15"/>
      <c r="I818" s="15"/>
      <c r="J818" s="1"/>
      <c r="K818" s="1"/>
      <c r="L818" s="1"/>
    </row>
    <row r="819" ht="15.75" customHeight="1">
      <c r="A819" s="15">
        <v>42251.0</v>
      </c>
      <c r="B819" s="3">
        <v>1013076.25</v>
      </c>
      <c r="C819" s="3">
        <v>228279.5</v>
      </c>
      <c r="D819" s="3">
        <v>-101979.0</v>
      </c>
      <c r="E819" s="3">
        <f t="shared" si="1"/>
        <v>-0.09145645474</v>
      </c>
      <c r="H819" s="15"/>
      <c r="I819" s="15"/>
      <c r="J819" s="1"/>
      <c r="K819" s="1"/>
      <c r="L819" s="1"/>
    </row>
    <row r="820" ht="15.75" customHeight="1">
      <c r="A820" s="15">
        <v>42258.0</v>
      </c>
      <c r="B820" s="3">
        <v>1016838.5</v>
      </c>
      <c r="C820" s="3">
        <v>278599.88</v>
      </c>
      <c r="D820" s="3">
        <v>-98216.75</v>
      </c>
      <c r="E820" s="3">
        <f t="shared" si="1"/>
        <v>-0.08808240668</v>
      </c>
      <c r="H820" s="15"/>
      <c r="I820" s="15"/>
      <c r="J820" s="1"/>
      <c r="K820" s="1"/>
      <c r="L820" s="1"/>
    </row>
    <row r="821" ht="15.75" customHeight="1">
      <c r="A821" s="15">
        <v>42265.0</v>
      </c>
      <c r="B821" s="3">
        <v>1032214.56</v>
      </c>
      <c r="C821" s="3">
        <v>343637.0</v>
      </c>
      <c r="D821" s="3">
        <v>-82840.69</v>
      </c>
      <c r="E821" s="3">
        <f t="shared" si="1"/>
        <v>-0.07429290163</v>
      </c>
      <c r="H821" s="15"/>
      <c r="I821" s="15"/>
      <c r="J821" s="1"/>
      <c r="K821" s="1"/>
      <c r="L821" s="1"/>
    </row>
    <row r="822" ht="15.75" customHeight="1">
      <c r="A822" s="15">
        <v>42272.0</v>
      </c>
      <c r="B822" s="3">
        <v>1034047.38</v>
      </c>
      <c r="C822" s="3">
        <v>343637.0</v>
      </c>
      <c r="D822" s="3">
        <v>-81007.88</v>
      </c>
      <c r="E822" s="3">
        <f t="shared" si="1"/>
        <v>-0.07264920729</v>
      </c>
      <c r="H822" s="15"/>
      <c r="I822" s="15"/>
      <c r="J822" s="1"/>
      <c r="K822" s="1"/>
      <c r="L822" s="1"/>
    </row>
    <row r="823" ht="15.75" customHeight="1">
      <c r="A823" s="15">
        <v>42279.0</v>
      </c>
      <c r="B823" s="3">
        <v>1035271.13</v>
      </c>
      <c r="C823" s="3">
        <v>343637.0</v>
      </c>
      <c r="D823" s="3">
        <v>-79784.13</v>
      </c>
      <c r="E823" s="3">
        <f t="shared" si="1"/>
        <v>-0.07155172804</v>
      </c>
      <c r="H823" s="15"/>
      <c r="I823" s="15"/>
      <c r="J823" s="1"/>
      <c r="K823" s="1"/>
      <c r="L823" s="1"/>
    </row>
    <row r="824" ht="15.75" customHeight="1">
      <c r="A824" s="15">
        <v>42286.0</v>
      </c>
      <c r="B824" s="3">
        <v>1045208.44</v>
      </c>
      <c r="C824" s="3">
        <v>343637.0</v>
      </c>
      <c r="D824" s="3">
        <v>-69846.81</v>
      </c>
      <c r="E824" s="3">
        <f t="shared" si="1"/>
        <v>-0.06263977502</v>
      </c>
      <c r="H824" s="15"/>
      <c r="I824" s="15"/>
      <c r="J824" s="1"/>
      <c r="K824" s="1"/>
      <c r="L824" s="1"/>
    </row>
    <row r="825" ht="15.75" customHeight="1">
      <c r="A825" s="15">
        <v>42293.0</v>
      </c>
      <c r="B825" s="3">
        <v>1040767.69</v>
      </c>
      <c r="C825" s="3">
        <v>343637.0</v>
      </c>
      <c r="D825" s="3">
        <v>-74287.56</v>
      </c>
      <c r="E825" s="3">
        <f t="shared" si="1"/>
        <v>-0.06662231311</v>
      </c>
      <c r="H825" s="15"/>
      <c r="I825" s="15"/>
      <c r="J825" s="1"/>
      <c r="K825" s="1"/>
      <c r="L825" s="1"/>
    </row>
    <row r="826" ht="15.75" customHeight="1">
      <c r="A826" s="15">
        <v>42300.0</v>
      </c>
      <c r="B826" s="3">
        <v>1057277.63</v>
      </c>
      <c r="C826" s="3">
        <v>343637.0</v>
      </c>
      <c r="D826" s="3">
        <v>-57777.63</v>
      </c>
      <c r="E826" s="3">
        <f t="shared" si="1"/>
        <v>-0.05181593468</v>
      </c>
      <c r="H826" s="15"/>
      <c r="I826" s="15"/>
      <c r="J826" s="1"/>
      <c r="K826" s="1"/>
      <c r="L826" s="1"/>
    </row>
    <row r="827" ht="15.75" customHeight="1">
      <c r="A827" s="15">
        <v>42307.0</v>
      </c>
      <c r="B827" s="3">
        <v>1069553.63</v>
      </c>
      <c r="C827" s="3">
        <v>12038.8</v>
      </c>
      <c r="D827" s="3">
        <v>-45501.63</v>
      </c>
      <c r="E827" s="3">
        <f t="shared" si="1"/>
        <v>-0.04080661474</v>
      </c>
      <c r="H827" s="15"/>
      <c r="I827" s="15"/>
      <c r="J827" s="1"/>
      <c r="K827" s="1"/>
      <c r="L827" s="1"/>
    </row>
    <row r="828" ht="15.75" customHeight="1">
      <c r="A828" s="15">
        <v>42314.0</v>
      </c>
      <c r="B828" s="3">
        <v>1076997.75</v>
      </c>
      <c r="C828" s="3">
        <v>12038.8</v>
      </c>
      <c r="D828" s="3">
        <v>-38057.5</v>
      </c>
      <c r="E828" s="3">
        <f t="shared" si="1"/>
        <v>-0.03413059577</v>
      </c>
      <c r="H828" s="15"/>
      <c r="I828" s="15"/>
      <c r="J828" s="1"/>
      <c r="K828" s="1"/>
      <c r="L828" s="1"/>
    </row>
    <row r="829" ht="15.75" customHeight="1">
      <c r="A829" s="15">
        <v>42321.0</v>
      </c>
      <c r="B829" s="3">
        <v>1061874.25</v>
      </c>
      <c r="C829" s="3">
        <v>12038.8</v>
      </c>
      <c r="D829" s="3">
        <v>-53181.0</v>
      </c>
      <c r="E829" s="3">
        <f t="shared" si="1"/>
        <v>-0.04769360083</v>
      </c>
      <c r="H829" s="15"/>
      <c r="I829" s="15"/>
      <c r="J829" s="1"/>
      <c r="K829" s="1"/>
      <c r="L829" s="1"/>
    </row>
    <row r="830" ht="15.75" customHeight="1">
      <c r="A830" s="15">
        <v>42328.0</v>
      </c>
      <c r="B830" s="3">
        <v>1115836.0</v>
      </c>
      <c r="C830" s="3">
        <v>12038.8</v>
      </c>
      <c r="D830" s="3">
        <v>0.0</v>
      </c>
      <c r="E830" s="3">
        <f t="shared" si="1"/>
        <v>0</v>
      </c>
      <c r="H830" s="15"/>
      <c r="I830" s="15"/>
      <c r="J830" s="1"/>
      <c r="K830" s="1"/>
      <c r="L830" s="1"/>
    </row>
    <row r="831" ht="15.75" customHeight="1">
      <c r="A831" s="15">
        <v>42335.0</v>
      </c>
      <c r="B831" s="3">
        <v>1113356.38</v>
      </c>
      <c r="C831" s="3">
        <v>12038.8</v>
      </c>
      <c r="D831" s="3">
        <v>-2479.63</v>
      </c>
      <c r="E831" s="3">
        <f t="shared" si="1"/>
        <v>-0.002222217243</v>
      </c>
      <c r="H831" s="15"/>
      <c r="I831" s="15"/>
      <c r="J831" s="1"/>
      <c r="K831" s="1"/>
      <c r="L831" s="1"/>
    </row>
    <row r="832" ht="15.75" customHeight="1">
      <c r="A832" s="15">
        <v>42342.0</v>
      </c>
      <c r="B832" s="3">
        <v>1096520.75</v>
      </c>
      <c r="C832" s="3">
        <v>12038.8</v>
      </c>
      <c r="D832" s="3">
        <v>-19315.25</v>
      </c>
      <c r="E832" s="3">
        <f t="shared" si="1"/>
        <v>-0.01731011546</v>
      </c>
      <c r="H832" s="15"/>
      <c r="I832" s="15"/>
      <c r="J832" s="1"/>
      <c r="K832" s="1"/>
      <c r="L832" s="1"/>
    </row>
    <row r="833" ht="15.75" customHeight="1">
      <c r="A833" s="15">
        <v>42349.0</v>
      </c>
      <c r="B833" s="3">
        <v>1091046.5</v>
      </c>
      <c r="C833" s="3">
        <v>12038.8</v>
      </c>
      <c r="D833" s="3">
        <v>-24789.5</v>
      </c>
      <c r="E833" s="3">
        <f t="shared" si="1"/>
        <v>-0.02221607835</v>
      </c>
      <c r="H833" s="15"/>
      <c r="I833" s="15"/>
      <c r="J833" s="1"/>
      <c r="K833" s="1"/>
      <c r="L833" s="1"/>
    </row>
    <row r="834" ht="15.75" customHeight="1">
      <c r="A834" s="15">
        <v>42356.0</v>
      </c>
      <c r="B834" s="3">
        <v>1108201.63</v>
      </c>
      <c r="C834" s="3">
        <v>71311.02</v>
      </c>
      <c r="D834" s="3">
        <v>-7634.38</v>
      </c>
      <c r="E834" s="3">
        <f t="shared" si="1"/>
        <v>-0.006841847727</v>
      </c>
      <c r="H834" s="15"/>
      <c r="I834" s="15"/>
      <c r="J834" s="1"/>
      <c r="K834" s="1"/>
      <c r="L834" s="1"/>
    </row>
    <row r="835" ht="15.75" customHeight="1">
      <c r="A835" s="15">
        <v>42362.0</v>
      </c>
      <c r="B835" s="3">
        <v>1114788.13</v>
      </c>
      <c r="C835" s="3">
        <v>71311.02</v>
      </c>
      <c r="D835" s="3">
        <v>-1047.88</v>
      </c>
      <c r="E835" s="3">
        <f t="shared" si="1"/>
        <v>-0.0009390985772</v>
      </c>
      <c r="H835" s="15"/>
      <c r="I835" s="15"/>
      <c r="J835" s="1"/>
      <c r="K835" s="1"/>
      <c r="L835" s="1"/>
    </row>
    <row r="836" ht="15.75" customHeight="1">
      <c r="A836" s="15">
        <v>42369.0</v>
      </c>
      <c r="B836" s="3">
        <v>1128386.13</v>
      </c>
      <c r="C836" s="3">
        <v>7255.1</v>
      </c>
      <c r="D836" s="3">
        <v>0.0</v>
      </c>
      <c r="E836" s="3">
        <f t="shared" si="1"/>
        <v>0</v>
      </c>
      <c r="H836" s="15"/>
      <c r="I836" s="15"/>
      <c r="J836" s="1"/>
      <c r="K836" s="1"/>
      <c r="L836" s="1"/>
    </row>
    <row r="837" ht="15.75" customHeight="1">
      <c r="A837" s="15">
        <v>42377.0</v>
      </c>
      <c r="B837" s="3">
        <v>1075060.63</v>
      </c>
      <c r="C837" s="3">
        <v>7255.1</v>
      </c>
      <c r="D837" s="3">
        <v>-53325.5</v>
      </c>
      <c r="E837" s="3">
        <f t="shared" si="1"/>
        <v>-0.0472582023</v>
      </c>
      <c r="H837" s="15"/>
      <c r="I837" s="15"/>
      <c r="J837" s="1"/>
      <c r="K837" s="1"/>
      <c r="L837" s="1"/>
    </row>
    <row r="838" ht="15.75" customHeight="1">
      <c r="A838" s="15">
        <v>42384.0</v>
      </c>
      <c r="B838" s="3">
        <v>1058442.25</v>
      </c>
      <c r="C838" s="3">
        <v>7255.1</v>
      </c>
      <c r="D838" s="3">
        <v>-69943.88</v>
      </c>
      <c r="E838" s="3">
        <f t="shared" si="1"/>
        <v>-0.06198576723</v>
      </c>
      <c r="H838" s="15"/>
      <c r="I838" s="15"/>
      <c r="J838" s="1"/>
      <c r="K838" s="1"/>
      <c r="L838" s="1"/>
    </row>
    <row r="839" ht="15.75" customHeight="1">
      <c r="A839" s="15">
        <v>42391.0</v>
      </c>
      <c r="B839" s="3">
        <v>1079990.88</v>
      </c>
      <c r="C839" s="3">
        <v>75316.59</v>
      </c>
      <c r="D839" s="3">
        <v>-48395.25</v>
      </c>
      <c r="E839" s="3">
        <f t="shared" si="1"/>
        <v>-0.04288890896</v>
      </c>
      <c r="H839" s="15"/>
      <c r="I839" s="15"/>
      <c r="J839" s="1"/>
      <c r="K839" s="1"/>
      <c r="L839" s="1"/>
    </row>
    <row r="840" ht="15.75" customHeight="1">
      <c r="A840" s="15">
        <v>42398.0</v>
      </c>
      <c r="B840" s="3">
        <v>1089026.63</v>
      </c>
      <c r="C840" s="3">
        <v>358901.63</v>
      </c>
      <c r="D840" s="3">
        <v>-39359.5</v>
      </c>
      <c r="E840" s="3">
        <f t="shared" si="1"/>
        <v>-0.03488123343</v>
      </c>
      <c r="H840" s="15"/>
      <c r="I840" s="15"/>
      <c r="J840" s="1"/>
      <c r="K840" s="1"/>
      <c r="L840" s="1"/>
    </row>
    <row r="841" ht="15.75" customHeight="1">
      <c r="A841" s="15">
        <v>42405.0</v>
      </c>
      <c r="B841" s="3">
        <v>1078315.38</v>
      </c>
      <c r="C841" s="3">
        <v>358901.63</v>
      </c>
      <c r="D841" s="3">
        <v>-50070.75</v>
      </c>
      <c r="E841" s="3">
        <f t="shared" si="1"/>
        <v>-0.04437377301</v>
      </c>
      <c r="H841" s="15"/>
      <c r="I841" s="15"/>
      <c r="J841" s="1"/>
      <c r="K841" s="1"/>
      <c r="L841" s="1"/>
    </row>
    <row r="842" ht="15.75" customHeight="1">
      <c r="A842" s="15">
        <v>42412.0</v>
      </c>
      <c r="B842" s="3">
        <v>1077183.63</v>
      </c>
      <c r="C842" s="3">
        <v>358901.63</v>
      </c>
      <c r="D842" s="3">
        <v>-51202.5</v>
      </c>
      <c r="E842" s="3">
        <f t="shared" si="1"/>
        <v>-0.04537675414</v>
      </c>
      <c r="H842" s="15"/>
      <c r="I842" s="15"/>
      <c r="J842" s="1"/>
      <c r="K842" s="1"/>
      <c r="L842" s="1"/>
    </row>
    <row r="843" ht="15.75" customHeight="1">
      <c r="A843" s="15">
        <v>42419.0</v>
      </c>
      <c r="B843" s="3">
        <v>1087888.5</v>
      </c>
      <c r="C843" s="3">
        <v>438605.41</v>
      </c>
      <c r="D843" s="3">
        <v>-40497.63</v>
      </c>
      <c r="E843" s="3">
        <f t="shared" si="1"/>
        <v>-0.03588986866</v>
      </c>
      <c r="H843" s="15"/>
      <c r="I843" s="15"/>
      <c r="J843" s="1"/>
      <c r="K843" s="1"/>
      <c r="L843" s="1"/>
    </row>
    <row r="844" ht="15.75" customHeight="1">
      <c r="A844" s="15">
        <v>42426.0</v>
      </c>
      <c r="B844" s="3">
        <v>1087473.38</v>
      </c>
      <c r="C844" s="3">
        <v>530664.88</v>
      </c>
      <c r="D844" s="3">
        <v>-40912.75</v>
      </c>
      <c r="E844" s="3">
        <f t="shared" si="1"/>
        <v>-0.03625775691</v>
      </c>
      <c r="H844" s="15"/>
      <c r="I844" s="15"/>
      <c r="J844" s="1"/>
      <c r="K844" s="1"/>
      <c r="L844" s="1"/>
    </row>
    <row r="845" ht="15.75" customHeight="1">
      <c r="A845" s="15">
        <v>42433.0</v>
      </c>
      <c r="B845" s="3">
        <v>1093959.5</v>
      </c>
      <c r="C845" s="3">
        <v>606065.31</v>
      </c>
      <c r="D845" s="3">
        <v>-34426.63</v>
      </c>
      <c r="E845" s="3">
        <f t="shared" si="1"/>
        <v>-0.03050961819</v>
      </c>
      <c r="H845" s="15"/>
      <c r="I845" s="15"/>
      <c r="J845" s="1"/>
      <c r="K845" s="1"/>
      <c r="L845" s="1"/>
    </row>
    <row r="846" ht="15.75" customHeight="1">
      <c r="A846" s="15">
        <v>42440.0</v>
      </c>
      <c r="B846" s="3">
        <v>1089322.5</v>
      </c>
      <c r="C846" s="3">
        <v>57921.52</v>
      </c>
      <c r="D846" s="3">
        <v>-39063.63</v>
      </c>
      <c r="E846" s="3">
        <f t="shared" si="1"/>
        <v>-0.03461902709</v>
      </c>
      <c r="H846" s="15"/>
      <c r="I846" s="15"/>
      <c r="J846" s="1"/>
      <c r="K846" s="1"/>
      <c r="L846" s="1"/>
    </row>
    <row r="847" ht="15.75" customHeight="1">
      <c r="A847" s="15">
        <v>42447.0</v>
      </c>
      <c r="B847" s="3">
        <v>1085800.0</v>
      </c>
      <c r="C847" s="3">
        <v>57921.52</v>
      </c>
      <c r="D847" s="3">
        <v>-42586.13</v>
      </c>
      <c r="E847" s="3">
        <f t="shared" si="1"/>
        <v>-0.03774074217</v>
      </c>
      <c r="H847" s="15"/>
      <c r="I847" s="15"/>
      <c r="J847" s="1"/>
      <c r="K847" s="1"/>
      <c r="L847" s="1"/>
    </row>
    <row r="848" ht="15.75" customHeight="1">
      <c r="A848" s="15">
        <v>42453.0</v>
      </c>
      <c r="B848" s="3">
        <v>1094549.88</v>
      </c>
      <c r="C848" s="3">
        <v>57921.52</v>
      </c>
      <c r="D848" s="3">
        <v>-33836.25</v>
      </c>
      <c r="E848" s="3">
        <f t="shared" si="1"/>
        <v>-0.02998641077</v>
      </c>
      <c r="H848" s="15"/>
      <c r="I848" s="15"/>
      <c r="J848" s="1"/>
      <c r="K848" s="1"/>
      <c r="L848" s="1"/>
    </row>
    <row r="849" ht="15.75" customHeight="1">
      <c r="A849" s="15">
        <v>42461.0</v>
      </c>
      <c r="B849" s="3">
        <v>1092353.75</v>
      </c>
      <c r="C849" s="3">
        <v>57921.52</v>
      </c>
      <c r="D849" s="3">
        <v>-36032.38</v>
      </c>
      <c r="E849" s="3">
        <f t="shared" si="1"/>
        <v>-0.0319326683</v>
      </c>
      <c r="H849" s="15"/>
      <c r="I849" s="15"/>
      <c r="J849" s="1"/>
      <c r="K849" s="1"/>
      <c r="L849" s="1"/>
    </row>
    <row r="850" ht="15.75" customHeight="1">
      <c r="A850" s="15">
        <v>42468.0</v>
      </c>
      <c r="B850" s="3">
        <v>1077160.25</v>
      </c>
      <c r="C850" s="3">
        <v>57921.52</v>
      </c>
      <c r="D850" s="3">
        <v>-51225.88</v>
      </c>
      <c r="E850" s="3">
        <f t="shared" si="1"/>
        <v>-0.045397474</v>
      </c>
      <c r="H850" s="15"/>
      <c r="I850" s="15"/>
      <c r="J850" s="1"/>
      <c r="K850" s="1"/>
      <c r="L850" s="1"/>
    </row>
    <row r="851" ht="15.75" customHeight="1">
      <c r="A851" s="15">
        <v>42475.0</v>
      </c>
      <c r="B851" s="3">
        <v>1101822.63</v>
      </c>
      <c r="C851" s="3">
        <v>116519.01</v>
      </c>
      <c r="D851" s="3">
        <v>-26563.5</v>
      </c>
      <c r="E851" s="3">
        <f t="shared" si="1"/>
        <v>-0.02354114367</v>
      </c>
      <c r="H851" s="15"/>
      <c r="I851" s="15"/>
      <c r="J851" s="1"/>
      <c r="K851" s="1"/>
      <c r="L851" s="1"/>
    </row>
    <row r="852" ht="15.75" customHeight="1">
      <c r="A852" s="15">
        <v>42482.0</v>
      </c>
      <c r="B852" s="3">
        <v>1093156.63</v>
      </c>
      <c r="C852" s="3">
        <v>34711.91</v>
      </c>
      <c r="D852" s="3">
        <v>-35229.5</v>
      </c>
      <c r="E852" s="3">
        <f t="shared" si="1"/>
        <v>-0.03122113881</v>
      </c>
      <c r="H852" s="15"/>
      <c r="I852" s="15"/>
      <c r="J852" s="1"/>
      <c r="K852" s="1"/>
      <c r="L852" s="1"/>
    </row>
    <row r="853" ht="15.75" customHeight="1">
      <c r="A853" s="15">
        <v>42489.0</v>
      </c>
      <c r="B853" s="3">
        <v>1117269.88</v>
      </c>
      <c r="C853" s="3">
        <v>34711.91</v>
      </c>
      <c r="D853" s="3">
        <v>-11116.25</v>
      </c>
      <c r="E853" s="3">
        <f t="shared" si="1"/>
        <v>-0.00985145927</v>
      </c>
      <c r="H853" s="15"/>
      <c r="I853" s="15"/>
      <c r="J853" s="1"/>
      <c r="K853" s="1"/>
      <c r="L853" s="1"/>
    </row>
    <row r="854" ht="15.75" customHeight="1">
      <c r="A854" s="15">
        <v>42496.0</v>
      </c>
      <c r="B854" s="3">
        <v>1142413.5</v>
      </c>
      <c r="C854" s="3">
        <v>34711.91</v>
      </c>
      <c r="D854" s="3">
        <v>0.0</v>
      </c>
      <c r="E854" s="3">
        <f t="shared" si="1"/>
        <v>0</v>
      </c>
      <c r="H854" s="15"/>
      <c r="I854" s="15"/>
      <c r="J854" s="1"/>
      <c r="K854" s="1"/>
      <c r="L854" s="1"/>
    </row>
    <row r="855" ht="15.75" customHeight="1">
      <c r="A855" s="15">
        <v>42503.0</v>
      </c>
      <c r="B855" s="3">
        <v>1122982.88</v>
      </c>
      <c r="C855" s="3">
        <v>34711.91</v>
      </c>
      <c r="D855" s="3">
        <v>-19430.63</v>
      </c>
      <c r="E855" s="3">
        <f t="shared" si="1"/>
        <v>-0.0170084037</v>
      </c>
      <c r="H855" s="15"/>
      <c r="I855" s="15"/>
      <c r="J855" s="1"/>
      <c r="K855" s="1"/>
      <c r="L855" s="1"/>
    </row>
    <row r="856" ht="15.75" customHeight="1">
      <c r="A856" s="15">
        <v>42510.0</v>
      </c>
      <c r="B856" s="3">
        <v>1128159.0</v>
      </c>
      <c r="C856" s="3">
        <v>34711.91</v>
      </c>
      <c r="D856" s="3">
        <v>-14254.5</v>
      </c>
      <c r="E856" s="3">
        <f t="shared" si="1"/>
        <v>-0.01247753112</v>
      </c>
      <c r="H856" s="15"/>
      <c r="I856" s="15"/>
      <c r="J856" s="1"/>
      <c r="K856" s="1"/>
      <c r="L856" s="1"/>
    </row>
    <row r="857" ht="15.75" customHeight="1">
      <c r="A857" s="15">
        <v>42517.0</v>
      </c>
      <c r="B857" s="3">
        <v>1137109.5</v>
      </c>
      <c r="C857" s="3">
        <v>34711.91</v>
      </c>
      <c r="D857" s="3">
        <v>-5304.0</v>
      </c>
      <c r="E857" s="3">
        <f t="shared" si="1"/>
        <v>-0.004642802278</v>
      </c>
      <c r="H857" s="15"/>
      <c r="I857" s="15"/>
      <c r="J857" s="1"/>
      <c r="K857" s="1"/>
      <c r="L857" s="1"/>
    </row>
    <row r="858" ht="15.75" customHeight="1">
      <c r="A858" s="15">
        <v>42524.0</v>
      </c>
      <c r="B858" s="3">
        <v>1143985.5</v>
      </c>
      <c r="C858" s="3">
        <v>15456.75</v>
      </c>
      <c r="D858" s="3">
        <v>0.0</v>
      </c>
      <c r="E858" s="3">
        <f t="shared" si="1"/>
        <v>0</v>
      </c>
      <c r="H858" s="15"/>
      <c r="I858" s="15"/>
      <c r="J858" s="1"/>
      <c r="K858" s="1"/>
      <c r="L858" s="1"/>
    </row>
    <row r="859" ht="15.75" customHeight="1">
      <c r="A859" s="15">
        <v>42531.0</v>
      </c>
      <c r="B859" s="3">
        <v>1140695.0</v>
      </c>
      <c r="C859" s="3">
        <v>15456.75</v>
      </c>
      <c r="D859" s="3">
        <v>-3290.5</v>
      </c>
      <c r="E859" s="3">
        <f t="shared" si="1"/>
        <v>-0.002876347646</v>
      </c>
      <c r="H859" s="15"/>
      <c r="I859" s="15"/>
      <c r="J859" s="1"/>
      <c r="K859" s="1"/>
      <c r="L859" s="1"/>
    </row>
    <row r="860" ht="15.75" customHeight="1">
      <c r="A860" s="15">
        <v>42538.0</v>
      </c>
      <c r="B860" s="3">
        <v>1116559.88</v>
      </c>
      <c r="C860" s="3">
        <v>15456.75</v>
      </c>
      <c r="D860" s="3">
        <v>-27425.63</v>
      </c>
      <c r="E860" s="3">
        <f t="shared" si="1"/>
        <v>-0.02397375666</v>
      </c>
      <c r="H860" s="15"/>
      <c r="I860" s="15"/>
      <c r="J860" s="1"/>
      <c r="K860" s="1"/>
      <c r="L860" s="1"/>
    </row>
    <row r="861" ht="15.75" customHeight="1">
      <c r="A861" s="15">
        <v>42545.0</v>
      </c>
      <c r="B861" s="3">
        <v>1109174.88</v>
      </c>
      <c r="C861" s="3">
        <v>15456.75</v>
      </c>
      <c r="D861" s="3">
        <v>-34810.63</v>
      </c>
      <c r="E861" s="3">
        <f t="shared" si="1"/>
        <v>-0.03042925806</v>
      </c>
      <c r="H861" s="15"/>
      <c r="I861" s="15"/>
      <c r="J861" s="1"/>
      <c r="K861" s="1"/>
      <c r="L861" s="1"/>
    </row>
    <row r="862" ht="15.75" customHeight="1">
      <c r="A862" s="15">
        <v>42552.0</v>
      </c>
      <c r="B862" s="3">
        <v>1132272.38</v>
      </c>
      <c r="C862" s="3">
        <v>216129.63</v>
      </c>
      <c r="D862" s="3">
        <v>-11713.13</v>
      </c>
      <c r="E862" s="3">
        <f t="shared" si="1"/>
        <v>-0.01023887978</v>
      </c>
      <c r="H862" s="15"/>
      <c r="I862" s="15"/>
      <c r="J862" s="1"/>
      <c r="K862" s="1"/>
      <c r="L862" s="1"/>
    </row>
    <row r="863" ht="15.75" customHeight="1">
      <c r="A863" s="15">
        <v>42559.0</v>
      </c>
      <c r="B863" s="3">
        <v>1160965.63</v>
      </c>
      <c r="C863" s="3">
        <v>216129.63</v>
      </c>
      <c r="D863" s="3">
        <v>0.0</v>
      </c>
      <c r="E863" s="3">
        <f t="shared" si="1"/>
        <v>0</v>
      </c>
      <c r="H863" s="15"/>
      <c r="I863" s="15"/>
      <c r="J863" s="1"/>
      <c r="K863" s="1"/>
      <c r="L863" s="1"/>
    </row>
    <row r="864" ht="15.75" customHeight="1">
      <c r="A864" s="15">
        <v>42566.0</v>
      </c>
      <c r="B864" s="3">
        <v>1210055.88</v>
      </c>
      <c r="C864" s="3">
        <v>69506.21</v>
      </c>
      <c r="D864" s="3">
        <v>0.0</v>
      </c>
      <c r="E864" s="3">
        <f t="shared" si="1"/>
        <v>0</v>
      </c>
      <c r="H864" s="15"/>
      <c r="I864" s="15"/>
      <c r="J864" s="1"/>
      <c r="K864" s="1"/>
      <c r="L864" s="1"/>
    </row>
    <row r="865" ht="15.75" customHeight="1">
      <c r="A865" s="15">
        <v>42573.0</v>
      </c>
      <c r="B865" s="3">
        <v>1220107.75</v>
      </c>
      <c r="C865" s="3">
        <v>69506.21</v>
      </c>
      <c r="D865" s="3">
        <v>0.0</v>
      </c>
      <c r="E865" s="3">
        <f t="shared" si="1"/>
        <v>0</v>
      </c>
      <c r="H865" s="15"/>
      <c r="I865" s="15"/>
      <c r="J865" s="1"/>
      <c r="K865" s="1"/>
      <c r="L865" s="1"/>
    </row>
    <row r="866" ht="15.75" customHeight="1">
      <c r="A866" s="15">
        <v>42580.0</v>
      </c>
      <c r="B866" s="3">
        <v>1231160.88</v>
      </c>
      <c r="C866" s="3">
        <v>69506.21</v>
      </c>
      <c r="D866" s="3">
        <v>0.0</v>
      </c>
      <c r="E866" s="3">
        <f t="shared" si="1"/>
        <v>0</v>
      </c>
      <c r="H866" s="15"/>
      <c r="I866" s="15"/>
      <c r="J866" s="1"/>
      <c r="K866" s="1"/>
      <c r="L866" s="1"/>
    </row>
    <row r="867" ht="15.75" customHeight="1">
      <c r="A867" s="15">
        <v>42587.0</v>
      </c>
      <c r="B867" s="3">
        <v>1220989.13</v>
      </c>
      <c r="C867" s="3">
        <v>69506.21</v>
      </c>
      <c r="D867" s="3">
        <v>-10171.75</v>
      </c>
      <c r="E867" s="3">
        <f t="shared" si="1"/>
        <v>-0.008261917809</v>
      </c>
      <c r="H867" s="15"/>
      <c r="I867" s="15"/>
      <c r="J867" s="1"/>
      <c r="K867" s="1"/>
      <c r="L867" s="1"/>
    </row>
    <row r="868" ht="15.75" customHeight="1">
      <c r="A868" s="15">
        <v>42594.0</v>
      </c>
      <c r="B868" s="3">
        <v>1217131.88</v>
      </c>
      <c r="C868" s="3">
        <v>69506.21</v>
      </c>
      <c r="D868" s="3">
        <v>-14029.0</v>
      </c>
      <c r="E868" s="3">
        <f t="shared" si="1"/>
        <v>-0.01139493646</v>
      </c>
      <c r="H868" s="15"/>
      <c r="I868" s="15"/>
      <c r="J868" s="1"/>
      <c r="K868" s="1"/>
      <c r="L868" s="1"/>
    </row>
    <row r="869" ht="15.75" customHeight="1">
      <c r="A869" s="15">
        <v>42601.0</v>
      </c>
      <c r="B869" s="3">
        <v>1233677.88</v>
      </c>
      <c r="C869" s="3">
        <v>69506.21</v>
      </c>
      <c r="D869" s="3">
        <v>0.0</v>
      </c>
      <c r="E869" s="3">
        <f t="shared" si="1"/>
        <v>0</v>
      </c>
      <c r="H869" s="15"/>
      <c r="I869" s="15"/>
      <c r="J869" s="1"/>
      <c r="K869" s="1"/>
      <c r="L869" s="1"/>
    </row>
    <row r="870" ht="15.75" customHeight="1">
      <c r="A870" s="15">
        <v>42608.0</v>
      </c>
      <c r="B870" s="3">
        <v>1229733.25</v>
      </c>
      <c r="C870" s="3">
        <v>69506.21</v>
      </c>
      <c r="D870" s="3">
        <v>-3944.63</v>
      </c>
      <c r="E870" s="3">
        <f t="shared" si="1"/>
        <v>-0.003197455401</v>
      </c>
      <c r="H870" s="15"/>
      <c r="I870" s="15"/>
      <c r="J870" s="1"/>
      <c r="K870" s="1"/>
      <c r="L870" s="1"/>
    </row>
    <row r="871" ht="15.75" customHeight="1">
      <c r="A871" s="15">
        <v>42615.0</v>
      </c>
      <c r="B871" s="3">
        <v>1209082.88</v>
      </c>
      <c r="C871" s="3">
        <v>69506.21</v>
      </c>
      <c r="D871" s="3">
        <v>-24595.0</v>
      </c>
      <c r="E871" s="3">
        <f t="shared" si="1"/>
        <v>-0.01993632244</v>
      </c>
      <c r="H871" s="15"/>
      <c r="I871" s="15"/>
      <c r="J871" s="1"/>
      <c r="K871" s="1"/>
      <c r="L871" s="1"/>
    </row>
    <row r="872" ht="15.75" customHeight="1">
      <c r="A872" s="15">
        <v>42622.0</v>
      </c>
      <c r="B872" s="3">
        <v>1219070.63</v>
      </c>
      <c r="C872" s="3">
        <v>69506.21</v>
      </c>
      <c r="D872" s="3">
        <v>-14607.25</v>
      </c>
      <c r="E872" s="3">
        <f t="shared" si="1"/>
        <v>-0.01184040845</v>
      </c>
      <c r="H872" s="15"/>
      <c r="I872" s="15"/>
      <c r="J872" s="1"/>
      <c r="K872" s="1"/>
      <c r="L872" s="1"/>
    </row>
    <row r="873" ht="15.75" customHeight="1">
      <c r="A873" s="15">
        <v>42629.0</v>
      </c>
      <c r="B873" s="3">
        <v>1225949.25</v>
      </c>
      <c r="C873" s="3">
        <v>227883.63</v>
      </c>
      <c r="D873" s="3">
        <v>-7728.63</v>
      </c>
      <c r="E873" s="3">
        <f t="shared" si="1"/>
        <v>-0.006264706635</v>
      </c>
      <c r="H873" s="15"/>
      <c r="I873" s="15"/>
      <c r="J873" s="1"/>
      <c r="K873" s="1"/>
      <c r="L873" s="1"/>
    </row>
    <row r="874" ht="15.75" customHeight="1">
      <c r="A874" s="15">
        <v>42636.0</v>
      </c>
      <c r="B874" s="3">
        <v>1218359.13</v>
      </c>
      <c r="C874" s="3">
        <v>227883.63</v>
      </c>
      <c r="D874" s="3">
        <v>-15318.75</v>
      </c>
      <c r="E874" s="3">
        <f t="shared" si="1"/>
        <v>-0.01241713923</v>
      </c>
      <c r="H874" s="15"/>
      <c r="I874" s="15"/>
      <c r="J874" s="1"/>
      <c r="K874" s="1"/>
      <c r="L874" s="1"/>
    </row>
    <row r="875" ht="15.75" customHeight="1">
      <c r="A875" s="15">
        <v>42643.0</v>
      </c>
      <c r="B875" s="3">
        <v>1225131.5</v>
      </c>
      <c r="C875" s="3">
        <v>150193.36</v>
      </c>
      <c r="D875" s="3">
        <v>-8546.38</v>
      </c>
      <c r="E875" s="3">
        <f t="shared" si="1"/>
        <v>-0.006927561999</v>
      </c>
      <c r="H875" s="15"/>
      <c r="I875" s="15"/>
      <c r="J875" s="1"/>
      <c r="K875" s="1"/>
      <c r="L875" s="1"/>
    </row>
    <row r="876" ht="15.75" customHeight="1">
      <c r="A876" s="15">
        <v>42650.0</v>
      </c>
      <c r="B876" s="3">
        <v>1252828.38</v>
      </c>
      <c r="C876" s="3">
        <v>72884.75</v>
      </c>
      <c r="D876" s="3">
        <v>0.0</v>
      </c>
      <c r="E876" s="3">
        <f t="shared" si="1"/>
        <v>0</v>
      </c>
      <c r="H876" s="15"/>
      <c r="I876" s="15"/>
      <c r="J876" s="1"/>
      <c r="K876" s="1"/>
      <c r="L876" s="1"/>
    </row>
    <row r="877" ht="15.75" customHeight="1">
      <c r="A877" s="15">
        <v>42657.0</v>
      </c>
      <c r="B877" s="3">
        <v>1253610.13</v>
      </c>
      <c r="C877" s="3">
        <v>72884.75</v>
      </c>
      <c r="D877" s="3">
        <v>0.0</v>
      </c>
      <c r="E877" s="3">
        <f t="shared" si="1"/>
        <v>0</v>
      </c>
      <c r="H877" s="15"/>
      <c r="I877" s="15"/>
      <c r="J877" s="1"/>
      <c r="K877" s="1"/>
      <c r="L877" s="1"/>
    </row>
    <row r="878" ht="15.75" customHeight="1">
      <c r="A878" s="15">
        <v>42664.0</v>
      </c>
      <c r="B878" s="3">
        <v>1268077.88</v>
      </c>
      <c r="C878" s="3">
        <v>72884.75</v>
      </c>
      <c r="D878" s="3">
        <v>0.0</v>
      </c>
      <c r="E878" s="3">
        <f t="shared" si="1"/>
        <v>0</v>
      </c>
      <c r="H878" s="15"/>
      <c r="I878" s="15"/>
      <c r="J878" s="1"/>
      <c r="K878" s="1"/>
      <c r="L878" s="1"/>
    </row>
    <row r="879" ht="15.75" customHeight="1">
      <c r="A879" s="15">
        <v>42671.0</v>
      </c>
      <c r="B879" s="3">
        <v>1231180.5</v>
      </c>
      <c r="C879" s="3">
        <v>72884.75</v>
      </c>
      <c r="D879" s="3">
        <v>-36897.38</v>
      </c>
      <c r="E879" s="3">
        <f t="shared" si="1"/>
        <v>-0.029097093</v>
      </c>
      <c r="H879" s="15"/>
      <c r="I879" s="15"/>
      <c r="J879" s="1"/>
      <c r="K879" s="1"/>
      <c r="L879" s="1"/>
    </row>
    <row r="880" ht="15.75" customHeight="1">
      <c r="A880" s="15">
        <v>42678.0</v>
      </c>
      <c r="B880" s="3">
        <v>1200508.63</v>
      </c>
      <c r="C880" s="3">
        <v>72884.75</v>
      </c>
      <c r="D880" s="3">
        <v>-67569.25</v>
      </c>
      <c r="E880" s="3">
        <f t="shared" si="1"/>
        <v>-0.05328477932</v>
      </c>
      <c r="H880" s="15"/>
      <c r="I880" s="15"/>
      <c r="J880" s="1"/>
      <c r="K880" s="1"/>
      <c r="L880" s="1"/>
    </row>
    <row r="881" ht="15.75" customHeight="1">
      <c r="A881" s="15">
        <v>42685.0</v>
      </c>
      <c r="B881" s="3">
        <v>1214081.0</v>
      </c>
      <c r="C881" s="3">
        <v>221152.77</v>
      </c>
      <c r="D881" s="3">
        <v>-53996.88</v>
      </c>
      <c r="E881" s="3">
        <f t="shared" si="1"/>
        <v>-0.04258167487</v>
      </c>
      <c r="H881" s="15"/>
      <c r="I881" s="15"/>
      <c r="J881" s="1"/>
      <c r="K881" s="1"/>
      <c r="L881" s="1"/>
    </row>
    <row r="882" ht="15.75" customHeight="1">
      <c r="A882" s="15">
        <v>42692.0</v>
      </c>
      <c r="B882" s="3">
        <v>1163744.5</v>
      </c>
      <c r="C882" s="3">
        <v>284945.78</v>
      </c>
      <c r="D882" s="3">
        <v>-104333.38</v>
      </c>
      <c r="E882" s="3">
        <f t="shared" si="1"/>
        <v>-0.08227679202</v>
      </c>
      <c r="H882" s="15"/>
      <c r="I882" s="15"/>
      <c r="J882" s="1"/>
      <c r="K882" s="1"/>
      <c r="L882" s="1"/>
    </row>
    <row r="883" ht="15.75" customHeight="1">
      <c r="A883" s="15">
        <v>42699.0</v>
      </c>
      <c r="B883" s="3">
        <v>1175653.25</v>
      </c>
      <c r="C883" s="3">
        <v>284945.78</v>
      </c>
      <c r="D883" s="3">
        <v>-92424.63</v>
      </c>
      <c r="E883" s="3">
        <f t="shared" si="1"/>
        <v>-0.07288561015</v>
      </c>
      <c r="H883" s="15"/>
      <c r="I883" s="15"/>
      <c r="J883" s="1"/>
      <c r="K883" s="1"/>
      <c r="L883" s="1"/>
    </row>
    <row r="884" ht="15.75" customHeight="1">
      <c r="A884" s="15">
        <v>42706.0</v>
      </c>
      <c r="B884" s="3">
        <v>1167000.25</v>
      </c>
      <c r="C884" s="3">
        <v>51622.46</v>
      </c>
      <c r="D884" s="3">
        <v>-101077.63</v>
      </c>
      <c r="E884" s="3">
        <f t="shared" si="1"/>
        <v>-0.07970932353</v>
      </c>
      <c r="H884" s="15"/>
      <c r="I884" s="15"/>
      <c r="J884" s="1"/>
      <c r="K884" s="1"/>
      <c r="L884" s="1"/>
    </row>
    <row r="885" ht="15.75" customHeight="1">
      <c r="A885" s="15">
        <v>42713.0</v>
      </c>
      <c r="B885" s="3">
        <v>1182452.88</v>
      </c>
      <c r="C885" s="3">
        <v>51622.46</v>
      </c>
      <c r="D885" s="3">
        <v>-85625.0</v>
      </c>
      <c r="E885" s="3">
        <f t="shared" si="1"/>
        <v>-0.06752345526</v>
      </c>
      <c r="H885" s="15"/>
      <c r="I885" s="15"/>
      <c r="J885" s="1"/>
      <c r="K885" s="1"/>
      <c r="L885" s="1"/>
    </row>
    <row r="886" ht="15.75" customHeight="1">
      <c r="A886" s="15">
        <v>42720.0</v>
      </c>
      <c r="B886" s="3">
        <v>1167291.5</v>
      </c>
      <c r="C886" s="3">
        <v>51622.46</v>
      </c>
      <c r="D886" s="3">
        <v>-100786.38</v>
      </c>
      <c r="E886" s="3">
        <f t="shared" si="1"/>
        <v>-0.07947964521</v>
      </c>
      <c r="H886" s="15"/>
      <c r="I886" s="15"/>
      <c r="J886" s="1"/>
      <c r="K886" s="1"/>
      <c r="L886" s="1"/>
    </row>
    <row r="887" ht="15.75" customHeight="1">
      <c r="A887" s="15">
        <v>42727.0</v>
      </c>
      <c r="B887" s="3">
        <v>1182640.88</v>
      </c>
      <c r="C887" s="3">
        <v>51622.46</v>
      </c>
      <c r="D887" s="3">
        <v>-85437.0</v>
      </c>
      <c r="E887" s="3">
        <f t="shared" si="1"/>
        <v>-0.06737519938</v>
      </c>
      <c r="H887" s="15"/>
      <c r="I887" s="15"/>
      <c r="J887" s="1"/>
      <c r="K887" s="1"/>
      <c r="L887" s="1"/>
    </row>
    <row r="888" ht="15.75" customHeight="1">
      <c r="A888" s="15">
        <v>42734.0</v>
      </c>
      <c r="B888" s="3">
        <v>1200408.25</v>
      </c>
      <c r="C888" s="3">
        <v>51622.46</v>
      </c>
      <c r="D888" s="3">
        <v>-67669.63</v>
      </c>
      <c r="E888" s="3">
        <f t="shared" si="1"/>
        <v>-0.0533639385</v>
      </c>
      <c r="H888" s="15"/>
      <c r="I888" s="15"/>
      <c r="J888" s="1"/>
      <c r="K888" s="1"/>
      <c r="L888" s="1"/>
    </row>
    <row r="889" ht="15.75" customHeight="1">
      <c r="A889" s="15">
        <v>42741.0</v>
      </c>
      <c r="B889" s="3">
        <v>1208766.75</v>
      </c>
      <c r="C889" s="3">
        <v>51622.46</v>
      </c>
      <c r="D889" s="3">
        <v>-59311.13</v>
      </c>
      <c r="E889" s="3">
        <f t="shared" si="1"/>
        <v>-0.04677246637</v>
      </c>
      <c r="H889" s="15"/>
      <c r="I889" s="15"/>
      <c r="J889" s="1"/>
      <c r="K889" s="1"/>
      <c r="L889" s="1"/>
    </row>
    <row r="890" ht="15.75" customHeight="1">
      <c r="A890" s="15">
        <v>42748.0</v>
      </c>
      <c r="B890" s="3">
        <v>1198934.5</v>
      </c>
      <c r="C890" s="3">
        <v>51622.46</v>
      </c>
      <c r="D890" s="3">
        <v>-69143.38</v>
      </c>
      <c r="E890" s="3">
        <f t="shared" si="1"/>
        <v>-0.05452613052</v>
      </c>
      <c r="H890" s="15"/>
      <c r="I890" s="15"/>
      <c r="J890" s="1"/>
      <c r="K890" s="1"/>
      <c r="L890" s="1"/>
    </row>
    <row r="891" ht="15.75" customHeight="1">
      <c r="A891" s="15">
        <v>42755.0</v>
      </c>
      <c r="B891" s="3">
        <v>1193550.75</v>
      </c>
      <c r="C891" s="3">
        <v>51622.46</v>
      </c>
      <c r="D891" s="3">
        <v>-74527.13</v>
      </c>
      <c r="E891" s="3">
        <f t="shared" si="1"/>
        <v>-0.05877172938</v>
      </c>
      <c r="H891" s="15"/>
      <c r="I891" s="15"/>
      <c r="J891" s="1"/>
      <c r="K891" s="1"/>
      <c r="L891" s="1"/>
    </row>
    <row r="892" ht="15.75" customHeight="1">
      <c r="A892" s="15">
        <v>42762.0</v>
      </c>
      <c r="B892" s="3">
        <v>1222077.25</v>
      </c>
      <c r="C892" s="3">
        <v>51622.46</v>
      </c>
      <c r="D892" s="3">
        <v>-46000.63</v>
      </c>
      <c r="E892" s="3">
        <f t="shared" si="1"/>
        <v>-0.03627587132</v>
      </c>
      <c r="H892" s="15"/>
      <c r="I892" s="15"/>
      <c r="J892" s="1"/>
      <c r="K892" s="1"/>
      <c r="L892" s="1"/>
    </row>
    <row r="893" ht="15.75" customHeight="1">
      <c r="A893" s="15">
        <v>42769.0</v>
      </c>
      <c r="B893" s="3">
        <v>1189721.63</v>
      </c>
      <c r="C893" s="3">
        <v>35717.19</v>
      </c>
      <c r="D893" s="3">
        <v>-78356.25</v>
      </c>
      <c r="E893" s="3">
        <f t="shared" si="1"/>
        <v>-0.06179135464</v>
      </c>
      <c r="H893" s="15"/>
      <c r="I893" s="15"/>
      <c r="J893" s="1"/>
      <c r="K893" s="1"/>
      <c r="L893" s="1"/>
    </row>
    <row r="894" ht="15.75" customHeight="1">
      <c r="A894" s="15">
        <v>42776.0</v>
      </c>
      <c r="B894" s="3">
        <v>1208468.5</v>
      </c>
      <c r="C894" s="3">
        <v>35717.19</v>
      </c>
      <c r="D894" s="3">
        <v>-59609.38</v>
      </c>
      <c r="E894" s="3">
        <f t="shared" si="1"/>
        <v>-0.04700766486</v>
      </c>
      <c r="H894" s="15"/>
      <c r="I894" s="15"/>
      <c r="J894" s="1"/>
      <c r="K894" s="1"/>
      <c r="L894" s="1"/>
    </row>
    <row r="895" ht="15.75" customHeight="1">
      <c r="A895" s="15">
        <v>42783.0</v>
      </c>
      <c r="B895" s="3">
        <v>1203952.0</v>
      </c>
      <c r="C895" s="3">
        <v>35717.19</v>
      </c>
      <c r="D895" s="3">
        <v>-64125.88</v>
      </c>
      <c r="E895" s="3">
        <f t="shared" si="1"/>
        <v>-0.05056935462</v>
      </c>
      <c r="H895" s="15"/>
      <c r="I895" s="15"/>
      <c r="J895" s="1"/>
      <c r="K895" s="1"/>
      <c r="L895" s="1"/>
    </row>
    <row r="896" ht="15.75" customHeight="1">
      <c r="A896" s="15">
        <v>42790.0</v>
      </c>
      <c r="B896" s="3">
        <v>1208384.13</v>
      </c>
      <c r="C896" s="3">
        <v>35717.19</v>
      </c>
      <c r="D896" s="3">
        <v>-59693.75</v>
      </c>
      <c r="E896" s="3">
        <f t="shared" si="1"/>
        <v>-0.04707419863</v>
      </c>
      <c r="H896" s="15"/>
      <c r="I896" s="15"/>
      <c r="J896" s="1"/>
      <c r="K896" s="1"/>
      <c r="L896" s="1"/>
    </row>
    <row r="897" ht="15.75" customHeight="1">
      <c r="A897" s="15">
        <v>42797.0</v>
      </c>
      <c r="B897" s="3">
        <v>1204051.75</v>
      </c>
      <c r="C897" s="3">
        <v>35717.19</v>
      </c>
      <c r="D897" s="3">
        <v>-64026.13</v>
      </c>
      <c r="E897" s="3">
        <f t="shared" si="1"/>
        <v>-0.05049069226</v>
      </c>
      <c r="H897" s="15"/>
      <c r="I897" s="15"/>
      <c r="J897" s="1"/>
      <c r="K897" s="1"/>
      <c r="L897" s="1"/>
    </row>
    <row r="898" ht="15.75" customHeight="1">
      <c r="A898" s="15">
        <v>42804.0</v>
      </c>
      <c r="B898" s="3">
        <v>1218915.75</v>
      </c>
      <c r="C898" s="3">
        <v>10659.11</v>
      </c>
      <c r="D898" s="3">
        <v>-49162.13</v>
      </c>
      <c r="E898" s="3">
        <f t="shared" si="1"/>
        <v>-0.03876901472</v>
      </c>
      <c r="H898" s="15"/>
      <c r="I898" s="15"/>
      <c r="J898" s="1"/>
      <c r="K898" s="1"/>
      <c r="L898" s="1"/>
    </row>
    <row r="899" ht="15.75" customHeight="1">
      <c r="A899" s="15">
        <v>42811.0</v>
      </c>
      <c r="B899" s="3">
        <v>1228341.88</v>
      </c>
      <c r="C899" s="3">
        <v>10659.11</v>
      </c>
      <c r="D899" s="3">
        <v>-39736.0</v>
      </c>
      <c r="E899" s="3">
        <f t="shared" si="1"/>
        <v>-0.03133561481</v>
      </c>
      <c r="H899" s="15"/>
      <c r="I899" s="15"/>
      <c r="J899" s="1"/>
      <c r="K899" s="1"/>
      <c r="L899" s="1"/>
    </row>
    <row r="900" ht="15.75" customHeight="1">
      <c r="A900" s="15">
        <v>42818.0</v>
      </c>
      <c r="B900" s="3">
        <v>1231211.88</v>
      </c>
      <c r="C900" s="3">
        <v>10659.11</v>
      </c>
      <c r="D900" s="3">
        <v>-36866.0</v>
      </c>
      <c r="E900" s="3">
        <f t="shared" si="1"/>
        <v>-0.02907234688</v>
      </c>
      <c r="H900" s="15"/>
      <c r="I900" s="15"/>
      <c r="J900" s="1"/>
      <c r="K900" s="1"/>
      <c r="L900" s="1"/>
    </row>
    <row r="901" ht="15.75" customHeight="1">
      <c r="A901" s="15">
        <v>42825.0</v>
      </c>
      <c r="B901" s="3">
        <v>1247729.13</v>
      </c>
      <c r="C901" s="3">
        <v>10659.11</v>
      </c>
      <c r="D901" s="3">
        <v>-20348.75</v>
      </c>
      <c r="E901" s="3">
        <f t="shared" si="1"/>
        <v>-0.0160469245</v>
      </c>
      <c r="H901" s="15"/>
      <c r="I901" s="15"/>
      <c r="J901" s="1"/>
      <c r="K901" s="1"/>
      <c r="L901" s="1"/>
    </row>
    <row r="902" ht="15.75" customHeight="1">
      <c r="A902" s="15">
        <v>42832.0</v>
      </c>
      <c r="B902" s="3">
        <v>1247974.63</v>
      </c>
      <c r="C902" s="3">
        <v>10659.11</v>
      </c>
      <c r="D902" s="3">
        <v>-20103.25</v>
      </c>
      <c r="E902" s="3">
        <f t="shared" si="1"/>
        <v>-0.0158533244</v>
      </c>
      <c r="H902" s="15"/>
      <c r="I902" s="15"/>
      <c r="J902" s="1"/>
      <c r="K902" s="1"/>
      <c r="L902" s="1"/>
    </row>
    <row r="903" ht="15.75" customHeight="1">
      <c r="A903" s="15">
        <v>42838.0</v>
      </c>
      <c r="B903" s="3">
        <v>1246637.0</v>
      </c>
      <c r="C903" s="3">
        <v>10659.11</v>
      </c>
      <c r="D903" s="3">
        <v>-21440.88</v>
      </c>
      <c r="E903" s="3">
        <f t="shared" si="1"/>
        <v>-0.01690817286</v>
      </c>
      <c r="H903" s="15"/>
      <c r="I903" s="15"/>
      <c r="J903" s="1"/>
      <c r="K903" s="1"/>
      <c r="L903" s="1"/>
    </row>
    <row r="904" ht="15.75" customHeight="1">
      <c r="A904" s="15">
        <v>42846.0</v>
      </c>
      <c r="B904" s="3">
        <v>1253763.88</v>
      </c>
      <c r="C904" s="3">
        <v>10659.11</v>
      </c>
      <c r="D904" s="3">
        <v>-14314.0</v>
      </c>
      <c r="E904" s="3">
        <f t="shared" si="1"/>
        <v>-0.01128795023</v>
      </c>
      <c r="H904" s="15"/>
      <c r="I904" s="15"/>
      <c r="J904" s="1"/>
      <c r="K904" s="1"/>
      <c r="L904" s="1"/>
    </row>
    <row r="905" ht="15.75" customHeight="1">
      <c r="A905" s="15">
        <v>42853.0</v>
      </c>
      <c r="B905" s="3">
        <v>1280911.75</v>
      </c>
      <c r="C905" s="3">
        <v>10659.11</v>
      </c>
      <c r="D905" s="3">
        <v>0.0</v>
      </c>
      <c r="E905" s="3">
        <f t="shared" si="1"/>
        <v>0</v>
      </c>
      <c r="H905" s="15"/>
      <c r="I905" s="15"/>
      <c r="J905" s="1"/>
      <c r="K905" s="1"/>
      <c r="L905" s="1"/>
    </row>
    <row r="906" ht="15.75" customHeight="1">
      <c r="A906" s="15">
        <v>42860.0</v>
      </c>
      <c r="B906" s="3">
        <v>1267721.13</v>
      </c>
      <c r="C906" s="3">
        <v>10659.11</v>
      </c>
      <c r="D906" s="3">
        <v>-13190.63</v>
      </c>
      <c r="E906" s="3">
        <f t="shared" si="1"/>
        <v>-0.01029784448</v>
      </c>
      <c r="H906" s="15"/>
      <c r="I906" s="15"/>
      <c r="J906" s="1"/>
      <c r="K906" s="1"/>
      <c r="L906" s="1"/>
    </row>
    <row r="907" ht="15.75" customHeight="1">
      <c r="A907" s="15">
        <v>42867.0</v>
      </c>
      <c r="B907" s="3">
        <v>1287324.25</v>
      </c>
      <c r="C907" s="3">
        <v>10659.11</v>
      </c>
      <c r="D907" s="3">
        <v>0.0</v>
      </c>
      <c r="E907" s="3">
        <f t="shared" si="1"/>
        <v>0</v>
      </c>
      <c r="H907" s="15"/>
      <c r="I907" s="15"/>
      <c r="J907" s="1"/>
      <c r="K907" s="1"/>
      <c r="L907" s="1"/>
    </row>
    <row r="908" ht="15.75" customHeight="1">
      <c r="A908" s="15">
        <v>42874.0</v>
      </c>
      <c r="B908" s="3">
        <v>1257639.5</v>
      </c>
      <c r="C908" s="3">
        <v>10659.11</v>
      </c>
      <c r="D908" s="3">
        <v>-29684.75</v>
      </c>
      <c r="E908" s="3">
        <f t="shared" si="1"/>
        <v>-0.02305926421</v>
      </c>
      <c r="H908" s="15"/>
      <c r="I908" s="15"/>
      <c r="J908" s="1"/>
      <c r="K908" s="1"/>
      <c r="L908" s="1"/>
    </row>
    <row r="909" ht="15.75" customHeight="1">
      <c r="A909" s="15">
        <v>42881.0</v>
      </c>
      <c r="B909" s="3">
        <v>1269058.5</v>
      </c>
      <c r="C909" s="3">
        <v>10659.11</v>
      </c>
      <c r="D909" s="3">
        <v>-18265.75</v>
      </c>
      <c r="E909" s="3">
        <f t="shared" si="1"/>
        <v>-0.01418892715</v>
      </c>
      <c r="H909" s="15"/>
      <c r="I909" s="15"/>
      <c r="J909" s="1"/>
      <c r="K909" s="1"/>
      <c r="L909" s="1"/>
    </row>
    <row r="910" ht="15.75" customHeight="1">
      <c r="A910" s="15">
        <v>42888.0</v>
      </c>
      <c r="B910" s="3">
        <v>1282949.63</v>
      </c>
      <c r="C910" s="3">
        <v>209275.27</v>
      </c>
      <c r="D910" s="3">
        <v>-4374.63</v>
      </c>
      <c r="E910" s="3">
        <f t="shared" si="1"/>
        <v>-0.003398234749</v>
      </c>
      <c r="H910" s="15"/>
      <c r="I910" s="15"/>
      <c r="J910" s="1"/>
      <c r="K910" s="1"/>
      <c r="L910" s="1"/>
    </row>
    <row r="911" ht="15.75" customHeight="1">
      <c r="A911" s="15">
        <v>42895.0</v>
      </c>
      <c r="B911" s="3">
        <v>1265367.25</v>
      </c>
      <c r="C911" s="3">
        <v>209275.27</v>
      </c>
      <c r="D911" s="3">
        <v>-21957.0</v>
      </c>
      <c r="E911" s="3">
        <f t="shared" si="1"/>
        <v>-0.01705630885</v>
      </c>
      <c r="H911" s="15"/>
      <c r="I911" s="15"/>
      <c r="J911" s="1"/>
      <c r="K911" s="1"/>
      <c r="L911" s="1"/>
    </row>
    <row r="912" ht="15.75" customHeight="1">
      <c r="A912" s="15">
        <v>42902.0</v>
      </c>
      <c r="B912" s="3">
        <v>1289128.63</v>
      </c>
      <c r="C912" s="3">
        <v>209275.27</v>
      </c>
      <c r="D912" s="3">
        <v>0.0</v>
      </c>
      <c r="E912" s="3">
        <f t="shared" si="1"/>
        <v>0</v>
      </c>
      <c r="H912" s="15"/>
      <c r="I912" s="15"/>
      <c r="J912" s="1"/>
      <c r="K912" s="1"/>
      <c r="L912" s="1"/>
    </row>
    <row r="913" ht="15.75" customHeight="1">
      <c r="A913" s="15">
        <v>42909.0</v>
      </c>
      <c r="B913" s="3">
        <v>1295460.88</v>
      </c>
      <c r="C913" s="3">
        <v>209275.27</v>
      </c>
      <c r="D913" s="3">
        <v>0.0</v>
      </c>
      <c r="E913" s="3">
        <f t="shared" si="1"/>
        <v>0</v>
      </c>
      <c r="H913" s="15"/>
      <c r="I913" s="15"/>
      <c r="J913" s="1"/>
      <c r="K913" s="1"/>
      <c r="L913" s="1"/>
    </row>
    <row r="914" ht="15.75" customHeight="1">
      <c r="A914" s="15">
        <v>42916.0</v>
      </c>
      <c r="B914" s="3">
        <v>1291432.0</v>
      </c>
      <c r="C914" s="3">
        <v>278970.28</v>
      </c>
      <c r="D914" s="3">
        <v>-4028.88</v>
      </c>
      <c r="E914" s="3">
        <f t="shared" si="1"/>
        <v>-0.003109997424</v>
      </c>
      <c r="H914" s="15"/>
      <c r="I914" s="15"/>
      <c r="J914" s="1"/>
      <c r="K914" s="1"/>
      <c r="L914" s="1"/>
    </row>
    <row r="915" ht="15.75" customHeight="1">
      <c r="A915" s="15">
        <v>42923.0</v>
      </c>
      <c r="B915" s="3">
        <v>1286402.13</v>
      </c>
      <c r="C915" s="3">
        <v>278970.28</v>
      </c>
      <c r="D915" s="3">
        <v>-9058.75</v>
      </c>
      <c r="E915" s="3">
        <f t="shared" si="1"/>
        <v>-0.006992685105</v>
      </c>
      <c r="H915" s="15"/>
      <c r="I915" s="15"/>
      <c r="J915" s="1"/>
      <c r="K915" s="1"/>
      <c r="L915" s="1"/>
    </row>
    <row r="916" ht="15.75" customHeight="1">
      <c r="A916" s="15">
        <v>42930.0</v>
      </c>
      <c r="B916" s="3">
        <v>1297005.25</v>
      </c>
      <c r="C916" s="3">
        <v>278970.28</v>
      </c>
      <c r="D916" s="3">
        <v>0.0</v>
      </c>
      <c r="E916" s="3">
        <f t="shared" si="1"/>
        <v>0</v>
      </c>
      <c r="H916" s="15"/>
      <c r="I916" s="15"/>
      <c r="J916" s="1"/>
      <c r="K916" s="1"/>
      <c r="L916" s="1"/>
    </row>
    <row r="917" ht="15.75" customHeight="1">
      <c r="A917" s="15">
        <v>42937.0</v>
      </c>
      <c r="B917" s="3">
        <v>1275398.38</v>
      </c>
      <c r="C917" s="3">
        <v>278970.28</v>
      </c>
      <c r="D917" s="3">
        <v>-21606.88</v>
      </c>
      <c r="E917" s="3">
        <f t="shared" si="1"/>
        <v>-0.01665905362</v>
      </c>
      <c r="H917" s="15"/>
      <c r="I917" s="15"/>
      <c r="J917" s="1"/>
      <c r="K917" s="1"/>
      <c r="L917" s="1"/>
    </row>
    <row r="918" ht="15.75" customHeight="1">
      <c r="A918" s="15">
        <v>42944.0</v>
      </c>
      <c r="B918" s="3">
        <v>1271268.75</v>
      </c>
      <c r="C918" s="3">
        <v>278970.28</v>
      </c>
      <c r="D918" s="3">
        <v>-25736.5</v>
      </c>
      <c r="E918" s="3">
        <f t="shared" si="1"/>
        <v>-0.01984301914</v>
      </c>
      <c r="H918" s="15"/>
      <c r="I918" s="15"/>
      <c r="J918" s="1"/>
      <c r="K918" s="1"/>
      <c r="L918" s="1"/>
    </row>
    <row r="919" ht="15.75" customHeight="1">
      <c r="A919" s="15">
        <v>42951.0</v>
      </c>
      <c r="B919" s="3">
        <v>1290121.0</v>
      </c>
      <c r="C919" s="3">
        <v>278970.28</v>
      </c>
      <c r="D919" s="3">
        <v>-6884.25</v>
      </c>
      <c r="E919" s="3">
        <f t="shared" si="1"/>
        <v>-0.005307804267</v>
      </c>
      <c r="H919" s="15"/>
      <c r="I919" s="15"/>
      <c r="J919" s="1"/>
      <c r="K919" s="1"/>
      <c r="L919" s="1"/>
    </row>
    <row r="920" ht="15.75" customHeight="1">
      <c r="A920" s="15">
        <v>42958.0</v>
      </c>
      <c r="B920" s="3">
        <v>1299671.38</v>
      </c>
      <c r="C920" s="3">
        <v>278970.28</v>
      </c>
      <c r="D920" s="3">
        <v>0.0</v>
      </c>
      <c r="E920" s="3">
        <f t="shared" si="1"/>
        <v>0</v>
      </c>
      <c r="H920" s="15"/>
      <c r="I920" s="15"/>
      <c r="J920" s="1"/>
      <c r="K920" s="1"/>
      <c r="L920" s="1"/>
    </row>
    <row r="921" ht="15.75" customHeight="1">
      <c r="A921" s="15">
        <v>42965.0</v>
      </c>
      <c r="B921" s="3">
        <v>1322875.13</v>
      </c>
      <c r="C921" s="3">
        <v>278970.28</v>
      </c>
      <c r="D921" s="3">
        <v>0.0</v>
      </c>
      <c r="E921" s="3">
        <f t="shared" si="1"/>
        <v>0</v>
      </c>
      <c r="H921" s="15"/>
      <c r="I921" s="15"/>
      <c r="J921" s="1"/>
      <c r="K921" s="1"/>
      <c r="L921" s="1"/>
    </row>
    <row r="922" ht="15.75" customHeight="1">
      <c r="A922" s="15">
        <v>42972.0</v>
      </c>
      <c r="B922" s="3">
        <v>1337049.0</v>
      </c>
      <c r="C922" s="3">
        <v>197281.61</v>
      </c>
      <c r="D922" s="3">
        <v>0.0</v>
      </c>
      <c r="E922" s="3">
        <f t="shared" si="1"/>
        <v>0</v>
      </c>
      <c r="H922" s="15"/>
      <c r="I922" s="15"/>
      <c r="J922" s="1"/>
      <c r="K922" s="1"/>
      <c r="L922" s="1"/>
    </row>
    <row r="923" ht="15.75" customHeight="1">
      <c r="A923" s="15">
        <v>42979.0</v>
      </c>
      <c r="B923" s="3">
        <v>1343066.25</v>
      </c>
      <c r="C923" s="3">
        <v>29780.66</v>
      </c>
      <c r="D923" s="3">
        <v>0.0</v>
      </c>
      <c r="E923" s="3">
        <f t="shared" si="1"/>
        <v>0</v>
      </c>
      <c r="H923" s="15"/>
      <c r="I923" s="15"/>
      <c r="J923" s="1"/>
      <c r="K923" s="1"/>
      <c r="L923" s="1"/>
    </row>
    <row r="924" ht="15.75" customHeight="1">
      <c r="A924" s="15">
        <v>42986.0</v>
      </c>
      <c r="B924" s="3">
        <v>1354051.25</v>
      </c>
      <c r="C924" s="3">
        <v>29780.66</v>
      </c>
      <c r="D924" s="3">
        <v>0.0</v>
      </c>
      <c r="E924" s="3">
        <f t="shared" si="1"/>
        <v>0</v>
      </c>
      <c r="H924" s="15"/>
      <c r="I924" s="15"/>
      <c r="J924" s="1"/>
      <c r="K924" s="1"/>
      <c r="L924" s="1"/>
    </row>
    <row r="925" ht="15.75" customHeight="1">
      <c r="A925" s="15">
        <v>42993.0</v>
      </c>
      <c r="B925" s="3">
        <v>1349341.88</v>
      </c>
      <c r="C925" s="3">
        <v>115171.99</v>
      </c>
      <c r="D925" s="3">
        <v>-4709.38</v>
      </c>
      <c r="E925" s="3">
        <f t="shared" si="1"/>
        <v>-0.003477992432</v>
      </c>
      <c r="H925" s="15"/>
      <c r="I925" s="15"/>
      <c r="J925" s="1"/>
      <c r="K925" s="1"/>
      <c r="L925" s="1"/>
    </row>
    <row r="926" ht="15.75" customHeight="1">
      <c r="A926" s="15">
        <v>43000.0</v>
      </c>
      <c r="B926" s="3">
        <v>1358298.38</v>
      </c>
      <c r="C926" s="3">
        <v>115171.99</v>
      </c>
      <c r="D926" s="3">
        <v>0.0</v>
      </c>
      <c r="E926" s="3">
        <f t="shared" si="1"/>
        <v>0</v>
      </c>
      <c r="H926" s="15"/>
      <c r="I926" s="15"/>
      <c r="J926" s="1"/>
      <c r="K926" s="1"/>
      <c r="L926" s="1"/>
    </row>
    <row r="927" ht="15.75" customHeight="1">
      <c r="A927" s="15">
        <v>43007.0</v>
      </c>
      <c r="B927" s="3">
        <v>1362944.88</v>
      </c>
      <c r="C927" s="3">
        <v>115171.99</v>
      </c>
      <c r="D927" s="3">
        <v>0.0</v>
      </c>
      <c r="E927" s="3">
        <f t="shared" si="1"/>
        <v>0</v>
      </c>
      <c r="H927" s="15"/>
      <c r="I927" s="15"/>
      <c r="J927" s="1"/>
      <c r="K927" s="1"/>
      <c r="L927" s="1"/>
    </row>
    <row r="928" ht="15.75" customHeight="1">
      <c r="A928" s="15">
        <v>43014.0</v>
      </c>
      <c r="B928" s="3">
        <v>1409699.13</v>
      </c>
      <c r="C928" s="3">
        <v>115171.99</v>
      </c>
      <c r="D928" s="3">
        <v>0.0</v>
      </c>
      <c r="E928" s="3">
        <f t="shared" si="1"/>
        <v>0</v>
      </c>
      <c r="H928" s="15"/>
      <c r="I928" s="15"/>
      <c r="J928" s="1"/>
      <c r="K928" s="1"/>
      <c r="L928" s="1"/>
    </row>
    <row r="929" ht="15.75" customHeight="1">
      <c r="A929" s="15">
        <v>43021.0</v>
      </c>
      <c r="B929" s="3">
        <v>1451806.38</v>
      </c>
      <c r="C929" s="3">
        <v>186639.05</v>
      </c>
      <c r="D929" s="3">
        <v>0.0</v>
      </c>
      <c r="E929" s="3">
        <f t="shared" si="1"/>
        <v>0</v>
      </c>
      <c r="H929" s="15"/>
      <c r="I929" s="15"/>
      <c r="J929" s="1"/>
      <c r="K929" s="1"/>
      <c r="L929" s="1"/>
    </row>
    <row r="930" ht="15.75" customHeight="1">
      <c r="A930" s="15">
        <v>43028.0</v>
      </c>
      <c r="B930" s="3">
        <v>1484859.5</v>
      </c>
      <c r="C930" s="3">
        <v>4174.71</v>
      </c>
      <c r="D930" s="3">
        <v>0.0</v>
      </c>
      <c r="E930" s="3">
        <f t="shared" si="1"/>
        <v>0</v>
      </c>
      <c r="H930" s="15"/>
      <c r="I930" s="15"/>
      <c r="J930" s="1"/>
      <c r="K930" s="1"/>
      <c r="L930" s="1"/>
    </row>
    <row r="931" ht="15.75" customHeight="1">
      <c r="A931" s="15">
        <v>43035.0</v>
      </c>
      <c r="B931" s="3">
        <v>1500446.25</v>
      </c>
      <c r="C931" s="3">
        <v>4174.71</v>
      </c>
      <c r="D931" s="3">
        <v>0.0</v>
      </c>
      <c r="E931" s="3">
        <f t="shared" si="1"/>
        <v>0</v>
      </c>
      <c r="H931" s="15"/>
      <c r="I931" s="15"/>
      <c r="J931" s="1"/>
      <c r="K931" s="1"/>
      <c r="L931" s="1"/>
    </row>
    <row r="932" ht="15.75" customHeight="1">
      <c r="A932" s="15">
        <v>43042.0</v>
      </c>
      <c r="B932" s="3">
        <v>1506451.38</v>
      </c>
      <c r="C932" s="3">
        <v>4174.71</v>
      </c>
      <c r="D932" s="3">
        <v>0.0</v>
      </c>
      <c r="E932" s="3">
        <f t="shared" si="1"/>
        <v>0</v>
      </c>
      <c r="H932" s="15"/>
      <c r="I932" s="15"/>
      <c r="J932" s="1"/>
      <c r="K932" s="1"/>
      <c r="L932" s="1"/>
    </row>
    <row r="933" ht="15.75" customHeight="1">
      <c r="A933" s="15">
        <v>43049.0</v>
      </c>
      <c r="B933" s="3">
        <v>1498810.25</v>
      </c>
      <c r="C933" s="3">
        <v>4174.71</v>
      </c>
      <c r="D933" s="3">
        <v>-7641.13</v>
      </c>
      <c r="E933" s="3">
        <f t="shared" si="1"/>
        <v>-0.005072271234</v>
      </c>
      <c r="H933" s="15"/>
      <c r="I933" s="15"/>
      <c r="J933" s="1"/>
      <c r="K933" s="1"/>
      <c r="L933" s="1"/>
    </row>
    <row r="934" ht="15.75" customHeight="1">
      <c r="A934" s="15">
        <v>43056.0</v>
      </c>
      <c r="B934" s="3">
        <v>1505987.5</v>
      </c>
      <c r="C934" s="3">
        <v>4174.71</v>
      </c>
      <c r="D934" s="3">
        <v>-463.88</v>
      </c>
      <c r="E934" s="3">
        <f t="shared" si="1"/>
        <v>-0.0003079289555</v>
      </c>
      <c r="H934" s="15"/>
      <c r="I934" s="15"/>
      <c r="J934" s="1"/>
      <c r="K934" s="1"/>
      <c r="L934" s="1"/>
    </row>
    <row r="935" ht="15.75" customHeight="1">
      <c r="A935" s="15">
        <v>43063.0</v>
      </c>
      <c r="B935" s="3">
        <v>1527987.75</v>
      </c>
      <c r="C935" s="3">
        <v>4174.71</v>
      </c>
      <c r="D935" s="3">
        <v>0.0</v>
      </c>
      <c r="E935" s="3">
        <f t="shared" si="1"/>
        <v>0</v>
      </c>
      <c r="H935" s="15"/>
      <c r="I935" s="15"/>
      <c r="J935" s="1"/>
      <c r="K935" s="1"/>
      <c r="L935" s="1"/>
    </row>
    <row r="936" ht="15.75" customHeight="1">
      <c r="A936" s="15">
        <v>43070.0</v>
      </c>
      <c r="B936" s="3">
        <v>1535437.63</v>
      </c>
      <c r="C936" s="3">
        <v>4174.71</v>
      </c>
      <c r="D936" s="3">
        <v>0.0</v>
      </c>
      <c r="E936" s="3">
        <f t="shared" si="1"/>
        <v>0</v>
      </c>
      <c r="H936" s="15"/>
      <c r="I936" s="15"/>
      <c r="J936" s="1"/>
      <c r="K936" s="1"/>
      <c r="L936" s="1"/>
    </row>
    <row r="937" ht="15.75" customHeight="1">
      <c r="A937" s="15">
        <v>43077.0</v>
      </c>
      <c r="B937" s="3">
        <v>1508500.38</v>
      </c>
      <c r="C937" s="3">
        <v>4174.71</v>
      </c>
      <c r="D937" s="3">
        <v>-26937.25</v>
      </c>
      <c r="E937" s="3">
        <f t="shared" si="1"/>
        <v>-0.01754369534</v>
      </c>
      <c r="H937" s="15"/>
      <c r="I937" s="15"/>
      <c r="J937" s="1"/>
      <c r="K937" s="1"/>
      <c r="L937" s="1"/>
    </row>
    <row r="938" ht="15.75" customHeight="1">
      <c r="A938" s="15">
        <v>43084.0</v>
      </c>
      <c r="B938" s="3">
        <v>1512297.88</v>
      </c>
      <c r="C938" s="3">
        <v>4174.71</v>
      </c>
      <c r="D938" s="3">
        <v>-23139.75</v>
      </c>
      <c r="E938" s="3">
        <f t="shared" si="1"/>
        <v>-0.0150704591</v>
      </c>
      <c r="H938" s="15"/>
      <c r="I938" s="15"/>
      <c r="J938" s="1"/>
      <c r="K938" s="1"/>
      <c r="L938" s="1"/>
    </row>
    <row r="939" ht="15.75" customHeight="1">
      <c r="A939" s="15">
        <v>43091.0</v>
      </c>
      <c r="B939" s="3">
        <v>1553533.13</v>
      </c>
      <c r="C939" s="3">
        <v>4174.71</v>
      </c>
      <c r="D939" s="3">
        <v>0.0</v>
      </c>
      <c r="E939" s="3">
        <f t="shared" si="1"/>
        <v>0</v>
      </c>
      <c r="H939" s="15"/>
      <c r="I939" s="15"/>
      <c r="J939" s="1"/>
      <c r="K939" s="1"/>
      <c r="L939" s="1"/>
    </row>
    <row r="940" ht="15.75" customHeight="1">
      <c r="A940" s="15">
        <v>43098.0</v>
      </c>
      <c r="B940" s="3">
        <v>1545125.75</v>
      </c>
      <c r="C940" s="3">
        <v>4174.71</v>
      </c>
      <c r="D940" s="3">
        <v>-8407.38</v>
      </c>
      <c r="E940" s="3">
        <f t="shared" si="1"/>
        <v>-0.005411780308</v>
      </c>
      <c r="H940" s="15"/>
      <c r="I940" s="15"/>
      <c r="J940" s="1"/>
      <c r="K940" s="1"/>
      <c r="L940" s="1"/>
    </row>
    <row r="941" ht="15.75" customHeight="1">
      <c r="A941" s="15">
        <v>43105.0</v>
      </c>
      <c r="B941" s="3">
        <v>1564296.75</v>
      </c>
      <c r="C941" s="3">
        <v>4174.71</v>
      </c>
      <c r="D941" s="3">
        <v>0.0</v>
      </c>
      <c r="E941" s="3">
        <f t="shared" si="1"/>
        <v>0</v>
      </c>
      <c r="H941" s="15"/>
      <c r="I941" s="15"/>
      <c r="J941" s="1"/>
      <c r="K941" s="1"/>
      <c r="L941" s="1"/>
    </row>
    <row r="942" ht="15.75" customHeight="1">
      <c r="A942" s="15">
        <v>43112.0</v>
      </c>
      <c r="B942" s="3">
        <v>1537695.38</v>
      </c>
      <c r="C942" s="3">
        <v>4174.71</v>
      </c>
      <c r="D942" s="3">
        <v>-26601.38</v>
      </c>
      <c r="E942" s="3">
        <f t="shared" si="1"/>
        <v>-0.01700532843</v>
      </c>
      <c r="H942" s="15"/>
      <c r="I942" s="15"/>
      <c r="J942" s="1"/>
      <c r="K942" s="1"/>
      <c r="L942" s="1"/>
    </row>
    <row r="943" ht="15.75" customHeight="1">
      <c r="A943" s="15">
        <v>43119.0</v>
      </c>
      <c r="B943" s="3">
        <v>1533468.25</v>
      </c>
      <c r="C943" s="3">
        <v>74160.0</v>
      </c>
      <c r="D943" s="3">
        <v>-30828.5</v>
      </c>
      <c r="E943" s="3">
        <f t="shared" si="1"/>
        <v>-0.01970757786</v>
      </c>
      <c r="H943" s="15"/>
      <c r="I943" s="15"/>
      <c r="J943" s="1"/>
      <c r="K943" s="1"/>
      <c r="L943" s="1"/>
    </row>
    <row r="944" ht="15.75" customHeight="1">
      <c r="A944" s="15">
        <v>43125.0</v>
      </c>
      <c r="B944" s="3">
        <v>1575522.5</v>
      </c>
      <c r="C944" s="3">
        <v>74160.0</v>
      </c>
      <c r="D944" s="3">
        <v>0.0</v>
      </c>
      <c r="E944" s="3">
        <f t="shared" si="1"/>
        <v>0</v>
      </c>
      <c r="H944" s="15"/>
      <c r="I944" s="15"/>
      <c r="J944" s="1"/>
      <c r="K944" s="1"/>
      <c r="L944" s="1"/>
    </row>
    <row r="945" ht="15.75" customHeight="1">
      <c r="A945" s="15">
        <v>43133.0</v>
      </c>
      <c r="B945" s="3">
        <v>1580499.13</v>
      </c>
      <c r="C945" s="3">
        <v>74160.0</v>
      </c>
      <c r="D945" s="3">
        <v>0.0</v>
      </c>
      <c r="E945" s="3">
        <f t="shared" si="1"/>
        <v>0</v>
      </c>
      <c r="H945" s="15"/>
      <c r="I945" s="15"/>
      <c r="J945" s="1"/>
      <c r="K945" s="1"/>
      <c r="L945" s="1"/>
    </row>
    <row r="946" ht="15.75" customHeight="1">
      <c r="A946" s="15">
        <v>43140.0</v>
      </c>
      <c r="B946" s="3">
        <v>1508738.88</v>
      </c>
      <c r="C946" s="3">
        <v>74160.0</v>
      </c>
      <c r="D946" s="3">
        <v>-71760.25</v>
      </c>
      <c r="E946" s="3">
        <f t="shared" si="1"/>
        <v>-0.04540353654</v>
      </c>
      <c r="H946" s="15"/>
      <c r="I946" s="15"/>
      <c r="J946" s="1"/>
      <c r="K946" s="1"/>
      <c r="L946" s="1"/>
    </row>
    <row r="947" ht="15.75" customHeight="1">
      <c r="A947" s="15">
        <v>43147.0</v>
      </c>
      <c r="B947" s="3">
        <v>1534272.63</v>
      </c>
      <c r="C947" s="3">
        <v>74160.0</v>
      </c>
      <c r="D947" s="3">
        <v>-46226.5</v>
      </c>
      <c r="E947" s="3">
        <f t="shared" si="1"/>
        <v>-0.02924803888</v>
      </c>
      <c r="H947" s="15"/>
      <c r="I947" s="15"/>
      <c r="J947" s="1"/>
      <c r="K947" s="1"/>
      <c r="L947" s="1"/>
    </row>
    <row r="948" ht="15.75" customHeight="1">
      <c r="A948" s="15">
        <v>43154.0</v>
      </c>
      <c r="B948" s="3">
        <v>1637252.63</v>
      </c>
      <c r="C948" s="3">
        <v>456944.88</v>
      </c>
      <c r="D948" s="3">
        <v>0.0</v>
      </c>
      <c r="E948" s="3">
        <f t="shared" si="1"/>
        <v>0</v>
      </c>
      <c r="H948" s="15"/>
      <c r="I948" s="15"/>
      <c r="J948" s="1"/>
      <c r="K948" s="1"/>
      <c r="L948" s="1"/>
    </row>
    <row r="949" ht="15.75" customHeight="1">
      <c r="A949" s="15">
        <v>43161.0</v>
      </c>
      <c r="B949" s="3">
        <v>1624373.38</v>
      </c>
      <c r="C949" s="3">
        <v>535899.75</v>
      </c>
      <c r="D949" s="3">
        <v>-12879.25</v>
      </c>
      <c r="E949" s="3">
        <f t="shared" si="1"/>
        <v>-0.007866379179</v>
      </c>
      <c r="H949" s="15"/>
      <c r="I949" s="15"/>
      <c r="J949" s="1"/>
      <c r="K949" s="1"/>
      <c r="L949" s="1"/>
    </row>
    <row r="950" ht="15.75" customHeight="1">
      <c r="A950" s="15">
        <v>43168.0</v>
      </c>
      <c r="B950" s="3">
        <v>1640983.0</v>
      </c>
      <c r="C950" s="3">
        <v>913204.69</v>
      </c>
      <c r="D950" s="3">
        <v>0.0</v>
      </c>
      <c r="E950" s="3">
        <f t="shared" si="1"/>
        <v>0</v>
      </c>
      <c r="H950" s="15"/>
      <c r="I950" s="15"/>
      <c r="J950" s="1"/>
      <c r="K950" s="1"/>
      <c r="L950" s="1"/>
    </row>
    <row r="951" ht="15.75" customHeight="1">
      <c r="A951" s="15">
        <v>43175.0</v>
      </c>
      <c r="B951" s="3">
        <v>1633179.75</v>
      </c>
      <c r="C951" s="3">
        <v>1014160.69</v>
      </c>
      <c r="D951" s="3">
        <v>-7803.25</v>
      </c>
      <c r="E951" s="3">
        <f t="shared" si="1"/>
        <v>-0.00475522903</v>
      </c>
      <c r="H951" s="15"/>
      <c r="I951" s="15"/>
      <c r="J951" s="1"/>
      <c r="K951" s="1"/>
      <c r="L951" s="1"/>
    </row>
    <row r="952" ht="15.75" customHeight="1">
      <c r="A952" s="15">
        <v>43182.0</v>
      </c>
      <c r="B952" s="3">
        <v>1644140.0</v>
      </c>
      <c r="C952" s="3">
        <v>1014160.69</v>
      </c>
      <c r="D952" s="3">
        <v>0.0</v>
      </c>
      <c r="E952" s="3">
        <f t="shared" si="1"/>
        <v>0</v>
      </c>
      <c r="H952" s="15"/>
      <c r="I952" s="15"/>
      <c r="J952" s="1"/>
      <c r="K952" s="1"/>
      <c r="L952" s="1"/>
    </row>
    <row r="953" ht="15.75" customHeight="1">
      <c r="A953" s="15">
        <v>43188.0</v>
      </c>
      <c r="B953" s="3">
        <v>1629052.88</v>
      </c>
      <c r="C953" s="3">
        <v>1014160.69</v>
      </c>
      <c r="D953" s="3">
        <v>-15087.13</v>
      </c>
      <c r="E953" s="3">
        <f t="shared" si="1"/>
        <v>-0.009176304938</v>
      </c>
      <c r="H953" s="15"/>
      <c r="I953" s="15"/>
      <c r="J953" s="1"/>
      <c r="K953" s="1"/>
      <c r="L953" s="1"/>
    </row>
    <row r="954" ht="15.75" customHeight="1">
      <c r="A954" s="15">
        <v>43196.0</v>
      </c>
      <c r="B954" s="3">
        <v>1634818.0</v>
      </c>
      <c r="C954" s="3">
        <v>1014160.69</v>
      </c>
      <c r="D954" s="3">
        <v>-9322.0</v>
      </c>
      <c r="E954" s="3">
        <f t="shared" si="1"/>
        <v>-0.005669833469</v>
      </c>
      <c r="H954" s="15"/>
      <c r="I954" s="15"/>
      <c r="J954" s="1"/>
      <c r="K954" s="1"/>
      <c r="L954" s="1"/>
    </row>
    <row r="955" ht="15.75" customHeight="1">
      <c r="A955" s="15">
        <v>43203.0</v>
      </c>
      <c r="B955" s="3">
        <v>1645433.63</v>
      </c>
      <c r="C955" s="3">
        <v>1014160.69</v>
      </c>
      <c r="D955" s="3">
        <v>0.0</v>
      </c>
      <c r="E955" s="3">
        <f t="shared" si="1"/>
        <v>0</v>
      </c>
      <c r="H955" s="15"/>
      <c r="I955" s="15"/>
      <c r="J955" s="1"/>
      <c r="K955" s="1"/>
      <c r="L955" s="1"/>
    </row>
    <row r="956" ht="15.75" customHeight="1">
      <c r="A956" s="15">
        <v>43210.0</v>
      </c>
      <c r="B956" s="3">
        <v>1657419.88</v>
      </c>
      <c r="C956" s="3">
        <v>1014160.69</v>
      </c>
      <c r="D956" s="3">
        <v>0.0</v>
      </c>
      <c r="E956" s="3">
        <f t="shared" si="1"/>
        <v>0</v>
      </c>
      <c r="H956" s="15"/>
      <c r="I956" s="15"/>
      <c r="J956" s="1"/>
      <c r="K956" s="1"/>
      <c r="L956" s="1"/>
    </row>
    <row r="957" ht="15.75" customHeight="1">
      <c r="A957" s="15">
        <v>43217.0</v>
      </c>
      <c r="B957" s="3">
        <v>1670138.75</v>
      </c>
      <c r="C957" s="3">
        <v>1014160.69</v>
      </c>
      <c r="D957" s="3">
        <v>0.0</v>
      </c>
      <c r="E957" s="3">
        <f t="shared" si="1"/>
        <v>0</v>
      </c>
      <c r="H957" s="15"/>
      <c r="I957" s="15"/>
      <c r="J957" s="1"/>
      <c r="K957" s="1"/>
      <c r="L957" s="1"/>
    </row>
    <row r="958" ht="15.75" customHeight="1">
      <c r="A958" s="15">
        <v>43224.0</v>
      </c>
      <c r="B958" s="3">
        <v>1690664.13</v>
      </c>
      <c r="C958" s="3">
        <v>72607.26</v>
      </c>
      <c r="D958" s="3">
        <v>0.0</v>
      </c>
      <c r="E958" s="3">
        <f t="shared" si="1"/>
        <v>0</v>
      </c>
      <c r="H958" s="15"/>
      <c r="I958" s="15"/>
      <c r="J958" s="1"/>
      <c r="K958" s="1"/>
      <c r="L958" s="1"/>
    </row>
    <row r="959" ht="15.75" customHeight="1">
      <c r="A959" s="15">
        <v>43231.0</v>
      </c>
      <c r="B959" s="3">
        <v>1678575.13</v>
      </c>
      <c r="C959" s="3">
        <v>72607.26</v>
      </c>
      <c r="D959" s="3">
        <v>-12089.0</v>
      </c>
      <c r="E959" s="3">
        <f t="shared" si="1"/>
        <v>-0.007150444482</v>
      </c>
      <c r="H959" s="15"/>
      <c r="I959" s="15"/>
      <c r="J959" s="1"/>
      <c r="K959" s="1"/>
      <c r="L959" s="1"/>
    </row>
    <row r="960" ht="15.75" customHeight="1">
      <c r="A960" s="15">
        <v>43238.0</v>
      </c>
      <c r="B960" s="3">
        <v>1652109.63</v>
      </c>
      <c r="C960" s="3">
        <v>72607.26</v>
      </c>
      <c r="D960" s="3">
        <v>-38554.5</v>
      </c>
      <c r="E960" s="3">
        <f t="shared" si="1"/>
        <v>-0.02280435204</v>
      </c>
      <c r="H960" s="15"/>
      <c r="I960" s="15"/>
      <c r="J960" s="1"/>
      <c r="K960" s="1"/>
      <c r="L960" s="1"/>
    </row>
    <row r="961" ht="15.75" customHeight="1">
      <c r="A961" s="15">
        <v>43245.0</v>
      </c>
      <c r="B961" s="3">
        <v>1625088.0</v>
      </c>
      <c r="C961" s="3">
        <v>72607.26</v>
      </c>
      <c r="D961" s="3">
        <v>-65576.13</v>
      </c>
      <c r="E961" s="3">
        <f t="shared" si="1"/>
        <v>-0.03878720133</v>
      </c>
      <c r="H961" s="15"/>
      <c r="I961" s="15"/>
      <c r="J961" s="1"/>
      <c r="K961" s="1"/>
      <c r="L961" s="1"/>
    </row>
    <row r="962" ht="15.75" customHeight="1">
      <c r="A962" s="15">
        <v>43252.0</v>
      </c>
      <c r="B962" s="3">
        <v>1678902.5</v>
      </c>
      <c r="C962" s="3">
        <v>44185.64</v>
      </c>
      <c r="D962" s="3">
        <v>-11761.63</v>
      </c>
      <c r="E962" s="3">
        <f t="shared" si="1"/>
        <v>-0.006956810517</v>
      </c>
      <c r="H962" s="15"/>
      <c r="I962" s="15"/>
      <c r="J962" s="1"/>
      <c r="K962" s="1"/>
      <c r="L962" s="1"/>
    </row>
    <row r="963" ht="15.75" customHeight="1">
      <c r="A963" s="15">
        <v>43259.0</v>
      </c>
      <c r="B963" s="3">
        <v>1687870.63</v>
      </c>
      <c r="C963" s="3">
        <v>44185.64</v>
      </c>
      <c r="D963" s="3">
        <v>-2793.5</v>
      </c>
      <c r="E963" s="3">
        <f t="shared" si="1"/>
        <v>-0.001652309261</v>
      </c>
      <c r="H963" s="15"/>
      <c r="I963" s="15"/>
      <c r="J963" s="1"/>
      <c r="K963" s="1"/>
      <c r="L963" s="1"/>
    </row>
    <row r="964" ht="15.75" customHeight="1">
      <c r="A964" s="15">
        <v>43266.0</v>
      </c>
      <c r="B964" s="3">
        <v>1718556.63</v>
      </c>
      <c r="C964" s="3">
        <v>44185.64</v>
      </c>
      <c r="D964" s="3">
        <v>0.0</v>
      </c>
      <c r="E964" s="3">
        <f t="shared" si="1"/>
        <v>0</v>
      </c>
      <c r="H964" s="15"/>
      <c r="I964" s="15"/>
      <c r="J964" s="1"/>
      <c r="K964" s="1"/>
      <c r="L964" s="1"/>
    </row>
    <row r="965" ht="15.75" customHeight="1">
      <c r="A965" s="15">
        <v>43273.0</v>
      </c>
      <c r="B965" s="3">
        <v>1744853.63</v>
      </c>
      <c r="C965" s="3">
        <v>44185.64</v>
      </c>
      <c r="D965" s="3">
        <v>0.0</v>
      </c>
      <c r="E965" s="3">
        <f t="shared" si="1"/>
        <v>0</v>
      </c>
      <c r="H965" s="15"/>
      <c r="I965" s="15"/>
      <c r="J965" s="1"/>
      <c r="K965" s="1"/>
      <c r="L965" s="1"/>
    </row>
    <row r="966" ht="15.75" customHeight="1">
      <c r="A966" s="15">
        <v>43280.0</v>
      </c>
      <c r="B966" s="3">
        <v>1740004.5</v>
      </c>
      <c r="C966" s="3">
        <v>44185.64</v>
      </c>
      <c r="D966" s="3">
        <v>-4849.13</v>
      </c>
      <c r="E966" s="3">
        <f t="shared" si="1"/>
        <v>-0.00277910417</v>
      </c>
      <c r="H966" s="15"/>
      <c r="I966" s="15"/>
      <c r="J966" s="1"/>
      <c r="K966" s="1"/>
      <c r="L966" s="1"/>
    </row>
    <row r="967" ht="15.75" customHeight="1">
      <c r="A967" s="15">
        <v>43287.0</v>
      </c>
      <c r="B967" s="3">
        <v>1761903.38</v>
      </c>
      <c r="C967" s="3">
        <v>44185.64</v>
      </c>
      <c r="D967" s="3">
        <v>0.0</v>
      </c>
      <c r="E967" s="3">
        <f t="shared" si="1"/>
        <v>0</v>
      </c>
      <c r="H967" s="15"/>
      <c r="I967" s="15"/>
      <c r="J967" s="1"/>
      <c r="K967" s="1"/>
      <c r="L967" s="1"/>
    </row>
    <row r="968" ht="15.75" customHeight="1">
      <c r="A968" s="15">
        <v>43294.0</v>
      </c>
      <c r="B968" s="3">
        <v>1750480.25</v>
      </c>
      <c r="C968" s="3">
        <v>44185.64</v>
      </c>
      <c r="D968" s="3">
        <v>-11423.13</v>
      </c>
      <c r="E968" s="3">
        <f t="shared" si="1"/>
        <v>-0.006483403193</v>
      </c>
      <c r="H968" s="15"/>
      <c r="I968" s="15"/>
      <c r="J968" s="1"/>
      <c r="K968" s="1"/>
      <c r="L968" s="1"/>
    </row>
    <row r="969" ht="15.75" customHeight="1">
      <c r="A969" s="15">
        <v>43301.0</v>
      </c>
      <c r="B969" s="3">
        <v>1767428.88</v>
      </c>
      <c r="C969" s="3">
        <v>44185.64</v>
      </c>
      <c r="D969" s="3">
        <v>0.0</v>
      </c>
      <c r="E969" s="3">
        <f t="shared" si="1"/>
        <v>0</v>
      </c>
      <c r="H969" s="15"/>
      <c r="I969" s="15"/>
      <c r="J969" s="1"/>
      <c r="K969" s="1"/>
      <c r="L969" s="1"/>
    </row>
    <row r="970" ht="15.75" customHeight="1">
      <c r="A970" s="15">
        <v>43308.0</v>
      </c>
      <c r="B970" s="3">
        <v>1765299.0</v>
      </c>
      <c r="C970" s="3">
        <v>44185.64</v>
      </c>
      <c r="D970" s="3">
        <v>-2129.88</v>
      </c>
      <c r="E970" s="3">
        <f t="shared" si="1"/>
        <v>-0.001205072535</v>
      </c>
      <c r="H970" s="15"/>
      <c r="I970" s="15"/>
      <c r="J970" s="1"/>
      <c r="K970" s="1"/>
      <c r="L970" s="1"/>
    </row>
    <row r="971" ht="15.75" customHeight="1">
      <c r="A971" s="15">
        <v>43315.0</v>
      </c>
      <c r="B971" s="3">
        <v>1771811.0</v>
      </c>
      <c r="C971" s="3">
        <v>16228.38</v>
      </c>
      <c r="D971" s="3">
        <v>0.0</v>
      </c>
      <c r="E971" s="3">
        <f t="shared" si="1"/>
        <v>0</v>
      </c>
      <c r="H971" s="15"/>
      <c r="I971" s="15"/>
      <c r="J971" s="1"/>
      <c r="K971" s="1"/>
      <c r="L971" s="1"/>
    </row>
    <row r="972" ht="15.75" customHeight="1">
      <c r="A972" s="15">
        <v>43322.0</v>
      </c>
      <c r="B972" s="3">
        <v>1772285.5</v>
      </c>
      <c r="C972" s="3">
        <v>16228.38</v>
      </c>
      <c r="D972" s="3">
        <v>0.0</v>
      </c>
      <c r="E972" s="3">
        <f t="shared" si="1"/>
        <v>0</v>
      </c>
      <c r="H972" s="15"/>
      <c r="I972" s="15"/>
      <c r="J972" s="1"/>
      <c r="K972" s="1"/>
      <c r="L972" s="1"/>
    </row>
    <row r="973" ht="15.75" customHeight="1">
      <c r="A973" s="15">
        <v>43329.0</v>
      </c>
      <c r="B973" s="3">
        <v>1789627.13</v>
      </c>
      <c r="C973" s="3">
        <v>16228.38</v>
      </c>
      <c r="D973" s="3">
        <v>0.0</v>
      </c>
      <c r="E973" s="3">
        <f t="shared" si="1"/>
        <v>0</v>
      </c>
      <c r="H973" s="15"/>
      <c r="I973" s="15"/>
      <c r="J973" s="1"/>
      <c r="K973" s="1"/>
      <c r="L973" s="1"/>
    </row>
    <row r="974" ht="15.75" customHeight="1">
      <c r="A974" s="15">
        <v>43336.0</v>
      </c>
      <c r="B974" s="3">
        <v>1830877.38</v>
      </c>
      <c r="C974" s="3">
        <v>106922.6</v>
      </c>
      <c r="D974" s="3">
        <v>0.0</v>
      </c>
      <c r="E974" s="3">
        <f t="shared" si="1"/>
        <v>0</v>
      </c>
      <c r="H974" s="15"/>
      <c r="I974" s="15"/>
      <c r="J974" s="1"/>
      <c r="K974" s="1"/>
      <c r="L974" s="1"/>
    </row>
    <row r="975" ht="15.75" customHeight="1">
      <c r="A975" s="15">
        <v>43343.0</v>
      </c>
      <c r="B975" s="3">
        <v>1848116.0</v>
      </c>
      <c r="C975" s="3">
        <v>106922.6</v>
      </c>
      <c r="D975" s="3">
        <v>0.0</v>
      </c>
      <c r="E975" s="3">
        <f t="shared" si="1"/>
        <v>0</v>
      </c>
      <c r="H975" s="15"/>
      <c r="I975" s="15"/>
      <c r="J975" s="1"/>
      <c r="K975" s="1"/>
      <c r="L975" s="1"/>
    </row>
    <row r="976" ht="15.75" customHeight="1">
      <c r="A976" s="15">
        <v>43350.0</v>
      </c>
      <c r="B976" s="3">
        <v>1793803.63</v>
      </c>
      <c r="C976" s="3">
        <v>106922.6</v>
      </c>
      <c r="D976" s="3">
        <v>-54312.38</v>
      </c>
      <c r="E976" s="3">
        <f t="shared" si="1"/>
        <v>-0.02938797132</v>
      </c>
      <c r="H976" s="15"/>
      <c r="I976" s="15"/>
      <c r="J976" s="1"/>
      <c r="K976" s="1"/>
      <c r="L976" s="1"/>
    </row>
    <row r="977" ht="15.75" customHeight="1">
      <c r="A977" s="15">
        <v>43357.0</v>
      </c>
      <c r="B977" s="3">
        <v>1815085.88</v>
      </c>
      <c r="C977" s="3">
        <v>106922.6</v>
      </c>
      <c r="D977" s="3">
        <v>-33030.13</v>
      </c>
      <c r="E977" s="3">
        <f t="shared" si="1"/>
        <v>-0.01787232511</v>
      </c>
      <c r="H977" s="15"/>
      <c r="I977" s="15"/>
      <c r="J977" s="1"/>
      <c r="K977" s="1"/>
      <c r="L977" s="1"/>
    </row>
    <row r="978" ht="15.75" customHeight="1">
      <c r="A978" s="15">
        <v>43364.0</v>
      </c>
      <c r="B978" s="3">
        <v>1811945.75</v>
      </c>
      <c r="C978" s="3">
        <v>355872.22</v>
      </c>
      <c r="D978" s="3">
        <v>-36170.25</v>
      </c>
      <c r="E978" s="3">
        <f t="shared" si="1"/>
        <v>-0.01957141759</v>
      </c>
      <c r="H978" s="15"/>
      <c r="I978" s="15"/>
      <c r="J978" s="1"/>
      <c r="K978" s="1"/>
      <c r="L978" s="1"/>
    </row>
    <row r="979" ht="15.75" customHeight="1">
      <c r="A979" s="15">
        <v>43371.0</v>
      </c>
      <c r="B979" s="3">
        <v>1844938.75</v>
      </c>
      <c r="C979" s="3">
        <v>355872.22</v>
      </c>
      <c r="D979" s="3">
        <v>-3177.25</v>
      </c>
      <c r="E979" s="3">
        <f t="shared" si="1"/>
        <v>-0.001719183211</v>
      </c>
      <c r="H979" s="15"/>
      <c r="I979" s="15"/>
      <c r="J979" s="1"/>
      <c r="K979" s="1"/>
      <c r="L979" s="1"/>
    </row>
    <row r="980" ht="15.75" customHeight="1">
      <c r="A980" s="15">
        <v>43378.0</v>
      </c>
      <c r="B980" s="3">
        <v>1869522.88</v>
      </c>
      <c r="C980" s="3">
        <v>355872.22</v>
      </c>
      <c r="D980" s="3">
        <v>0.0</v>
      </c>
      <c r="E980" s="3">
        <f t="shared" si="1"/>
        <v>0</v>
      </c>
      <c r="H980" s="15"/>
      <c r="I980" s="15"/>
      <c r="J980" s="1"/>
      <c r="K980" s="1"/>
      <c r="L980" s="1"/>
    </row>
    <row r="981" ht="15.75" customHeight="1">
      <c r="A981" s="15">
        <v>43385.0</v>
      </c>
      <c r="B981" s="3">
        <v>1774054.25</v>
      </c>
      <c r="C981" s="3">
        <v>355872.22</v>
      </c>
      <c r="D981" s="3">
        <v>-95468.63</v>
      </c>
      <c r="E981" s="3">
        <f t="shared" si="1"/>
        <v>-0.05106577246</v>
      </c>
      <c r="H981" s="15"/>
      <c r="I981" s="15"/>
      <c r="J981" s="1"/>
      <c r="K981" s="1"/>
      <c r="L981" s="1"/>
    </row>
    <row r="982" ht="15.75" customHeight="1">
      <c r="A982" s="15">
        <v>43392.0</v>
      </c>
      <c r="B982" s="3">
        <v>1812165.5</v>
      </c>
      <c r="C982" s="3">
        <v>355872.22</v>
      </c>
      <c r="D982" s="3">
        <v>-57357.38</v>
      </c>
      <c r="E982" s="3">
        <f t="shared" si="1"/>
        <v>-0.03068022361</v>
      </c>
      <c r="H982" s="15"/>
      <c r="I982" s="15"/>
      <c r="J982" s="1"/>
      <c r="K982" s="1"/>
      <c r="L982" s="1"/>
    </row>
    <row r="983" ht="15.75" customHeight="1">
      <c r="A983" s="15">
        <v>43399.0</v>
      </c>
      <c r="B983" s="3">
        <v>1731653.5</v>
      </c>
      <c r="C983" s="3">
        <v>733163.69</v>
      </c>
      <c r="D983" s="3">
        <v>-137869.38</v>
      </c>
      <c r="E983" s="3">
        <f t="shared" si="1"/>
        <v>-0.07374575699</v>
      </c>
      <c r="H983" s="15"/>
      <c r="I983" s="15"/>
      <c r="J983" s="1"/>
      <c r="K983" s="1"/>
      <c r="L983" s="1"/>
    </row>
    <row r="984" ht="15.75" customHeight="1">
      <c r="A984" s="15">
        <v>43406.0</v>
      </c>
      <c r="B984" s="3">
        <v>1736407.88</v>
      </c>
      <c r="C984" s="3">
        <v>733163.69</v>
      </c>
      <c r="D984" s="3">
        <v>-133115.0</v>
      </c>
      <c r="E984" s="3">
        <f t="shared" si="1"/>
        <v>-0.07120265894</v>
      </c>
      <c r="H984" s="15"/>
      <c r="I984" s="15"/>
      <c r="J984" s="1"/>
      <c r="K984" s="1"/>
      <c r="L984" s="1"/>
    </row>
    <row r="985" ht="15.75" customHeight="1">
      <c r="A985" s="15">
        <v>43413.0</v>
      </c>
      <c r="B985" s="3">
        <v>1744439.13</v>
      </c>
      <c r="C985" s="3">
        <v>1114209.25</v>
      </c>
      <c r="D985" s="3">
        <v>-125083.75</v>
      </c>
      <c r="E985" s="3">
        <f t="shared" si="1"/>
        <v>-0.06690677677</v>
      </c>
      <c r="H985" s="15"/>
      <c r="I985" s="15"/>
      <c r="J985" s="1"/>
      <c r="K985" s="1"/>
      <c r="L985" s="1"/>
    </row>
    <row r="986" ht="15.75" customHeight="1">
      <c r="A986" s="15">
        <v>43420.0</v>
      </c>
      <c r="B986" s="3">
        <v>1736254.5</v>
      </c>
      <c r="C986" s="3">
        <v>1222401.5</v>
      </c>
      <c r="D986" s="3">
        <v>-133268.38</v>
      </c>
      <c r="E986" s="3">
        <f t="shared" si="1"/>
        <v>-0.07128470126</v>
      </c>
      <c r="H986" s="15"/>
      <c r="I986" s="15"/>
      <c r="J986" s="1"/>
      <c r="K986" s="1"/>
      <c r="L986" s="1"/>
    </row>
    <row r="987" ht="15.75" customHeight="1">
      <c r="A987" s="15">
        <v>43427.0</v>
      </c>
      <c r="B987" s="3">
        <v>1722775.63</v>
      </c>
      <c r="C987" s="3">
        <v>1222401.5</v>
      </c>
      <c r="D987" s="3">
        <v>-146747.25</v>
      </c>
      <c r="E987" s="3">
        <f t="shared" si="1"/>
        <v>-0.07849449267</v>
      </c>
      <c r="H987" s="15"/>
      <c r="I987" s="15"/>
      <c r="J987" s="1"/>
      <c r="K987" s="1"/>
      <c r="L987" s="1"/>
    </row>
    <row r="988" ht="15.75" customHeight="1">
      <c r="A988" s="15">
        <v>43434.0</v>
      </c>
      <c r="B988" s="3">
        <v>1723443.0</v>
      </c>
      <c r="C988" s="3">
        <v>1222401.5</v>
      </c>
      <c r="D988" s="3">
        <v>-146079.88</v>
      </c>
      <c r="E988" s="3">
        <f t="shared" si="1"/>
        <v>-0.07813751924</v>
      </c>
      <c r="H988" s="15"/>
      <c r="I988" s="15"/>
      <c r="J988" s="1"/>
      <c r="K988" s="1"/>
      <c r="L988" s="1"/>
    </row>
    <row r="989" ht="15.75" customHeight="1">
      <c r="A989" s="15">
        <v>43441.0</v>
      </c>
      <c r="B989" s="3">
        <v>1734556.38</v>
      </c>
      <c r="C989" s="3">
        <v>1319812.25</v>
      </c>
      <c r="D989" s="3">
        <v>-134966.5</v>
      </c>
      <c r="E989" s="3">
        <f t="shared" si="1"/>
        <v>-0.07219301857</v>
      </c>
      <c r="H989" s="15"/>
      <c r="I989" s="15"/>
      <c r="J989" s="1"/>
      <c r="K989" s="1"/>
      <c r="L989" s="1"/>
    </row>
    <row r="990" ht="15.75" customHeight="1">
      <c r="A990" s="15">
        <v>43448.0</v>
      </c>
      <c r="B990" s="3">
        <v>1733443.38</v>
      </c>
      <c r="C990" s="3">
        <v>1319812.25</v>
      </c>
      <c r="D990" s="3">
        <v>-136079.5</v>
      </c>
      <c r="E990" s="3">
        <f t="shared" si="1"/>
        <v>-0.07278835764</v>
      </c>
      <c r="H990" s="15"/>
      <c r="I990" s="15"/>
      <c r="J990" s="1"/>
      <c r="K990" s="1"/>
      <c r="L990" s="1"/>
    </row>
    <row r="991" ht="15.75" customHeight="1">
      <c r="A991" s="15">
        <v>43455.0</v>
      </c>
      <c r="B991" s="3">
        <v>1732094.5</v>
      </c>
      <c r="C991" s="3">
        <v>1319812.25</v>
      </c>
      <c r="D991" s="3">
        <v>-137428.38</v>
      </c>
      <c r="E991" s="3">
        <f t="shared" si="1"/>
        <v>-0.07350986793</v>
      </c>
      <c r="H991" s="15"/>
      <c r="I991" s="15"/>
      <c r="J991" s="1"/>
      <c r="K991" s="1"/>
      <c r="L991" s="1"/>
    </row>
    <row r="992" ht="15.75" customHeight="1">
      <c r="A992" s="15">
        <v>43462.0</v>
      </c>
      <c r="B992" s="3">
        <v>1740291.75</v>
      </c>
      <c r="C992" s="3">
        <v>1319812.25</v>
      </c>
      <c r="D992" s="3">
        <v>-129231.13</v>
      </c>
      <c r="E992" s="3">
        <f t="shared" si="1"/>
        <v>-0.06912519305</v>
      </c>
      <c r="H992" s="15"/>
      <c r="I992" s="15"/>
      <c r="J992" s="1"/>
      <c r="K992" s="1"/>
      <c r="L992" s="1"/>
    </row>
    <row r="993" ht="15.75" customHeight="1">
      <c r="A993" s="15">
        <v>43469.0</v>
      </c>
      <c r="B993" s="3">
        <v>1736447.63</v>
      </c>
      <c r="C993" s="3">
        <v>1319812.25</v>
      </c>
      <c r="D993" s="3">
        <v>-133075.25</v>
      </c>
      <c r="E993" s="3">
        <f t="shared" si="1"/>
        <v>-0.07118139683</v>
      </c>
      <c r="H993" s="15"/>
      <c r="I993" s="15"/>
      <c r="J993" s="1"/>
      <c r="K993" s="1"/>
      <c r="L993" s="1"/>
    </row>
    <row r="994" ht="15.75" customHeight="1">
      <c r="A994" s="15">
        <v>43476.0</v>
      </c>
      <c r="B994" s="3">
        <v>1745766.75</v>
      </c>
      <c r="C994" s="3">
        <v>1319812.25</v>
      </c>
      <c r="D994" s="3">
        <v>-123756.13</v>
      </c>
      <c r="E994" s="3">
        <f t="shared" si="1"/>
        <v>-0.06619663836</v>
      </c>
      <c r="H994" s="15"/>
      <c r="I994" s="15"/>
      <c r="J994" s="1"/>
      <c r="K994" s="1"/>
      <c r="L994" s="1"/>
    </row>
    <row r="995" ht="15.75" customHeight="1">
      <c r="A995" s="15">
        <v>43483.0</v>
      </c>
      <c r="B995" s="3">
        <v>1753937.38</v>
      </c>
      <c r="C995" s="3">
        <v>1101191.88</v>
      </c>
      <c r="D995" s="3">
        <v>-115585.5</v>
      </c>
      <c r="E995" s="3">
        <f t="shared" si="1"/>
        <v>-0.06182620242</v>
      </c>
      <c r="H995" s="15"/>
      <c r="I995" s="15"/>
      <c r="J995" s="1"/>
      <c r="K995" s="1"/>
      <c r="L995" s="1"/>
    </row>
    <row r="996" ht="15.75" customHeight="1">
      <c r="A996" s="15">
        <v>43490.0</v>
      </c>
      <c r="B996" s="3">
        <v>1765025.0</v>
      </c>
      <c r="C996" s="3">
        <v>881444.25</v>
      </c>
      <c r="D996" s="3">
        <v>-104497.88</v>
      </c>
      <c r="E996" s="3">
        <f t="shared" si="1"/>
        <v>-0.05589548067</v>
      </c>
      <c r="H996" s="15"/>
      <c r="I996" s="15"/>
      <c r="J996" s="1"/>
      <c r="K996" s="1"/>
      <c r="L996" s="1"/>
    </row>
    <row r="997" ht="15.75" customHeight="1">
      <c r="A997" s="15">
        <v>43497.0</v>
      </c>
      <c r="B997" s="3">
        <v>1796183.25</v>
      </c>
      <c r="C997" s="3">
        <v>438893.38</v>
      </c>
      <c r="D997" s="3">
        <v>-73339.63</v>
      </c>
      <c r="E997" s="3">
        <f t="shared" si="1"/>
        <v>-0.03922906255</v>
      </c>
      <c r="H997" s="15"/>
      <c r="I997" s="15"/>
      <c r="J997" s="1"/>
      <c r="K997" s="1"/>
      <c r="L997" s="1"/>
    </row>
    <row r="998" ht="15.75" customHeight="1">
      <c r="A998" s="15">
        <v>43504.0</v>
      </c>
      <c r="B998" s="3">
        <v>1852702.5</v>
      </c>
      <c r="C998" s="3">
        <v>101028.66</v>
      </c>
      <c r="D998" s="3">
        <v>-16820.38</v>
      </c>
      <c r="E998" s="3">
        <f t="shared" si="1"/>
        <v>-0.008997151188</v>
      </c>
      <c r="H998" s="15"/>
      <c r="I998" s="15"/>
      <c r="J998" s="1"/>
      <c r="K998" s="1"/>
      <c r="L998" s="1"/>
    </row>
    <row r="999" ht="15.75" customHeight="1">
      <c r="A999" s="15">
        <v>43511.0</v>
      </c>
      <c r="B999" s="3">
        <v>1887677.13</v>
      </c>
      <c r="C999" s="3">
        <v>101028.66</v>
      </c>
      <c r="D999" s="3">
        <v>0.0</v>
      </c>
      <c r="E999" s="3">
        <f t="shared" si="1"/>
        <v>0</v>
      </c>
      <c r="H999" s="15"/>
      <c r="I999" s="15"/>
      <c r="J999" s="1"/>
      <c r="K999" s="1"/>
      <c r="L999" s="1"/>
    </row>
    <row r="1000" ht="15.75" customHeight="1">
      <c r="A1000" s="15">
        <v>43518.0</v>
      </c>
      <c r="B1000" s="3">
        <v>1912629.0</v>
      </c>
      <c r="C1000" s="3">
        <v>101028.66</v>
      </c>
      <c r="D1000" s="3">
        <v>0.0</v>
      </c>
      <c r="E1000" s="3">
        <f t="shared" si="1"/>
        <v>0</v>
      </c>
      <c r="H1000" s="15"/>
      <c r="I1000" s="15"/>
      <c r="J1000" s="1"/>
      <c r="K1000" s="1"/>
      <c r="L1000" s="1"/>
    </row>
    <row r="1001" ht="15.75" customHeight="1">
      <c r="A1001" s="15">
        <v>43525.0</v>
      </c>
      <c r="B1001" s="3">
        <v>1905795.88</v>
      </c>
      <c r="C1001" s="3">
        <v>101028.66</v>
      </c>
      <c r="D1001" s="3">
        <v>-6833.13</v>
      </c>
      <c r="E1001" s="3">
        <f t="shared" si="1"/>
        <v>-0.003572637453</v>
      </c>
      <c r="H1001" s="15"/>
      <c r="I1001" s="15"/>
      <c r="J1001" s="1"/>
      <c r="K1001" s="1"/>
      <c r="L1001" s="1"/>
    </row>
    <row r="1002" ht="15.75" customHeight="1">
      <c r="A1002" s="15">
        <v>43532.0</v>
      </c>
      <c r="B1002" s="3">
        <v>1946051.38</v>
      </c>
      <c r="C1002" s="3">
        <v>101028.66</v>
      </c>
      <c r="D1002" s="3">
        <v>0.0</v>
      </c>
      <c r="E1002" s="3">
        <f t="shared" si="1"/>
        <v>0</v>
      </c>
      <c r="H1002" s="15"/>
      <c r="I1002" s="15"/>
      <c r="J1002" s="1"/>
      <c r="K1002" s="1"/>
      <c r="L1002" s="1"/>
    </row>
    <row r="1003" ht="15.75" customHeight="1">
      <c r="A1003" s="15">
        <v>43539.0</v>
      </c>
      <c r="B1003" s="3">
        <v>1928694.38</v>
      </c>
      <c r="C1003" s="3">
        <v>101028.66</v>
      </c>
      <c r="D1003" s="3">
        <v>-17357.0</v>
      </c>
      <c r="E1003" s="3">
        <f t="shared" si="1"/>
        <v>-0.008919086196</v>
      </c>
      <c r="H1003" s="15"/>
      <c r="I1003" s="15"/>
      <c r="J1003" s="1"/>
      <c r="K1003" s="1"/>
      <c r="L1003" s="1"/>
    </row>
    <row r="1004" ht="15.75" customHeight="1">
      <c r="A1004" s="15">
        <v>43546.0</v>
      </c>
      <c r="B1004" s="3">
        <v>1931946.75</v>
      </c>
      <c r="C1004" s="3">
        <v>101028.66</v>
      </c>
      <c r="D1004" s="3">
        <v>-14104.63</v>
      </c>
      <c r="E1004" s="3">
        <f t="shared" si="1"/>
        <v>-0.007247819942</v>
      </c>
      <c r="H1004" s="15"/>
      <c r="I1004" s="15"/>
      <c r="J1004" s="1"/>
      <c r="K1004" s="1"/>
      <c r="L1004" s="1"/>
    </row>
    <row r="1005" ht="15.75" customHeight="1">
      <c r="A1005" s="15">
        <v>43553.0</v>
      </c>
      <c r="B1005" s="3">
        <v>1955210.63</v>
      </c>
      <c r="C1005" s="3">
        <v>101028.66</v>
      </c>
      <c r="D1005" s="3">
        <v>0.0</v>
      </c>
      <c r="E1005" s="3">
        <f t="shared" si="1"/>
        <v>0</v>
      </c>
      <c r="H1005" s="15"/>
      <c r="I1005" s="15"/>
      <c r="J1005" s="1"/>
      <c r="K1005" s="1"/>
      <c r="L1005" s="1"/>
    </row>
    <row r="1006" ht="15.75" customHeight="1">
      <c r="A1006" s="15">
        <v>43560.0</v>
      </c>
      <c r="B1006" s="3">
        <v>1955316.63</v>
      </c>
      <c r="C1006" s="3">
        <v>101028.66</v>
      </c>
      <c r="D1006" s="3">
        <v>0.0</v>
      </c>
      <c r="E1006" s="3">
        <f t="shared" si="1"/>
        <v>0</v>
      </c>
      <c r="H1006" s="15"/>
      <c r="I1006" s="15"/>
      <c r="J1006" s="1"/>
      <c r="K1006" s="1"/>
      <c r="L1006" s="1"/>
    </row>
    <row r="1007" ht="15.75" customHeight="1">
      <c r="A1007" s="15">
        <v>43567.0</v>
      </c>
      <c r="B1007" s="3">
        <v>2006388.13</v>
      </c>
      <c r="C1007" s="3">
        <v>101028.66</v>
      </c>
      <c r="D1007" s="3">
        <v>0.0</v>
      </c>
      <c r="E1007" s="3">
        <f t="shared" si="1"/>
        <v>0</v>
      </c>
      <c r="H1007" s="15"/>
      <c r="I1007" s="15"/>
      <c r="J1007" s="1"/>
      <c r="K1007" s="1"/>
      <c r="L1007" s="1"/>
    </row>
    <row r="1008" ht="15.75" customHeight="1">
      <c r="A1008" s="15">
        <v>43573.0</v>
      </c>
      <c r="B1008" s="3">
        <v>1976676.63</v>
      </c>
      <c r="C1008" s="3">
        <v>101028.66</v>
      </c>
      <c r="D1008" s="3">
        <v>-29711.5</v>
      </c>
      <c r="E1008" s="3">
        <f t="shared" si="1"/>
        <v>-0.01480845085</v>
      </c>
      <c r="H1008" s="15"/>
      <c r="I1008" s="15"/>
      <c r="J1008" s="1"/>
      <c r="K1008" s="1"/>
      <c r="L1008" s="1"/>
    </row>
    <row r="1009" ht="15.75" customHeight="1">
      <c r="A1009" s="15">
        <v>43581.0</v>
      </c>
      <c r="B1009" s="3">
        <v>2003538.63</v>
      </c>
      <c r="C1009" s="3">
        <v>101028.66</v>
      </c>
      <c r="D1009" s="3">
        <v>-2849.5</v>
      </c>
      <c r="E1009" s="3">
        <f t="shared" si="1"/>
        <v>-0.001420213745</v>
      </c>
      <c r="H1009" s="15"/>
      <c r="I1009" s="15"/>
      <c r="J1009" s="1"/>
      <c r="K1009" s="1"/>
      <c r="L1009" s="1"/>
    </row>
    <row r="1010" ht="15.75" customHeight="1">
      <c r="A1010" s="15">
        <v>43588.0</v>
      </c>
      <c r="B1010" s="3">
        <v>1989802.88</v>
      </c>
      <c r="C1010" s="3">
        <v>101028.66</v>
      </c>
      <c r="D1010" s="3">
        <v>-16585.25</v>
      </c>
      <c r="E1010" s="3">
        <f t="shared" si="1"/>
        <v>-0.008266222149</v>
      </c>
      <c r="H1010" s="15"/>
      <c r="I1010" s="15"/>
      <c r="J1010" s="1"/>
      <c r="K1010" s="1"/>
      <c r="L1010" s="1"/>
    </row>
    <row r="1011" ht="15.75" customHeight="1">
      <c r="A1011" s="15">
        <v>43595.0</v>
      </c>
      <c r="B1011" s="3">
        <v>1978267.5</v>
      </c>
      <c r="C1011" s="3">
        <v>101028.66</v>
      </c>
      <c r="D1011" s="3">
        <v>-28120.63</v>
      </c>
      <c r="E1011" s="3">
        <f t="shared" si="1"/>
        <v>-0.01401554843</v>
      </c>
      <c r="H1011" s="15"/>
      <c r="I1011" s="15"/>
      <c r="J1011" s="1"/>
      <c r="K1011" s="1"/>
      <c r="L1011" s="1"/>
    </row>
    <row r="1012" ht="15.75" customHeight="1">
      <c r="A1012" s="15">
        <v>43602.0</v>
      </c>
      <c r="B1012" s="3">
        <v>2064069.88</v>
      </c>
      <c r="C1012" s="3">
        <v>101028.66</v>
      </c>
      <c r="D1012" s="3">
        <v>0.0</v>
      </c>
      <c r="E1012" s="3">
        <f t="shared" si="1"/>
        <v>0</v>
      </c>
      <c r="H1012" s="15"/>
      <c r="I1012" s="15"/>
      <c r="J1012" s="1"/>
      <c r="K1012" s="1"/>
      <c r="L1012" s="1"/>
    </row>
    <row r="1013" ht="15.75" customHeight="1">
      <c r="A1013" s="15">
        <v>43609.0</v>
      </c>
      <c r="B1013" s="3">
        <v>2075186.88</v>
      </c>
      <c r="C1013" s="3">
        <v>85720.15</v>
      </c>
      <c r="D1013" s="3">
        <v>0.0</v>
      </c>
      <c r="E1013" s="3">
        <f t="shared" si="1"/>
        <v>0</v>
      </c>
      <c r="H1013" s="15"/>
      <c r="I1013" s="15"/>
      <c r="J1013" s="1"/>
      <c r="K1013" s="1"/>
      <c r="L1013" s="1"/>
    </row>
    <row r="1014" ht="15.75" customHeight="1">
      <c r="A1014" s="15">
        <v>43616.0</v>
      </c>
      <c r="B1014" s="3">
        <v>2065365.63</v>
      </c>
      <c r="C1014" s="3">
        <v>85720.15</v>
      </c>
      <c r="D1014" s="3">
        <v>-9821.25</v>
      </c>
      <c r="E1014" s="3">
        <f t="shared" si="1"/>
        <v>-0.00473270629</v>
      </c>
      <c r="H1014" s="15"/>
      <c r="I1014" s="15"/>
      <c r="J1014" s="1"/>
      <c r="K1014" s="1"/>
      <c r="L1014" s="1"/>
    </row>
    <row r="1015" ht="15.75" customHeight="1">
      <c r="A1015" s="15">
        <v>43623.0</v>
      </c>
      <c r="B1015" s="3">
        <v>2071377.5</v>
      </c>
      <c r="C1015" s="3">
        <v>85720.15</v>
      </c>
      <c r="D1015" s="3">
        <v>-3809.38</v>
      </c>
      <c r="E1015" s="3">
        <f t="shared" si="1"/>
        <v>-0.001835680457</v>
      </c>
      <c r="H1015" s="15"/>
      <c r="I1015" s="15"/>
      <c r="J1015" s="1"/>
      <c r="K1015" s="1"/>
      <c r="L1015" s="1"/>
    </row>
    <row r="1016" ht="15.75" customHeight="1">
      <c r="A1016" s="15">
        <v>43630.0</v>
      </c>
      <c r="B1016" s="3">
        <v>2133808.5</v>
      </c>
      <c r="C1016" s="3">
        <v>85720.15</v>
      </c>
      <c r="D1016" s="3">
        <v>0.0</v>
      </c>
      <c r="E1016" s="3">
        <f t="shared" si="1"/>
        <v>0</v>
      </c>
      <c r="H1016" s="15"/>
      <c r="I1016" s="15"/>
      <c r="J1016" s="1"/>
      <c r="K1016" s="1"/>
      <c r="L1016" s="1"/>
    </row>
    <row r="1017" ht="15.75" customHeight="1">
      <c r="A1017" s="15">
        <v>43637.0</v>
      </c>
      <c r="B1017" s="3">
        <v>2156257.25</v>
      </c>
      <c r="C1017" s="3">
        <v>85720.15</v>
      </c>
      <c r="D1017" s="3">
        <v>0.0</v>
      </c>
      <c r="E1017" s="3">
        <f t="shared" si="1"/>
        <v>0</v>
      </c>
      <c r="H1017" s="15"/>
      <c r="I1017" s="15"/>
      <c r="J1017" s="1"/>
      <c r="K1017" s="1"/>
      <c r="L1017" s="1"/>
    </row>
    <row r="1018" ht="15.75" customHeight="1">
      <c r="A1018" s="15">
        <v>43644.0</v>
      </c>
      <c r="B1018" s="3">
        <v>2153406.75</v>
      </c>
      <c r="C1018" s="3">
        <v>63525.6</v>
      </c>
      <c r="D1018" s="3">
        <v>-2850.5</v>
      </c>
      <c r="E1018" s="3">
        <f t="shared" si="1"/>
        <v>-0.00132196657</v>
      </c>
      <c r="H1018" s="15"/>
      <c r="I1018" s="15"/>
      <c r="J1018" s="1"/>
      <c r="K1018" s="1"/>
      <c r="L1018" s="1"/>
    </row>
    <row r="1019" ht="15.75" customHeight="1">
      <c r="A1019" s="15">
        <v>43651.0</v>
      </c>
      <c r="B1019" s="3">
        <v>2190106.0</v>
      </c>
      <c r="C1019" s="3">
        <v>63525.6</v>
      </c>
      <c r="D1019" s="3">
        <v>0.0</v>
      </c>
      <c r="E1019" s="3">
        <f t="shared" si="1"/>
        <v>0</v>
      </c>
      <c r="H1019" s="15"/>
      <c r="I1019" s="15"/>
      <c r="J1019" s="1"/>
      <c r="K1019" s="1"/>
      <c r="L1019" s="1"/>
    </row>
    <row r="1020" ht="15.75" customHeight="1">
      <c r="A1020" s="15">
        <v>43658.0</v>
      </c>
      <c r="B1020" s="3">
        <v>2204202.75</v>
      </c>
      <c r="C1020" s="3">
        <v>63525.6</v>
      </c>
      <c r="D1020" s="3">
        <v>0.0</v>
      </c>
      <c r="E1020" s="3">
        <f t="shared" si="1"/>
        <v>0</v>
      </c>
      <c r="H1020" s="15"/>
      <c r="I1020" s="15"/>
      <c r="J1020" s="1"/>
      <c r="K1020" s="1"/>
      <c r="L1020" s="1"/>
    </row>
    <row r="1021" ht="15.75" customHeight="1">
      <c r="A1021" s="15">
        <v>43665.0</v>
      </c>
      <c r="B1021" s="3">
        <v>2235093.25</v>
      </c>
      <c r="C1021" s="3">
        <v>63525.6</v>
      </c>
      <c r="D1021" s="3">
        <v>0.0</v>
      </c>
      <c r="E1021" s="3">
        <f t="shared" si="1"/>
        <v>0</v>
      </c>
      <c r="H1021" s="15"/>
      <c r="I1021" s="15"/>
      <c r="J1021" s="1"/>
      <c r="K1021" s="1"/>
      <c r="L1021" s="1"/>
    </row>
    <row r="1022" ht="15.75" customHeight="1">
      <c r="A1022" s="15">
        <v>43672.0</v>
      </c>
      <c r="B1022" s="3">
        <v>2238255.75</v>
      </c>
      <c r="C1022" s="3">
        <v>63525.6</v>
      </c>
      <c r="D1022" s="3">
        <v>0.0</v>
      </c>
      <c r="E1022" s="3">
        <f t="shared" si="1"/>
        <v>0</v>
      </c>
      <c r="H1022" s="15"/>
      <c r="I1022" s="15"/>
      <c r="J1022" s="1"/>
      <c r="K1022" s="1"/>
      <c r="L1022" s="1"/>
    </row>
    <row r="1023" ht="15.75" customHeight="1">
      <c r="A1023" s="15">
        <v>43679.0</v>
      </c>
      <c r="B1023" s="3">
        <v>2220576.5</v>
      </c>
      <c r="C1023" s="3">
        <v>63525.6</v>
      </c>
      <c r="D1023" s="3">
        <v>-17679.25</v>
      </c>
      <c r="E1023" s="3">
        <f t="shared" si="1"/>
        <v>-0.007898672884</v>
      </c>
      <c r="H1023" s="15"/>
      <c r="I1023" s="15"/>
      <c r="J1023" s="1"/>
      <c r="K1023" s="1"/>
      <c r="L1023" s="1"/>
    </row>
    <row r="1024" ht="15.75" customHeight="1">
      <c r="A1024" s="15">
        <v>43686.0</v>
      </c>
      <c r="B1024" s="3">
        <v>2161512.75</v>
      </c>
      <c r="C1024" s="3">
        <v>63525.6</v>
      </c>
      <c r="D1024" s="3">
        <v>-76743.0</v>
      </c>
      <c r="E1024" s="3">
        <f t="shared" si="1"/>
        <v>-0.03428696654</v>
      </c>
      <c r="H1024" s="15"/>
      <c r="I1024" s="15"/>
      <c r="J1024" s="1"/>
      <c r="K1024" s="1"/>
      <c r="L1024" s="1"/>
    </row>
    <row r="1025" ht="15.75" customHeight="1">
      <c r="A1025" s="15">
        <v>43693.0</v>
      </c>
      <c r="B1025" s="3">
        <v>2114945.25</v>
      </c>
      <c r="C1025" s="3">
        <v>63525.6</v>
      </c>
      <c r="D1025" s="3">
        <v>-123310.5</v>
      </c>
      <c r="E1025" s="3">
        <f t="shared" si="1"/>
        <v>-0.05509222974</v>
      </c>
      <c r="H1025" s="15"/>
      <c r="I1025" s="15"/>
      <c r="J1025" s="1"/>
      <c r="K1025" s="1"/>
      <c r="L1025" s="1"/>
    </row>
    <row r="1026" ht="15.75" customHeight="1">
      <c r="A1026" s="15">
        <v>43700.0</v>
      </c>
      <c r="B1026" s="3">
        <v>2102222.75</v>
      </c>
      <c r="C1026" s="3">
        <v>63525.6</v>
      </c>
      <c r="D1026" s="3">
        <v>-136033.0</v>
      </c>
      <c r="E1026" s="3">
        <f t="shared" si="1"/>
        <v>-0.06077634336</v>
      </c>
      <c r="H1026" s="15"/>
      <c r="I1026" s="15"/>
      <c r="J1026" s="1"/>
      <c r="K1026" s="1"/>
      <c r="L1026" s="1"/>
    </row>
    <row r="1027" ht="15.75" customHeight="1">
      <c r="A1027" s="15">
        <v>43707.0</v>
      </c>
      <c r="B1027" s="3">
        <v>2081410.88</v>
      </c>
      <c r="C1027" s="3">
        <v>360879.09</v>
      </c>
      <c r="D1027" s="3">
        <v>-156844.88</v>
      </c>
      <c r="E1027" s="3">
        <f t="shared" si="1"/>
        <v>-0.07007460162</v>
      </c>
      <c r="H1027" s="15"/>
      <c r="I1027" s="15"/>
      <c r="J1027" s="1"/>
      <c r="K1027" s="1"/>
      <c r="L1027" s="1"/>
    </row>
    <row r="1028" ht="15.75" customHeight="1">
      <c r="A1028" s="15">
        <v>43714.0</v>
      </c>
      <c r="B1028" s="3">
        <v>2122377.0</v>
      </c>
      <c r="C1028" s="3">
        <v>319342.84</v>
      </c>
      <c r="D1028" s="3">
        <v>-115878.75</v>
      </c>
      <c r="E1028" s="3">
        <f t="shared" si="1"/>
        <v>-0.05177189872</v>
      </c>
      <c r="H1028" s="15"/>
      <c r="I1028" s="15"/>
      <c r="J1028" s="1"/>
      <c r="K1028" s="1"/>
      <c r="L1028" s="1"/>
    </row>
    <row r="1029" ht="15.75" customHeight="1">
      <c r="A1029" s="15">
        <v>43721.0</v>
      </c>
      <c r="B1029" s="3">
        <v>2089112.13</v>
      </c>
      <c r="C1029" s="3">
        <v>54715.91</v>
      </c>
      <c r="D1029" s="3">
        <v>-149143.63</v>
      </c>
      <c r="E1029" s="3">
        <f t="shared" si="1"/>
        <v>-0.06663386434</v>
      </c>
      <c r="H1029" s="15"/>
      <c r="I1029" s="15"/>
      <c r="J1029" s="1"/>
      <c r="K1029" s="1"/>
      <c r="L1029" s="1"/>
    </row>
    <row r="1030" ht="15.75" customHeight="1">
      <c r="A1030" s="15">
        <v>43728.0</v>
      </c>
      <c r="B1030" s="3">
        <v>2119265.25</v>
      </c>
      <c r="C1030" s="3">
        <v>54715.91</v>
      </c>
      <c r="D1030" s="3">
        <v>-118990.5</v>
      </c>
      <c r="E1030" s="3">
        <f t="shared" si="1"/>
        <v>-0.0531621554</v>
      </c>
      <c r="H1030" s="15"/>
      <c r="I1030" s="15"/>
      <c r="J1030" s="1"/>
      <c r="K1030" s="1"/>
      <c r="L1030" s="1"/>
    </row>
    <row r="1031" ht="15.75" customHeight="1">
      <c r="A1031" s="15">
        <v>43735.0</v>
      </c>
      <c r="B1031" s="3">
        <v>2124330.0</v>
      </c>
      <c r="C1031" s="3">
        <v>54715.91</v>
      </c>
      <c r="D1031" s="3">
        <v>-113925.75</v>
      </c>
      <c r="E1031" s="3">
        <f t="shared" si="1"/>
        <v>-0.05089934428</v>
      </c>
      <c r="H1031" s="15"/>
      <c r="I1031" s="15"/>
      <c r="J1031" s="1"/>
      <c r="K1031" s="1"/>
      <c r="L1031" s="1"/>
    </row>
    <row r="1032" ht="15.75" customHeight="1">
      <c r="A1032" s="15">
        <v>43742.0</v>
      </c>
      <c r="B1032" s="3">
        <v>2087208.13</v>
      </c>
      <c r="C1032" s="3">
        <v>54715.91</v>
      </c>
      <c r="D1032" s="3">
        <v>-151047.63</v>
      </c>
      <c r="E1032" s="3">
        <f t="shared" si="1"/>
        <v>-0.06748452673</v>
      </c>
      <c r="H1032" s="15"/>
      <c r="I1032" s="15"/>
      <c r="J1032" s="1"/>
      <c r="K1032" s="1"/>
      <c r="L1032" s="1"/>
    </row>
    <row r="1033" ht="15.75" customHeight="1">
      <c r="A1033" s="15">
        <v>43749.0</v>
      </c>
      <c r="B1033" s="3">
        <v>2105416.25</v>
      </c>
      <c r="C1033" s="3">
        <v>54715.91</v>
      </c>
      <c r="D1033" s="3">
        <v>-132839.5</v>
      </c>
      <c r="E1033" s="3">
        <f t="shared" si="1"/>
        <v>-0.05934956271</v>
      </c>
      <c r="H1033" s="15"/>
      <c r="I1033" s="15"/>
      <c r="J1033" s="1"/>
      <c r="K1033" s="1"/>
      <c r="L1033" s="1"/>
    </row>
    <row r="1034" ht="15.75" customHeight="1">
      <c r="A1034" s="15">
        <v>43756.0</v>
      </c>
      <c r="B1034" s="3">
        <v>2046274.63</v>
      </c>
      <c r="C1034" s="3">
        <v>54715.91</v>
      </c>
      <c r="D1034" s="3">
        <v>-191981.13</v>
      </c>
      <c r="E1034" s="3">
        <f t="shared" si="1"/>
        <v>-0.08577265132</v>
      </c>
      <c r="H1034" s="15"/>
      <c r="I1034" s="15"/>
      <c r="J1034" s="1"/>
      <c r="K1034" s="1"/>
      <c r="L1034" s="1"/>
    </row>
    <row r="1035" ht="15.75" customHeight="1">
      <c r="A1035" s="15">
        <v>43763.0</v>
      </c>
      <c r="B1035" s="3">
        <v>2048326.13</v>
      </c>
      <c r="C1035" s="3">
        <v>22920.2</v>
      </c>
      <c r="D1035" s="3">
        <v>-189929.63</v>
      </c>
      <c r="E1035" s="3">
        <f t="shared" si="1"/>
        <v>-0.08485608939</v>
      </c>
      <c r="H1035" s="15"/>
      <c r="I1035" s="15"/>
      <c r="J1035" s="1"/>
      <c r="K1035" s="1"/>
      <c r="L1035" s="1"/>
    </row>
    <row r="1036" ht="15.75" customHeight="1">
      <c r="A1036" s="15">
        <v>43770.0</v>
      </c>
      <c r="B1036" s="3">
        <v>2033445.25</v>
      </c>
      <c r="C1036" s="3">
        <v>22920.2</v>
      </c>
      <c r="D1036" s="3">
        <v>-204810.5</v>
      </c>
      <c r="E1036" s="3">
        <f t="shared" si="1"/>
        <v>-0.09150451194</v>
      </c>
      <c r="H1036" s="15"/>
      <c r="I1036" s="15"/>
      <c r="J1036" s="1"/>
      <c r="K1036" s="1"/>
      <c r="L1036" s="1"/>
    </row>
    <row r="1037" ht="15.75" customHeight="1">
      <c r="A1037" s="15">
        <v>43777.0</v>
      </c>
      <c r="B1037" s="3">
        <v>2054256.38</v>
      </c>
      <c r="C1037" s="3">
        <v>22920.2</v>
      </c>
      <c r="D1037" s="3">
        <v>-183999.38</v>
      </c>
      <c r="E1037" s="3">
        <f t="shared" si="1"/>
        <v>-0.08220659324</v>
      </c>
      <c r="H1037" s="15"/>
      <c r="I1037" s="15"/>
      <c r="J1037" s="1"/>
      <c r="K1037" s="1"/>
      <c r="L1037" s="1"/>
    </row>
    <row r="1038" ht="15.75" customHeight="1">
      <c r="A1038" s="15">
        <v>43784.0</v>
      </c>
      <c r="B1038" s="3">
        <v>2086141.75</v>
      </c>
      <c r="C1038" s="3">
        <v>22920.2</v>
      </c>
      <c r="D1038" s="3">
        <v>-152114.0</v>
      </c>
      <c r="E1038" s="3">
        <f t="shared" si="1"/>
        <v>-0.06796095576</v>
      </c>
      <c r="H1038" s="15"/>
      <c r="I1038" s="15"/>
      <c r="J1038" s="1"/>
      <c r="K1038" s="1"/>
      <c r="L1038" s="1"/>
    </row>
    <row r="1039" ht="15.75" customHeight="1">
      <c r="A1039" s="15">
        <v>43791.0</v>
      </c>
      <c r="B1039" s="3">
        <v>2060352.75</v>
      </c>
      <c r="C1039" s="3">
        <v>22920.2</v>
      </c>
      <c r="D1039" s="3">
        <v>-177903.0</v>
      </c>
      <c r="E1039" s="3">
        <f t="shared" si="1"/>
        <v>-0.07948287411</v>
      </c>
      <c r="H1039" s="15"/>
      <c r="I1039" s="15"/>
      <c r="J1039" s="1"/>
      <c r="K1039" s="1"/>
      <c r="L1039" s="1"/>
    </row>
    <row r="1040" ht="15.75" customHeight="1">
      <c r="A1040" s="15">
        <v>43798.0</v>
      </c>
      <c r="B1040" s="3">
        <v>2071230.63</v>
      </c>
      <c r="C1040" s="3">
        <v>22920.2</v>
      </c>
      <c r="D1040" s="3">
        <v>-167025.13</v>
      </c>
      <c r="E1040" s="3">
        <f t="shared" si="1"/>
        <v>-0.07462289776</v>
      </c>
      <c r="H1040" s="15"/>
      <c r="I1040" s="15"/>
      <c r="J1040" s="1"/>
      <c r="K1040" s="1"/>
      <c r="L1040" s="1"/>
    </row>
    <row r="1041" ht="15.75" customHeight="1">
      <c r="A1041" s="15">
        <v>43805.0</v>
      </c>
      <c r="B1041" s="3">
        <v>2045758.0</v>
      </c>
      <c r="C1041" s="3">
        <v>22920.2</v>
      </c>
      <c r="D1041" s="3">
        <v>-192497.75</v>
      </c>
      <c r="E1041" s="3">
        <f t="shared" si="1"/>
        <v>-0.08600346497</v>
      </c>
      <c r="H1041" s="15"/>
      <c r="I1041" s="15"/>
      <c r="J1041" s="1"/>
      <c r="K1041" s="1"/>
      <c r="L1041" s="1"/>
    </row>
    <row r="1042" ht="15.75" customHeight="1">
      <c r="A1042" s="15">
        <v>43812.0</v>
      </c>
      <c r="B1042" s="3">
        <v>2057722.88</v>
      </c>
      <c r="C1042" s="3">
        <v>22920.2</v>
      </c>
      <c r="D1042" s="3">
        <v>-180532.88</v>
      </c>
      <c r="E1042" s="3">
        <f t="shared" si="1"/>
        <v>-0.08065784261</v>
      </c>
      <c r="H1042" s="15"/>
      <c r="I1042" s="15"/>
      <c r="J1042" s="1"/>
      <c r="K1042" s="1"/>
      <c r="L1042" s="1"/>
    </row>
    <row r="1043" ht="15.75" customHeight="1">
      <c r="A1043" s="15">
        <v>43819.0</v>
      </c>
      <c r="B1043" s="3">
        <v>2066526.38</v>
      </c>
      <c r="C1043" s="3">
        <v>9729.26</v>
      </c>
      <c r="D1043" s="3">
        <v>-171729.38</v>
      </c>
      <c r="E1043" s="3">
        <f t="shared" si="1"/>
        <v>-0.07672464597</v>
      </c>
      <c r="H1043" s="15"/>
      <c r="I1043" s="15"/>
      <c r="J1043" s="1"/>
      <c r="K1043" s="1"/>
      <c r="L1043" s="1"/>
    </row>
    <row r="1044" ht="15.75" customHeight="1">
      <c r="A1044" s="15">
        <v>43826.0</v>
      </c>
      <c r="B1044" s="3">
        <v>2085732.75</v>
      </c>
      <c r="C1044" s="3">
        <v>9729.26</v>
      </c>
      <c r="D1044" s="3">
        <v>-152523.0</v>
      </c>
      <c r="E1044" s="3">
        <f t="shared" si="1"/>
        <v>-0.06814368733</v>
      </c>
      <c r="H1044" s="15"/>
      <c r="I1044" s="15"/>
      <c r="J1044" s="1"/>
      <c r="K1044" s="1"/>
      <c r="L1044" s="1"/>
    </row>
    <row r="1045" ht="15.75" customHeight="1">
      <c r="A1045" s="15">
        <v>43833.0</v>
      </c>
      <c r="B1045" s="3">
        <v>2057657.88</v>
      </c>
      <c r="C1045" s="3">
        <v>9729.26</v>
      </c>
      <c r="D1045" s="3">
        <v>-180597.88</v>
      </c>
      <c r="E1045" s="3">
        <f t="shared" si="1"/>
        <v>-0.08068688308</v>
      </c>
      <c r="H1045" s="15"/>
      <c r="I1045" s="15"/>
      <c r="J1045" s="1"/>
      <c r="K1045" s="1"/>
      <c r="L1045" s="1"/>
    </row>
    <row r="1046" ht="15.75" customHeight="1">
      <c r="A1046" s="15">
        <v>43840.0</v>
      </c>
      <c r="B1046" s="3">
        <v>2115560.75</v>
      </c>
      <c r="C1046" s="3">
        <v>9729.26</v>
      </c>
      <c r="D1046" s="3">
        <v>-122695.0</v>
      </c>
      <c r="E1046" s="3">
        <f t="shared" si="1"/>
        <v>-0.05481723883</v>
      </c>
      <c r="H1046" s="15"/>
      <c r="I1046" s="15"/>
      <c r="J1046" s="1"/>
      <c r="K1046" s="1"/>
      <c r="L1046" s="1"/>
    </row>
    <row r="1047" ht="15.75" customHeight="1">
      <c r="A1047" s="15">
        <v>43847.0</v>
      </c>
      <c r="B1047" s="3">
        <v>2187539.25</v>
      </c>
      <c r="C1047" s="3">
        <v>9729.26</v>
      </c>
      <c r="D1047" s="3">
        <v>-50716.5</v>
      </c>
      <c r="E1047" s="3">
        <f t="shared" si="1"/>
        <v>-0.02265893877</v>
      </c>
      <c r="H1047" s="15"/>
      <c r="I1047" s="15"/>
      <c r="J1047" s="1"/>
      <c r="K1047" s="1"/>
      <c r="L1047" s="1"/>
    </row>
    <row r="1048" ht="15.75" customHeight="1">
      <c r="A1048" s="15">
        <v>43854.0</v>
      </c>
      <c r="B1048" s="3">
        <v>2217235.0</v>
      </c>
      <c r="C1048" s="3">
        <v>9729.26</v>
      </c>
      <c r="D1048" s="3">
        <v>-21020.75</v>
      </c>
      <c r="E1048" s="3">
        <f t="shared" si="1"/>
        <v>-0.009391576454</v>
      </c>
      <c r="H1048" s="15"/>
      <c r="I1048" s="15"/>
      <c r="J1048" s="1"/>
      <c r="K1048" s="1"/>
      <c r="L1048" s="1"/>
    </row>
    <row r="1049" ht="15.75" customHeight="1">
      <c r="A1049" s="15">
        <v>43861.0</v>
      </c>
      <c r="B1049" s="3">
        <v>2170052.75</v>
      </c>
      <c r="C1049" s="3">
        <v>9729.26</v>
      </c>
      <c r="D1049" s="3">
        <v>-68203.0</v>
      </c>
      <c r="E1049" s="3">
        <f t="shared" si="1"/>
        <v>-0.03047149549</v>
      </c>
      <c r="H1049" s="15"/>
      <c r="I1049" s="15"/>
      <c r="J1049" s="1"/>
      <c r="K1049" s="1"/>
      <c r="L1049" s="1"/>
    </row>
    <row r="1050" ht="15.75" customHeight="1">
      <c r="A1050" s="15">
        <v>43868.0</v>
      </c>
      <c r="B1050" s="3">
        <v>2183656.5</v>
      </c>
      <c r="C1050" s="3">
        <v>9729.26</v>
      </c>
      <c r="D1050" s="3">
        <v>-54599.25</v>
      </c>
      <c r="E1050" s="3">
        <f t="shared" si="1"/>
        <v>-0.02439366011</v>
      </c>
      <c r="H1050" s="15"/>
      <c r="I1050" s="15"/>
      <c r="J1050" s="1"/>
      <c r="K1050" s="1"/>
      <c r="L1050" s="1"/>
    </row>
    <row r="1051" ht="15.75" customHeight="1">
      <c r="A1051" s="15">
        <v>43875.0</v>
      </c>
      <c r="B1051" s="3">
        <v>2187237.5</v>
      </c>
      <c r="C1051" s="3">
        <v>9729.26</v>
      </c>
      <c r="D1051" s="3">
        <v>-51018.25</v>
      </c>
      <c r="E1051" s="3">
        <f t="shared" si="1"/>
        <v>-0.02279375357</v>
      </c>
      <c r="H1051" s="15"/>
      <c r="I1051" s="15"/>
      <c r="J1051" s="1"/>
      <c r="K1051" s="1"/>
      <c r="L1051" s="1"/>
    </row>
    <row r="1052" ht="15.75" customHeight="1">
      <c r="A1052" s="15">
        <v>43882.0</v>
      </c>
      <c r="B1052" s="3">
        <v>2176131.75</v>
      </c>
      <c r="C1052" s="3">
        <v>9729.26</v>
      </c>
      <c r="D1052" s="3">
        <v>-62124.0</v>
      </c>
      <c r="E1052" s="3">
        <f t="shared" si="1"/>
        <v>-0.02775554134</v>
      </c>
      <c r="H1052" s="15"/>
      <c r="I1052" s="15"/>
      <c r="J1052" s="1"/>
      <c r="K1052" s="1"/>
      <c r="L1052" s="1"/>
    </row>
    <row r="1053" ht="15.75" customHeight="1">
      <c r="A1053" s="15">
        <v>43889.0</v>
      </c>
      <c r="B1053" s="3">
        <v>1924624.0</v>
      </c>
      <c r="C1053" s="3">
        <v>9729.26</v>
      </c>
      <c r="D1053" s="3">
        <v>-313631.75</v>
      </c>
      <c r="E1053" s="3">
        <f t="shared" si="1"/>
        <v>-0.1401232857</v>
      </c>
      <c r="H1053" s="15"/>
      <c r="I1053" s="15"/>
      <c r="J1053" s="1"/>
      <c r="K1053" s="1"/>
      <c r="L1053" s="1"/>
    </row>
    <row r="1054" ht="15.75" customHeight="1">
      <c r="A1054" s="15">
        <v>43896.0</v>
      </c>
      <c r="B1054" s="3">
        <v>1906648.75</v>
      </c>
      <c r="C1054" s="3">
        <v>9729.26</v>
      </c>
      <c r="D1054" s="3">
        <v>-331607.0</v>
      </c>
      <c r="E1054" s="3">
        <f t="shared" si="1"/>
        <v>-0.1481542045</v>
      </c>
      <c r="H1054" s="15"/>
      <c r="I1054" s="15"/>
      <c r="J1054" s="1"/>
      <c r="K1054" s="1"/>
      <c r="L1054" s="1"/>
    </row>
    <row r="1055" ht="15.75" customHeight="1">
      <c r="A1055" s="15">
        <v>43903.0</v>
      </c>
      <c r="B1055" s="3">
        <v>1859854.13</v>
      </c>
      <c r="C1055" s="3">
        <v>1522234.75</v>
      </c>
      <c r="D1055" s="3">
        <v>-378401.63</v>
      </c>
      <c r="E1055" s="3">
        <f t="shared" si="1"/>
        <v>-0.169060944</v>
      </c>
      <c r="H1055" s="15"/>
      <c r="I1055" s="15"/>
      <c r="J1055" s="1"/>
      <c r="K1055" s="1"/>
      <c r="L1055" s="1"/>
    </row>
    <row r="1056" ht="15.75" customHeight="1">
      <c r="A1056" s="15">
        <v>43910.0</v>
      </c>
      <c r="B1056" s="3">
        <v>1832218.13</v>
      </c>
      <c r="C1056" s="3">
        <v>1522234.75</v>
      </c>
      <c r="D1056" s="3">
        <v>-406037.63</v>
      </c>
      <c r="E1056" s="3">
        <f t="shared" si="1"/>
        <v>-0.1814080585</v>
      </c>
      <c r="H1056" s="15"/>
      <c r="I1056" s="15"/>
      <c r="J1056" s="1"/>
      <c r="K1056" s="1"/>
      <c r="L1056" s="1"/>
    </row>
    <row r="1057" ht="15.75" customHeight="1">
      <c r="A1057" s="15">
        <v>43917.0</v>
      </c>
      <c r="B1057" s="3">
        <v>1826039.0</v>
      </c>
      <c r="C1057" s="3">
        <v>1730824.25</v>
      </c>
      <c r="D1057" s="3">
        <v>-412216.75</v>
      </c>
      <c r="E1057" s="3">
        <f t="shared" si="1"/>
        <v>-0.1841687439</v>
      </c>
      <c r="H1057" s="15"/>
      <c r="I1057" s="15"/>
      <c r="J1057" s="1"/>
      <c r="K1057" s="1"/>
      <c r="L1057" s="1"/>
    </row>
    <row r="1058" ht="15.75" customHeight="1">
      <c r="A1058" s="15">
        <v>43924.0</v>
      </c>
      <c r="B1058" s="3">
        <v>1826039.0</v>
      </c>
      <c r="C1058" s="3">
        <v>1826039.0</v>
      </c>
      <c r="D1058" s="3">
        <v>-412216.75</v>
      </c>
      <c r="E1058" s="3">
        <f t="shared" si="1"/>
        <v>-0.1841687439</v>
      </c>
      <c r="H1058" s="15"/>
      <c r="I1058" s="15"/>
      <c r="J1058" s="1"/>
      <c r="K1058" s="1"/>
      <c r="L1058" s="1"/>
    </row>
    <row r="1059" ht="15.75" customHeight="1">
      <c r="A1059" s="15">
        <v>43930.0</v>
      </c>
      <c r="B1059" s="3">
        <v>1826039.0</v>
      </c>
      <c r="C1059" s="3">
        <v>1826039.0</v>
      </c>
      <c r="D1059" s="3">
        <v>-412216.75</v>
      </c>
      <c r="E1059" s="3">
        <f t="shared" si="1"/>
        <v>-0.1841687439</v>
      </c>
      <c r="H1059" s="15"/>
      <c r="I1059" s="15"/>
      <c r="J1059" s="1"/>
      <c r="K1059" s="1"/>
      <c r="L1059" s="1"/>
    </row>
    <row r="1060" ht="15.75" customHeight="1">
      <c r="A1060" s="15">
        <v>43938.0</v>
      </c>
      <c r="B1060" s="3">
        <v>1826039.0</v>
      </c>
      <c r="C1060" s="3">
        <v>1826039.0</v>
      </c>
      <c r="D1060" s="3">
        <v>-412216.75</v>
      </c>
      <c r="E1060" s="3">
        <f t="shared" si="1"/>
        <v>-0.1841687439</v>
      </c>
      <c r="H1060" s="15"/>
      <c r="I1060" s="15"/>
      <c r="J1060" s="1"/>
      <c r="K1060" s="1"/>
      <c r="L1060" s="1"/>
    </row>
    <row r="1061" ht="15.75" customHeight="1">
      <c r="A1061" s="15">
        <v>43945.0</v>
      </c>
      <c r="B1061" s="3">
        <v>1826039.0</v>
      </c>
      <c r="C1061" s="3">
        <v>1826039.0</v>
      </c>
      <c r="D1061" s="3">
        <v>-412216.75</v>
      </c>
      <c r="E1061" s="3">
        <f t="shared" si="1"/>
        <v>-0.1841687439</v>
      </c>
      <c r="H1061" s="15"/>
      <c r="I1061" s="15"/>
      <c r="J1061" s="1"/>
      <c r="K1061" s="1"/>
      <c r="L1061" s="1"/>
    </row>
    <row r="1062" ht="15.75" customHeight="1">
      <c r="A1062" s="15">
        <v>43952.0</v>
      </c>
      <c r="B1062" s="3">
        <v>1826039.0</v>
      </c>
      <c r="C1062" s="3">
        <v>1826039.0</v>
      </c>
      <c r="D1062" s="3">
        <v>-412216.75</v>
      </c>
      <c r="E1062" s="3">
        <f t="shared" si="1"/>
        <v>-0.1841687439</v>
      </c>
      <c r="H1062" s="15"/>
      <c r="I1062" s="15"/>
      <c r="J1062" s="1"/>
      <c r="K1062" s="1"/>
      <c r="L1062" s="1"/>
    </row>
    <row r="1063" ht="15.75" customHeight="1">
      <c r="A1063" s="15">
        <v>43959.0</v>
      </c>
      <c r="B1063" s="3">
        <v>1826039.0</v>
      </c>
      <c r="C1063" s="3">
        <v>1826039.0</v>
      </c>
      <c r="D1063" s="3">
        <v>-412216.75</v>
      </c>
      <c r="E1063" s="3">
        <f t="shared" si="1"/>
        <v>-0.1841687439</v>
      </c>
      <c r="H1063" s="15"/>
      <c r="I1063" s="15"/>
      <c r="J1063" s="1"/>
      <c r="K1063" s="1"/>
      <c r="L1063" s="1"/>
    </row>
    <row r="1064" ht="15.75" customHeight="1">
      <c r="A1064" s="15">
        <v>43966.0</v>
      </c>
      <c r="B1064" s="3">
        <v>1826039.0</v>
      </c>
      <c r="C1064" s="3">
        <v>1826039.0</v>
      </c>
      <c r="D1064" s="3">
        <v>-412216.75</v>
      </c>
      <c r="E1064" s="3">
        <f t="shared" si="1"/>
        <v>-0.1841687439</v>
      </c>
      <c r="H1064" s="15"/>
      <c r="I1064" s="15"/>
      <c r="J1064" s="1"/>
      <c r="K1064" s="1"/>
      <c r="L1064" s="1"/>
    </row>
    <row r="1065" ht="15.75" customHeight="1">
      <c r="A1065" s="15">
        <v>43973.0</v>
      </c>
      <c r="B1065" s="3">
        <v>1826039.0</v>
      </c>
      <c r="C1065" s="3">
        <v>1826039.0</v>
      </c>
      <c r="D1065" s="3">
        <v>-412216.75</v>
      </c>
      <c r="E1065" s="3">
        <f t="shared" si="1"/>
        <v>-0.1841687439</v>
      </c>
      <c r="H1065" s="15"/>
      <c r="I1065" s="15"/>
      <c r="J1065" s="1"/>
      <c r="K1065" s="1"/>
      <c r="L1065" s="1"/>
    </row>
    <row r="1066" ht="15.75" customHeight="1">
      <c r="A1066" s="15">
        <v>43980.0</v>
      </c>
      <c r="B1066" s="3">
        <v>1826039.0</v>
      </c>
      <c r="C1066" s="3">
        <v>1826039.0</v>
      </c>
      <c r="D1066" s="3">
        <v>-412216.75</v>
      </c>
      <c r="E1066" s="3">
        <f t="shared" si="1"/>
        <v>-0.1841687439</v>
      </c>
      <c r="H1066" s="15"/>
      <c r="I1066" s="15"/>
      <c r="J1066" s="1"/>
      <c r="K1066" s="1"/>
      <c r="L1066" s="1"/>
    </row>
    <row r="1067" ht="15.75" customHeight="1">
      <c r="A1067" s="15">
        <v>43987.0</v>
      </c>
      <c r="B1067" s="3">
        <v>1836146.38</v>
      </c>
      <c r="C1067" s="3">
        <v>1483393.75</v>
      </c>
      <c r="D1067" s="3">
        <v>-402109.38</v>
      </c>
      <c r="E1067" s="3">
        <f t="shared" si="1"/>
        <v>-0.1796530088</v>
      </c>
      <c r="H1067" s="15"/>
      <c r="I1067" s="15"/>
      <c r="J1067" s="1"/>
      <c r="K1067" s="1"/>
      <c r="L1067" s="1"/>
    </row>
    <row r="1068" ht="15.75" customHeight="1">
      <c r="A1068" s="15">
        <v>43994.0</v>
      </c>
      <c r="B1068" s="3">
        <v>1825302.5</v>
      </c>
      <c r="C1068" s="3">
        <v>1253134.88</v>
      </c>
      <c r="D1068" s="3">
        <v>-412953.25</v>
      </c>
      <c r="E1068" s="3">
        <f t="shared" si="1"/>
        <v>-0.1844977948</v>
      </c>
      <c r="H1068" s="15"/>
      <c r="I1068" s="15"/>
      <c r="J1068" s="1"/>
      <c r="K1068" s="1"/>
      <c r="L1068" s="1"/>
    </row>
    <row r="1069" ht="15.75" customHeight="1">
      <c r="A1069" s="15">
        <v>44001.0</v>
      </c>
      <c r="B1069" s="3">
        <v>1830895.75</v>
      </c>
      <c r="C1069" s="3">
        <v>1139164.0</v>
      </c>
      <c r="D1069" s="3">
        <v>-407360.0</v>
      </c>
      <c r="E1069" s="3">
        <f t="shared" si="1"/>
        <v>-0.1819988623</v>
      </c>
      <c r="H1069" s="15"/>
      <c r="I1069" s="15"/>
      <c r="J1069" s="1"/>
      <c r="K1069" s="1"/>
      <c r="L1069" s="1"/>
    </row>
    <row r="1070" ht="15.75" customHeight="1">
      <c r="A1070" s="15">
        <v>44008.0</v>
      </c>
      <c r="B1070" s="3">
        <v>1841345.13</v>
      </c>
      <c r="C1070" s="3">
        <v>681839.19</v>
      </c>
      <c r="D1070" s="3">
        <v>-396910.63</v>
      </c>
      <c r="E1070" s="3">
        <f t="shared" si="1"/>
        <v>-0.1773303297</v>
      </c>
      <c r="H1070" s="15"/>
      <c r="I1070" s="15"/>
      <c r="J1070" s="1"/>
      <c r="K1070" s="1"/>
      <c r="L1070" s="1"/>
    </row>
    <row r="1071" ht="15.75" customHeight="1">
      <c r="A1071" s="15">
        <v>44015.0</v>
      </c>
      <c r="B1071" s="3">
        <v>1906196.38</v>
      </c>
      <c r="C1071" s="3">
        <v>565020.31</v>
      </c>
      <c r="D1071" s="3">
        <v>-332059.38</v>
      </c>
      <c r="E1071" s="3">
        <f t="shared" si="1"/>
        <v>-0.1483563172</v>
      </c>
      <c r="H1071" s="15"/>
      <c r="I1071" s="15"/>
      <c r="J1071" s="1"/>
      <c r="K1071" s="1"/>
      <c r="L1071" s="1"/>
    </row>
    <row r="1072" ht="15.75" customHeight="1">
      <c r="A1072" s="15">
        <v>44022.0</v>
      </c>
      <c r="B1072" s="3">
        <v>1946358.63</v>
      </c>
      <c r="C1072" s="3">
        <v>88203.18</v>
      </c>
      <c r="D1072" s="3">
        <v>-291897.13</v>
      </c>
      <c r="E1072" s="3">
        <f t="shared" si="1"/>
        <v>-0.130412769</v>
      </c>
      <c r="H1072" s="15"/>
      <c r="I1072" s="15"/>
      <c r="J1072" s="1"/>
      <c r="K1072" s="1"/>
      <c r="L1072" s="1"/>
    </row>
    <row r="1073" ht="15.75" customHeight="1">
      <c r="A1073" s="15">
        <v>44029.0</v>
      </c>
      <c r="B1073" s="3">
        <v>1962316.5</v>
      </c>
      <c r="C1073" s="3">
        <v>88203.18</v>
      </c>
      <c r="D1073" s="3">
        <v>-275939.25</v>
      </c>
      <c r="E1073" s="3">
        <f t="shared" si="1"/>
        <v>-0.1232831637</v>
      </c>
      <c r="H1073" s="15"/>
      <c r="I1073" s="15"/>
      <c r="J1073" s="1"/>
      <c r="K1073" s="1"/>
      <c r="L1073" s="1"/>
    </row>
    <row r="1074" ht="15.75" customHeight="1">
      <c r="A1074" s="15">
        <v>44036.0</v>
      </c>
      <c r="B1074" s="3">
        <v>2011184.13</v>
      </c>
      <c r="C1074" s="3">
        <v>88203.18</v>
      </c>
      <c r="D1074" s="3">
        <v>-227071.63</v>
      </c>
      <c r="E1074" s="3">
        <f t="shared" si="1"/>
        <v>-0.101450261</v>
      </c>
      <c r="H1074" s="15"/>
      <c r="I1074" s="15"/>
      <c r="J1074" s="1"/>
      <c r="K1074" s="1"/>
      <c r="L1074" s="1"/>
    </row>
    <row r="1075" ht="15.75" customHeight="1">
      <c r="A1075" s="15">
        <v>44043.0</v>
      </c>
      <c r="B1075" s="3">
        <v>2012401.38</v>
      </c>
      <c r="C1075" s="3">
        <v>88203.18</v>
      </c>
      <c r="D1075" s="3">
        <v>-225854.38</v>
      </c>
      <c r="E1075" s="3">
        <f t="shared" si="1"/>
        <v>-0.1009064223</v>
      </c>
      <c r="H1075" s="15"/>
      <c r="I1075" s="15"/>
      <c r="J1075" s="1"/>
      <c r="K1075" s="1"/>
      <c r="L1075" s="1"/>
    </row>
    <row r="1076" ht="15.75" customHeight="1">
      <c r="A1076" s="15">
        <v>44050.0</v>
      </c>
      <c r="B1076" s="3">
        <v>2051641.38</v>
      </c>
      <c r="C1076" s="3">
        <v>88203.18</v>
      </c>
      <c r="D1076" s="3">
        <v>-186614.38</v>
      </c>
      <c r="E1076" s="3">
        <f t="shared" si="1"/>
        <v>-0.0833749137</v>
      </c>
      <c r="H1076" s="15"/>
      <c r="I1076" s="15"/>
      <c r="J1076" s="1"/>
      <c r="K1076" s="1"/>
      <c r="L1076" s="1"/>
    </row>
    <row r="1077" ht="15.75" customHeight="1">
      <c r="A1077" s="15">
        <v>44057.0</v>
      </c>
      <c r="B1077" s="3">
        <v>2062659.5</v>
      </c>
      <c r="C1077" s="3">
        <v>88203.18</v>
      </c>
      <c r="D1077" s="3">
        <v>-175596.25</v>
      </c>
      <c r="E1077" s="3">
        <f t="shared" si="1"/>
        <v>-0.07845227249</v>
      </c>
      <c r="H1077" s="15"/>
      <c r="I1077" s="15"/>
      <c r="J1077" s="1"/>
      <c r="K1077" s="1"/>
      <c r="L1077" s="1"/>
    </row>
    <row r="1078" ht="15.75" customHeight="1">
      <c r="A1078" s="15">
        <v>44064.0</v>
      </c>
      <c r="B1078" s="3">
        <v>2123797.25</v>
      </c>
      <c r="C1078" s="3">
        <v>88203.18</v>
      </c>
      <c r="D1078" s="3">
        <v>-114458.5</v>
      </c>
      <c r="E1078" s="3">
        <f t="shared" si="1"/>
        <v>-0.05113736444</v>
      </c>
      <c r="H1078" s="15"/>
      <c r="I1078" s="15"/>
      <c r="J1078" s="1"/>
      <c r="K1078" s="1"/>
      <c r="L1078" s="1"/>
    </row>
    <row r="1079" ht="15.75" customHeight="1">
      <c r="A1079" s="15">
        <v>44071.0</v>
      </c>
      <c r="B1079" s="3">
        <v>2162888.25</v>
      </c>
      <c r="C1079" s="3">
        <v>88203.18</v>
      </c>
      <c r="D1079" s="3">
        <v>-75367.5</v>
      </c>
      <c r="E1079" s="3">
        <f t="shared" si="1"/>
        <v>-0.0336724255</v>
      </c>
      <c r="H1079" s="15"/>
      <c r="I1079" s="15"/>
      <c r="J1079" s="1"/>
      <c r="K1079" s="1"/>
      <c r="L1079" s="1"/>
    </row>
    <row r="1080" ht="15.75" customHeight="1">
      <c r="A1080" s="15">
        <v>44078.0</v>
      </c>
      <c r="B1080" s="3">
        <v>2089780.5</v>
      </c>
      <c r="C1080" s="3">
        <v>88203.18</v>
      </c>
      <c r="D1080" s="3">
        <v>-148475.25</v>
      </c>
      <c r="E1080" s="3">
        <f t="shared" si="1"/>
        <v>-0.06633524788</v>
      </c>
      <c r="H1080" s="15"/>
      <c r="I1080" s="15"/>
      <c r="J1080" s="1"/>
      <c r="K1080" s="1"/>
      <c r="L1080" s="1"/>
    </row>
    <row r="1081" ht="15.75" customHeight="1">
      <c r="A1081" s="15">
        <v>44085.0</v>
      </c>
      <c r="B1081" s="3">
        <v>2064392.88</v>
      </c>
      <c r="C1081" s="3">
        <v>88203.18</v>
      </c>
      <c r="D1081" s="3">
        <v>-173862.88</v>
      </c>
      <c r="E1081" s="3">
        <f t="shared" si="1"/>
        <v>-0.07767784356</v>
      </c>
      <c r="H1081" s="15"/>
      <c r="I1081" s="15"/>
      <c r="J1081" s="1"/>
      <c r="K1081" s="1"/>
      <c r="L1081" s="1"/>
    </row>
    <row r="1082" ht="15.75" customHeight="1">
      <c r="A1082" s="15">
        <v>44092.0</v>
      </c>
      <c r="B1082" s="3">
        <v>2079599.75</v>
      </c>
      <c r="C1082" s="3">
        <v>622970.31</v>
      </c>
      <c r="D1082" s="3">
        <v>-158656.0</v>
      </c>
      <c r="E1082" s="3">
        <f t="shared" si="1"/>
        <v>-0.07088376742</v>
      </c>
      <c r="H1082" s="15"/>
      <c r="I1082" s="15"/>
      <c r="J1082" s="1"/>
      <c r="K1082" s="1"/>
      <c r="L1082" s="1"/>
    </row>
    <row r="1083" ht="15.75" customHeight="1">
      <c r="A1083" s="15">
        <v>44099.0</v>
      </c>
      <c r="B1083" s="3">
        <v>2062218.38</v>
      </c>
      <c r="C1083" s="3">
        <v>902568.06</v>
      </c>
      <c r="D1083" s="3">
        <v>-176037.38</v>
      </c>
      <c r="E1083" s="3">
        <f t="shared" si="1"/>
        <v>-0.07864935899</v>
      </c>
      <c r="H1083" s="15"/>
      <c r="I1083" s="15"/>
      <c r="J1083" s="1"/>
      <c r="K1083" s="1"/>
      <c r="L1083" s="1"/>
    </row>
    <row r="1084" ht="15.75" customHeight="1">
      <c r="A1084" s="15">
        <v>44106.0</v>
      </c>
      <c r="B1084" s="3">
        <v>2052833.38</v>
      </c>
      <c r="C1084" s="3">
        <v>1033438.06</v>
      </c>
      <c r="D1084" s="3">
        <v>-185422.38</v>
      </c>
      <c r="E1084" s="3">
        <f t="shared" si="1"/>
        <v>-0.08284235615</v>
      </c>
      <c r="H1084" s="15"/>
      <c r="I1084" s="15"/>
      <c r="J1084" s="1"/>
      <c r="K1084" s="1"/>
      <c r="L1084" s="1"/>
    </row>
    <row r="1085" ht="15.75" customHeight="1">
      <c r="A1085" s="15">
        <v>44113.0</v>
      </c>
      <c r="B1085" s="3">
        <v>2121342.5</v>
      </c>
      <c r="C1085" s="3">
        <v>1155636.5</v>
      </c>
      <c r="D1085" s="3">
        <v>-116913.25</v>
      </c>
      <c r="E1085" s="3">
        <f t="shared" si="1"/>
        <v>-0.05223408898</v>
      </c>
      <c r="H1085" s="15"/>
      <c r="I1085" s="15"/>
      <c r="J1085" s="1"/>
      <c r="K1085" s="1"/>
      <c r="L1085" s="1"/>
    </row>
    <row r="1086" ht="15.75" customHeight="1">
      <c r="A1086" s="15">
        <v>44120.0</v>
      </c>
      <c r="B1086" s="3">
        <v>2160465.25</v>
      </c>
      <c r="C1086" s="3">
        <v>90424.32</v>
      </c>
      <c r="D1086" s="3">
        <v>-77790.5</v>
      </c>
      <c r="E1086" s="3">
        <f t="shared" si="1"/>
        <v>-0.03475496489</v>
      </c>
      <c r="H1086" s="15"/>
      <c r="I1086" s="15"/>
      <c r="J1086" s="1"/>
      <c r="K1086" s="1"/>
      <c r="L1086" s="1"/>
    </row>
    <row r="1087" ht="15.75" customHeight="1">
      <c r="A1087" s="15">
        <v>44127.0</v>
      </c>
      <c r="B1087" s="3">
        <v>2156869.5</v>
      </c>
      <c r="C1087" s="3">
        <v>90424.32</v>
      </c>
      <c r="D1087" s="3">
        <v>-81386.25</v>
      </c>
      <c r="E1087" s="3">
        <f t="shared" si="1"/>
        <v>-0.03636146137</v>
      </c>
      <c r="H1087" s="15"/>
      <c r="I1087" s="15"/>
      <c r="J1087" s="1"/>
      <c r="K1087" s="1"/>
      <c r="L1087" s="1"/>
    </row>
    <row r="1088" ht="15.75" customHeight="1">
      <c r="A1088" s="15">
        <v>44134.0</v>
      </c>
      <c r="B1088" s="3">
        <v>2098915.25</v>
      </c>
      <c r="C1088" s="3">
        <v>90424.32</v>
      </c>
      <c r="D1088" s="3">
        <v>-139340.5</v>
      </c>
      <c r="E1088" s="3">
        <f t="shared" si="1"/>
        <v>-0.06225405653</v>
      </c>
      <c r="H1088" s="15"/>
      <c r="I1088" s="15"/>
      <c r="J1088" s="1"/>
      <c r="K1088" s="1"/>
      <c r="L1088" s="1"/>
    </row>
    <row r="1089" ht="15.75" customHeight="1">
      <c r="A1089" s="15">
        <v>44141.0</v>
      </c>
      <c r="B1089" s="3">
        <v>2198733.25</v>
      </c>
      <c r="C1089" s="3">
        <v>90424.32</v>
      </c>
      <c r="D1089" s="3">
        <v>-39522.5</v>
      </c>
      <c r="E1089" s="3">
        <f t="shared" si="1"/>
        <v>-0.01765772298</v>
      </c>
      <c r="H1089" s="15"/>
      <c r="I1089" s="15"/>
      <c r="J1089" s="1"/>
      <c r="K1089" s="1"/>
      <c r="L1089" s="1"/>
    </row>
    <row r="1090" ht="15.75" customHeight="1">
      <c r="A1090" s="15">
        <v>44148.0</v>
      </c>
      <c r="B1090" s="3">
        <v>2187367.0</v>
      </c>
      <c r="C1090" s="3">
        <v>94657.65</v>
      </c>
      <c r="D1090" s="3">
        <v>-50888.75</v>
      </c>
      <c r="E1090" s="3">
        <f t="shared" si="1"/>
        <v>-0.02273589602</v>
      </c>
      <c r="H1090" s="15"/>
      <c r="I1090" s="15"/>
      <c r="J1090" s="1"/>
      <c r="K1090" s="1"/>
      <c r="L1090" s="1"/>
    </row>
    <row r="1091" ht="15.75" customHeight="1">
      <c r="A1091" s="15">
        <v>44155.0</v>
      </c>
      <c r="B1091" s="3">
        <v>2159671.5</v>
      </c>
      <c r="C1091" s="3">
        <v>94657.65</v>
      </c>
      <c r="D1091" s="3">
        <v>-78584.25</v>
      </c>
      <c r="E1091" s="3">
        <f t="shared" si="1"/>
        <v>-0.03510959371</v>
      </c>
      <c r="H1091" s="15"/>
      <c r="I1091" s="15"/>
      <c r="J1091" s="1"/>
      <c r="K1091" s="1"/>
      <c r="L1091" s="1"/>
    </row>
    <row r="1092" ht="15.75" customHeight="1">
      <c r="A1092" s="15">
        <v>44162.0</v>
      </c>
      <c r="B1092" s="3">
        <v>2150454.75</v>
      </c>
      <c r="C1092" s="3">
        <v>94657.65</v>
      </c>
      <c r="D1092" s="3">
        <v>-87801.0</v>
      </c>
      <c r="E1092" s="3">
        <f t="shared" si="1"/>
        <v>-0.03922742073</v>
      </c>
      <c r="H1092" s="15"/>
      <c r="I1092" s="15"/>
      <c r="J1092" s="1"/>
      <c r="K1092" s="1"/>
      <c r="L1092" s="1"/>
    </row>
    <row r="1093" ht="15.75" customHeight="1">
      <c r="A1093" s="15">
        <v>44169.0</v>
      </c>
      <c r="B1093" s="3">
        <v>2196089.25</v>
      </c>
      <c r="C1093" s="3">
        <v>61775.38</v>
      </c>
      <c r="D1093" s="3">
        <v>-42166.5</v>
      </c>
      <c r="E1093" s="3">
        <f t="shared" si="1"/>
        <v>-0.01883899997</v>
      </c>
      <c r="H1093" s="15"/>
      <c r="I1093" s="15"/>
      <c r="J1093" s="1"/>
      <c r="K1093" s="1"/>
      <c r="L1093" s="1"/>
    </row>
    <row r="1094" ht="15.75" customHeight="1">
      <c r="A1094" s="15">
        <v>44176.0</v>
      </c>
      <c r="B1094" s="3">
        <v>2204209.75</v>
      </c>
      <c r="C1094" s="3">
        <v>61775.38</v>
      </c>
      <c r="D1094" s="3">
        <v>-34046.0</v>
      </c>
      <c r="E1094" s="3">
        <f t="shared" si="1"/>
        <v>-0.01521095165</v>
      </c>
      <c r="H1094" s="15"/>
      <c r="I1094" s="15"/>
      <c r="J1094" s="1"/>
      <c r="K1094" s="1"/>
      <c r="L1094" s="1"/>
    </row>
    <row r="1095" ht="15.75" customHeight="1">
      <c r="A1095" s="15">
        <v>44183.0</v>
      </c>
      <c r="B1095" s="3">
        <v>2226690.0</v>
      </c>
      <c r="C1095" s="3">
        <v>61775.38</v>
      </c>
      <c r="D1095" s="3">
        <v>-11565.75</v>
      </c>
      <c r="E1095" s="3">
        <f t="shared" si="1"/>
        <v>-0.005167304943</v>
      </c>
      <c r="H1095" s="15"/>
      <c r="I1095" s="15"/>
      <c r="J1095" s="1"/>
      <c r="K1095" s="1"/>
      <c r="L1095" s="1"/>
    </row>
    <row r="1096" ht="15.75" customHeight="1">
      <c r="A1096" s="15">
        <v>44189.0</v>
      </c>
      <c r="B1096" s="3">
        <v>2201694.0</v>
      </c>
      <c r="C1096" s="3">
        <v>61775.38</v>
      </c>
      <c r="D1096" s="3">
        <v>-36561.75</v>
      </c>
      <c r="E1096" s="3">
        <f t="shared" si="1"/>
        <v>-0.01633492955</v>
      </c>
      <c r="H1096" s="15"/>
      <c r="I1096" s="15"/>
      <c r="J1096" s="1"/>
      <c r="K1096" s="1"/>
      <c r="L1096" s="1"/>
    </row>
    <row r="1097" ht="15.75" customHeight="1">
      <c r="A1097" s="15">
        <v>44196.0</v>
      </c>
      <c r="B1097" s="3">
        <v>2204600.0</v>
      </c>
      <c r="C1097" s="3">
        <v>61775.38</v>
      </c>
      <c r="D1097" s="3">
        <v>-33655.75</v>
      </c>
      <c r="E1097" s="3">
        <f t="shared" si="1"/>
        <v>-0.01503659714</v>
      </c>
      <c r="H1097" s="15"/>
      <c r="I1097" s="15"/>
      <c r="J1097" s="1"/>
      <c r="K1097" s="1"/>
      <c r="L1097" s="1"/>
    </row>
    <row r="1098" ht="15.75" customHeight="1">
      <c r="A1098" s="15">
        <v>44204.0</v>
      </c>
      <c r="B1098" s="3">
        <v>2245307.0</v>
      </c>
      <c r="C1098" s="3">
        <v>61775.38</v>
      </c>
      <c r="D1098" s="3">
        <v>0.0</v>
      </c>
      <c r="E1098" s="3">
        <f t="shared" si="1"/>
        <v>0</v>
      </c>
      <c r="H1098" s="15"/>
      <c r="I1098" s="15"/>
      <c r="J1098" s="1"/>
      <c r="K1098" s="1"/>
      <c r="L1098" s="1"/>
    </row>
    <row r="1099" ht="15.75" customHeight="1">
      <c r="A1099" s="15">
        <v>44211.0</v>
      </c>
      <c r="B1099" s="3">
        <v>2175512.0</v>
      </c>
      <c r="C1099" s="3">
        <v>19164.98</v>
      </c>
      <c r="D1099" s="3">
        <v>-69795.0</v>
      </c>
      <c r="E1099" s="3">
        <f t="shared" si="1"/>
        <v>-0.03108483606</v>
      </c>
      <c r="H1099" s="15"/>
      <c r="I1099" s="15"/>
      <c r="J1099" s="1"/>
      <c r="K1099" s="1"/>
      <c r="L1099" s="1"/>
    </row>
    <row r="1100" ht="15.75" customHeight="1">
      <c r="A1100" s="15">
        <v>44218.0</v>
      </c>
      <c r="B1100" s="3">
        <v>2246166.75</v>
      </c>
      <c r="C1100" s="3">
        <v>19164.98</v>
      </c>
      <c r="D1100" s="3">
        <v>0.0</v>
      </c>
      <c r="E1100" s="3">
        <f t="shared" si="1"/>
        <v>0</v>
      </c>
      <c r="H1100" s="15"/>
      <c r="I1100" s="15"/>
      <c r="J1100" s="1"/>
      <c r="K1100" s="1"/>
      <c r="L1100" s="1"/>
    </row>
    <row r="1101" ht="15.75" customHeight="1">
      <c r="A1101" s="15">
        <v>44225.0</v>
      </c>
      <c r="B1101" s="3">
        <v>2183476.75</v>
      </c>
      <c r="C1101" s="3">
        <v>19164.98</v>
      </c>
      <c r="D1101" s="3">
        <v>-62690.0</v>
      </c>
      <c r="E1101" s="3">
        <f t="shared" si="1"/>
        <v>-0.02790977117</v>
      </c>
      <c r="H1101" s="15"/>
      <c r="I1101" s="15"/>
      <c r="J1101" s="1"/>
      <c r="K1101" s="1"/>
      <c r="L1101" s="1"/>
    </row>
    <row r="1102" ht="15.75" customHeight="1">
      <c r="A1102" s="15">
        <v>44232.0</v>
      </c>
      <c r="B1102" s="3">
        <v>2259714.0</v>
      </c>
      <c r="C1102" s="3">
        <v>19164.98</v>
      </c>
      <c r="D1102" s="3">
        <v>0.0</v>
      </c>
      <c r="E1102" s="3">
        <f t="shared" si="1"/>
        <v>0</v>
      </c>
      <c r="H1102" s="15"/>
      <c r="I1102" s="15"/>
      <c r="J1102" s="1"/>
      <c r="K1102" s="1"/>
      <c r="L1102" s="1"/>
    </row>
    <row r="1103" ht="15.75" customHeight="1">
      <c r="A1103" s="15">
        <v>44239.0</v>
      </c>
      <c r="B1103" s="3">
        <v>2255017.25</v>
      </c>
      <c r="C1103" s="3">
        <v>117730.39</v>
      </c>
      <c r="D1103" s="3">
        <v>-4696.75</v>
      </c>
      <c r="E1103" s="3">
        <f t="shared" si="1"/>
        <v>-0.002078470992</v>
      </c>
      <c r="H1103" s="15"/>
      <c r="I1103" s="15"/>
      <c r="J1103" s="1"/>
      <c r="K1103" s="1"/>
      <c r="L1103" s="1"/>
    </row>
    <row r="1104" ht="15.75" customHeight="1">
      <c r="A1104" s="15">
        <v>44246.0</v>
      </c>
      <c r="B1104" s="3">
        <v>2218975.25</v>
      </c>
      <c r="C1104" s="3">
        <v>117730.39</v>
      </c>
      <c r="D1104" s="3">
        <v>-40738.75</v>
      </c>
      <c r="E1104" s="3">
        <f t="shared" si="1"/>
        <v>-0.01802827703</v>
      </c>
      <c r="H1104" s="15"/>
      <c r="I1104" s="15"/>
      <c r="J1104" s="1"/>
      <c r="K1104" s="1"/>
      <c r="L1104" s="1"/>
    </row>
    <row r="1105" ht="15.75" customHeight="1">
      <c r="A1105" s="15">
        <v>44253.0</v>
      </c>
      <c r="B1105" s="3">
        <v>2221748.5</v>
      </c>
      <c r="C1105" s="3">
        <v>117730.39</v>
      </c>
      <c r="D1105" s="3">
        <v>-37965.5</v>
      </c>
      <c r="E1105" s="3">
        <f t="shared" si="1"/>
        <v>-0.01680101995</v>
      </c>
      <c r="H1105" s="15"/>
      <c r="I1105" s="15"/>
      <c r="J1105" s="1"/>
      <c r="K1105" s="1"/>
      <c r="L1105" s="1"/>
    </row>
    <row r="1106" ht="15.75" customHeight="1">
      <c r="A1106" s="15">
        <v>44260.0</v>
      </c>
      <c r="B1106" s="3">
        <v>2221619.5</v>
      </c>
      <c r="C1106" s="3">
        <v>117730.39</v>
      </c>
      <c r="D1106" s="3">
        <v>-38094.5</v>
      </c>
      <c r="E1106" s="3">
        <f t="shared" si="1"/>
        <v>-0.01685810682</v>
      </c>
      <c r="H1106" s="15"/>
      <c r="I1106" s="15"/>
      <c r="J1106" s="1"/>
      <c r="K1106" s="1"/>
      <c r="L1106" s="1"/>
    </row>
    <row r="1107" ht="15.75" customHeight="1">
      <c r="A1107" s="15">
        <v>44267.0</v>
      </c>
      <c r="B1107" s="3">
        <v>2262818.75</v>
      </c>
      <c r="C1107" s="3">
        <v>841934.38</v>
      </c>
      <c r="D1107" s="3">
        <v>0.0</v>
      </c>
      <c r="E1107" s="3">
        <f t="shared" si="1"/>
        <v>0</v>
      </c>
      <c r="H1107" s="15"/>
      <c r="I1107" s="15"/>
      <c r="J1107" s="1"/>
      <c r="K1107" s="1"/>
      <c r="L1107" s="1"/>
    </row>
    <row r="1108" ht="15.75" customHeight="1">
      <c r="A1108" s="15">
        <v>44274.0</v>
      </c>
      <c r="B1108" s="3">
        <v>2278367.5</v>
      </c>
      <c r="C1108" s="3">
        <v>558534.06</v>
      </c>
      <c r="D1108" s="3">
        <v>0.0</v>
      </c>
      <c r="E1108" s="3">
        <f t="shared" si="1"/>
        <v>0</v>
      </c>
      <c r="H1108" s="15"/>
      <c r="I1108" s="15"/>
      <c r="J1108" s="1"/>
      <c r="K1108" s="1"/>
      <c r="L1108" s="1"/>
    </row>
    <row r="1109" ht="15.75" customHeight="1">
      <c r="A1109" s="15">
        <v>44281.0</v>
      </c>
      <c r="B1109" s="3">
        <v>2277419.5</v>
      </c>
      <c r="C1109" s="3">
        <v>558534.06</v>
      </c>
      <c r="D1109" s="3">
        <v>-948.0</v>
      </c>
      <c r="E1109" s="3">
        <f t="shared" si="1"/>
        <v>-0.0004160873959</v>
      </c>
      <c r="H1109" s="15"/>
      <c r="I1109" s="15"/>
      <c r="J1109" s="1"/>
      <c r="K1109" s="1"/>
      <c r="L1109" s="1"/>
    </row>
    <row r="1110" ht="15.75" customHeight="1">
      <c r="A1110" s="15">
        <v>44287.0</v>
      </c>
      <c r="B1110" s="3">
        <v>2277398.75</v>
      </c>
      <c r="C1110" s="3">
        <v>130495.02</v>
      </c>
      <c r="D1110" s="3">
        <v>-968.75</v>
      </c>
      <c r="E1110" s="3">
        <f t="shared" si="1"/>
        <v>-0.0004251947941</v>
      </c>
      <c r="H1110" s="15"/>
      <c r="I1110" s="15"/>
      <c r="J1110" s="1"/>
      <c r="K1110" s="1"/>
      <c r="L1110" s="1"/>
    </row>
    <row r="1111" ht="15.75" customHeight="1">
      <c r="A1111" s="15">
        <v>44295.0</v>
      </c>
      <c r="B1111" s="3">
        <v>2344769.5</v>
      </c>
      <c r="C1111" s="3">
        <v>130495.02</v>
      </c>
      <c r="D1111" s="3">
        <v>0.0</v>
      </c>
      <c r="E1111" s="3">
        <f t="shared" si="1"/>
        <v>0</v>
      </c>
      <c r="H1111" s="15"/>
      <c r="I1111" s="15"/>
      <c r="J1111" s="1"/>
      <c r="K1111" s="1"/>
      <c r="L1111" s="1"/>
    </row>
    <row r="1112" ht="15.75" customHeight="1">
      <c r="A1112" s="15">
        <v>44302.0</v>
      </c>
      <c r="B1112" s="3">
        <v>2372706.25</v>
      </c>
      <c r="C1112" s="3">
        <v>130495.02</v>
      </c>
      <c r="D1112" s="3">
        <v>0.0</v>
      </c>
      <c r="E1112" s="3">
        <f t="shared" si="1"/>
        <v>0</v>
      </c>
      <c r="H1112" s="15"/>
      <c r="I1112" s="15"/>
      <c r="J1112" s="1"/>
      <c r="K1112" s="1"/>
      <c r="L1112" s="1"/>
    </row>
    <row r="1113" ht="15.75" customHeight="1">
      <c r="A1113" s="15">
        <v>44309.0</v>
      </c>
      <c r="B1113" s="3">
        <v>2384529.5</v>
      </c>
      <c r="C1113" s="3">
        <v>130495.02</v>
      </c>
      <c r="D1113" s="3">
        <v>0.0</v>
      </c>
      <c r="E1113" s="3">
        <f t="shared" si="1"/>
        <v>0</v>
      </c>
      <c r="H1113" s="15"/>
      <c r="I1113" s="15"/>
      <c r="J1113" s="1"/>
      <c r="K1113" s="1"/>
      <c r="L1113" s="1"/>
    </row>
    <row r="1114" ht="15.75" customHeight="1">
      <c r="A1114" s="15">
        <v>44316.0</v>
      </c>
      <c r="B1114" s="3">
        <v>2349860.75</v>
      </c>
      <c r="C1114" s="3">
        <v>130495.02</v>
      </c>
      <c r="D1114" s="3">
        <v>-34668.75</v>
      </c>
      <c r="E1114" s="3">
        <f t="shared" si="1"/>
        <v>-0.0145390317</v>
      </c>
      <c r="H1114" s="15"/>
      <c r="I1114" s="15"/>
      <c r="J1114" s="1"/>
      <c r="K1114" s="1"/>
      <c r="L1114" s="1"/>
    </row>
    <row r="1115" ht="15.75" customHeight="1">
      <c r="A1115" s="15">
        <v>44323.0</v>
      </c>
      <c r="B1115" s="3">
        <v>2363151.75</v>
      </c>
      <c r="C1115" s="3">
        <v>130495.02</v>
      </c>
      <c r="D1115" s="3">
        <v>-21377.75</v>
      </c>
      <c r="E1115" s="3">
        <f t="shared" si="1"/>
        <v>-0.008965185795</v>
      </c>
      <c r="H1115" s="15"/>
      <c r="I1115" s="15"/>
      <c r="J1115" s="1"/>
      <c r="K1115" s="1"/>
      <c r="L1115" s="1"/>
    </row>
    <row r="1116" ht="15.75" customHeight="1">
      <c r="A1116" s="15">
        <v>44330.0</v>
      </c>
      <c r="B1116" s="3">
        <v>2338925.0</v>
      </c>
      <c r="C1116" s="3">
        <v>130495.02</v>
      </c>
      <c r="D1116" s="3">
        <v>-45604.5</v>
      </c>
      <c r="E1116" s="3">
        <f t="shared" si="1"/>
        <v>-0.01912515656</v>
      </c>
      <c r="H1116" s="15"/>
      <c r="I1116" s="15"/>
      <c r="J1116" s="1"/>
      <c r="K1116" s="1"/>
      <c r="L1116" s="1"/>
    </row>
    <row r="1117" ht="15.75" customHeight="1">
      <c r="A1117" s="15">
        <v>44337.0</v>
      </c>
      <c r="B1117" s="3">
        <v>2339870.5</v>
      </c>
      <c r="C1117" s="3">
        <v>130495.02</v>
      </c>
      <c r="D1117" s="3">
        <v>-44659.0</v>
      </c>
      <c r="E1117" s="3">
        <f t="shared" si="1"/>
        <v>-0.01872864228</v>
      </c>
      <c r="H1117" s="15"/>
      <c r="I1117" s="15"/>
      <c r="J1117" s="1"/>
      <c r="K1117" s="1"/>
      <c r="L1117" s="1"/>
    </row>
    <row r="1118" ht="15.75" customHeight="1">
      <c r="A1118" s="15">
        <v>44344.0</v>
      </c>
      <c r="B1118" s="3">
        <v>2373306.25</v>
      </c>
      <c r="C1118" s="3">
        <v>130495.02</v>
      </c>
      <c r="D1118" s="3">
        <v>-11223.25</v>
      </c>
      <c r="E1118" s="3">
        <f t="shared" si="1"/>
        <v>-0.00470669371</v>
      </c>
      <c r="H1118" s="15"/>
      <c r="I1118" s="15"/>
      <c r="J1118" s="1"/>
      <c r="K1118" s="1"/>
      <c r="L1118" s="1"/>
    </row>
    <row r="1119" ht="15.75" customHeight="1">
      <c r="A1119" s="15">
        <v>44351.0</v>
      </c>
      <c r="B1119" s="3">
        <v>2400230.5</v>
      </c>
      <c r="C1119" s="3">
        <v>130495.02</v>
      </c>
      <c r="D1119" s="3">
        <v>0.0</v>
      </c>
      <c r="E1119" s="3">
        <f t="shared" si="1"/>
        <v>0</v>
      </c>
      <c r="H1119" s="15"/>
      <c r="I1119" s="15"/>
      <c r="J1119" s="1"/>
      <c r="K1119" s="1"/>
      <c r="L1119" s="1"/>
    </row>
    <row r="1120" ht="15.75" customHeight="1">
      <c r="A1120" s="15">
        <v>44358.0</v>
      </c>
      <c r="B1120" s="3">
        <v>2419462.5</v>
      </c>
      <c r="C1120" s="3">
        <v>130495.02</v>
      </c>
      <c r="D1120" s="3">
        <v>0.0</v>
      </c>
      <c r="E1120" s="3">
        <f t="shared" si="1"/>
        <v>0</v>
      </c>
      <c r="H1120" s="15"/>
      <c r="I1120" s="15"/>
      <c r="J1120" s="1"/>
      <c r="K1120" s="1"/>
      <c r="L1120" s="1"/>
    </row>
    <row r="1121" ht="15.75" customHeight="1">
      <c r="A1121" s="15">
        <v>44365.0</v>
      </c>
      <c r="B1121" s="3">
        <v>2420265.25</v>
      </c>
      <c r="C1121" s="3">
        <v>130495.02</v>
      </c>
      <c r="D1121" s="3">
        <v>0.0</v>
      </c>
      <c r="E1121" s="3">
        <f t="shared" si="1"/>
        <v>0</v>
      </c>
      <c r="H1121" s="15"/>
      <c r="I1121" s="15"/>
      <c r="J1121" s="1"/>
      <c r="K1121" s="1"/>
      <c r="L1121" s="1"/>
    </row>
    <row r="1122" ht="15.75" customHeight="1">
      <c r="A1122" s="15">
        <v>44372.0</v>
      </c>
      <c r="B1122" s="3">
        <v>2454916.75</v>
      </c>
      <c r="C1122" s="3">
        <v>130495.02</v>
      </c>
      <c r="D1122" s="3">
        <v>0.0</v>
      </c>
      <c r="E1122" s="3">
        <f t="shared" si="1"/>
        <v>0</v>
      </c>
      <c r="H1122" s="15"/>
      <c r="I1122" s="15"/>
      <c r="J1122" s="1"/>
      <c r="K1122" s="1"/>
      <c r="L1122" s="1"/>
    </row>
    <row r="1123" ht="15.75" customHeight="1">
      <c r="A1123" s="15">
        <v>44379.0</v>
      </c>
      <c r="B1123" s="3">
        <v>2476056.5</v>
      </c>
      <c r="C1123" s="3">
        <v>130495.02</v>
      </c>
      <c r="D1123" s="3">
        <v>0.0</v>
      </c>
      <c r="E1123" s="3">
        <f t="shared" si="1"/>
        <v>0</v>
      </c>
      <c r="H1123" s="15"/>
      <c r="I1123" s="15"/>
      <c r="J1123" s="1"/>
      <c r="K1123" s="1"/>
      <c r="L1123" s="1"/>
    </row>
    <row r="1124" ht="15.75" customHeight="1">
      <c r="A1124" s="15">
        <v>44386.0</v>
      </c>
      <c r="B1124" s="3">
        <v>2427346.0</v>
      </c>
      <c r="C1124" s="3">
        <v>130495.02</v>
      </c>
      <c r="D1124" s="3">
        <v>-48710.5</v>
      </c>
      <c r="E1124" s="3">
        <f t="shared" si="1"/>
        <v>-0.01967261248</v>
      </c>
      <c r="H1124" s="15"/>
      <c r="I1124" s="15"/>
      <c r="J1124" s="1"/>
      <c r="K1124" s="1"/>
      <c r="L1124" s="1"/>
    </row>
    <row r="1125" ht="15.75" customHeight="1">
      <c r="A1125" s="15">
        <v>44393.0</v>
      </c>
      <c r="B1125" s="3">
        <v>2471153.75</v>
      </c>
      <c r="C1125" s="3">
        <v>130495.02</v>
      </c>
      <c r="D1125" s="3">
        <v>-4902.75</v>
      </c>
      <c r="E1125" s="3">
        <f t="shared" si="1"/>
        <v>-0.001980063864</v>
      </c>
      <c r="H1125" s="15"/>
      <c r="I1125" s="15"/>
      <c r="J1125" s="1"/>
      <c r="K1125" s="1"/>
      <c r="L1125" s="1"/>
    </row>
    <row r="1126" ht="15.75" customHeight="1">
      <c r="A1126" s="15">
        <v>44400.0</v>
      </c>
      <c r="B1126" s="3">
        <v>2514112.5</v>
      </c>
      <c r="C1126" s="3">
        <v>130495.02</v>
      </c>
      <c r="D1126" s="3">
        <v>0.0</v>
      </c>
      <c r="E1126" s="3">
        <f t="shared" si="1"/>
        <v>0</v>
      </c>
      <c r="H1126" s="15"/>
      <c r="I1126" s="15"/>
      <c r="J1126" s="1"/>
      <c r="K1126" s="1"/>
      <c r="L1126" s="1"/>
    </row>
    <row r="1127" ht="15.75" customHeight="1">
      <c r="A1127" s="15">
        <v>44407.0</v>
      </c>
      <c r="B1127" s="3">
        <v>2517008.25</v>
      </c>
      <c r="C1127" s="3">
        <v>130495.02</v>
      </c>
      <c r="D1127" s="3">
        <v>0.0</v>
      </c>
      <c r="E1127" s="3">
        <f t="shared" si="1"/>
        <v>0</v>
      </c>
      <c r="H1127" s="15"/>
      <c r="I1127" s="15"/>
      <c r="J1127" s="1"/>
      <c r="K1127" s="1"/>
      <c r="L1127" s="1"/>
    </row>
    <row r="1128" ht="15.75" customHeight="1">
      <c r="A1128" s="15">
        <v>44414.0</v>
      </c>
      <c r="B1128" s="3">
        <v>2500906.0</v>
      </c>
      <c r="C1128" s="3">
        <v>130495.02</v>
      </c>
      <c r="D1128" s="3">
        <v>-16102.25</v>
      </c>
      <c r="E1128" s="3">
        <f t="shared" si="1"/>
        <v>-0.006397376727</v>
      </c>
      <c r="H1128" s="15"/>
      <c r="I1128" s="15"/>
      <c r="J1128" s="1"/>
      <c r="K1128" s="1"/>
      <c r="L1128" s="1"/>
    </row>
    <row r="1129" ht="15.75" customHeight="1">
      <c r="A1129" s="15">
        <v>44421.0</v>
      </c>
      <c r="B1129" s="3">
        <v>2562108.75</v>
      </c>
      <c r="C1129" s="3">
        <v>130495.02</v>
      </c>
      <c r="D1129" s="3">
        <v>0.0</v>
      </c>
      <c r="E1129" s="3">
        <f t="shared" si="1"/>
        <v>0</v>
      </c>
      <c r="H1129" s="15"/>
      <c r="I1129" s="15"/>
      <c r="J1129" s="1"/>
      <c r="K1129" s="1"/>
      <c r="L1129" s="1"/>
    </row>
    <row r="1130" ht="15.75" customHeight="1">
      <c r="A1130" s="15">
        <v>44428.0</v>
      </c>
      <c r="B1130" s="3">
        <v>2520234.5</v>
      </c>
      <c r="C1130" s="3">
        <v>130495.02</v>
      </c>
      <c r="D1130" s="3">
        <v>-41874.25</v>
      </c>
      <c r="E1130" s="3">
        <f t="shared" si="1"/>
        <v>-0.01634366613</v>
      </c>
      <c r="H1130" s="15"/>
      <c r="I1130" s="15"/>
      <c r="J1130" s="1"/>
      <c r="K1130" s="1"/>
      <c r="L1130" s="1"/>
    </row>
    <row r="1131" ht="15.75" customHeight="1">
      <c r="A1131" s="15">
        <v>44435.0</v>
      </c>
      <c r="B1131" s="3">
        <v>2560897.25</v>
      </c>
      <c r="C1131" s="3">
        <v>130495.02</v>
      </c>
      <c r="D1131" s="3">
        <v>-1211.5</v>
      </c>
      <c r="E1131" s="3">
        <f t="shared" si="1"/>
        <v>-0.0004728526843</v>
      </c>
      <c r="H1131" s="15"/>
      <c r="I1131" s="15"/>
      <c r="J1131" s="1"/>
      <c r="K1131" s="1"/>
      <c r="L1131" s="1"/>
    </row>
    <row r="1132" ht="15.75" customHeight="1">
      <c r="A1132" s="15">
        <v>44442.0</v>
      </c>
      <c r="B1132" s="3">
        <v>2642197.25</v>
      </c>
      <c r="C1132" s="3">
        <v>130495.02</v>
      </c>
      <c r="D1132" s="3">
        <v>0.0</v>
      </c>
      <c r="E1132" s="3">
        <f t="shared" si="1"/>
        <v>0</v>
      </c>
      <c r="H1132" s="15"/>
      <c r="I1132" s="15"/>
      <c r="J1132" s="1"/>
      <c r="K1132" s="1"/>
      <c r="L1132" s="1"/>
    </row>
    <row r="1133" ht="15.75" customHeight="1">
      <c r="A1133" s="15">
        <v>44449.0</v>
      </c>
      <c r="B1133" s="3">
        <v>2647278.75</v>
      </c>
      <c r="C1133" s="3">
        <v>130495.02</v>
      </c>
      <c r="D1133" s="3">
        <v>0.0</v>
      </c>
      <c r="E1133" s="3">
        <f t="shared" si="1"/>
        <v>0</v>
      </c>
      <c r="H1133" s="15"/>
      <c r="I1133" s="15"/>
      <c r="J1133" s="1"/>
      <c r="K1133" s="1"/>
      <c r="L1133" s="1"/>
    </row>
    <row r="1134" ht="15.75" customHeight="1">
      <c r="A1134" s="15">
        <v>44456.0</v>
      </c>
      <c r="B1134" s="3">
        <v>2646363.5</v>
      </c>
      <c r="C1134" s="3">
        <v>130495.02</v>
      </c>
      <c r="D1134" s="3">
        <v>-915.25</v>
      </c>
      <c r="E1134" s="3">
        <f t="shared" si="1"/>
        <v>-0.0003457323865</v>
      </c>
      <c r="H1134" s="15"/>
      <c r="I1134" s="15"/>
      <c r="J1134" s="1"/>
      <c r="K1134" s="1"/>
      <c r="L1134" s="1"/>
    </row>
    <row r="1135" ht="15.75" customHeight="1">
      <c r="A1135" s="15">
        <v>44463.0</v>
      </c>
      <c r="B1135" s="3">
        <v>2673975.25</v>
      </c>
      <c r="C1135" s="3">
        <v>130495.02</v>
      </c>
      <c r="D1135" s="3">
        <v>0.0</v>
      </c>
      <c r="E1135" s="3">
        <f t="shared" si="1"/>
        <v>0</v>
      </c>
      <c r="H1135" s="15"/>
      <c r="I1135" s="15"/>
      <c r="J1135" s="1"/>
      <c r="K1135" s="1"/>
      <c r="L1135" s="1"/>
    </row>
    <row r="1136" ht="15.75" customHeight="1">
      <c r="A1136" s="15">
        <v>44470.0</v>
      </c>
      <c r="B1136" s="3">
        <v>2618738.5</v>
      </c>
      <c r="C1136" s="3">
        <v>337767.91</v>
      </c>
      <c r="D1136" s="3">
        <v>-55236.75</v>
      </c>
      <c r="E1136" s="3">
        <f t="shared" si="1"/>
        <v>-0.02065716577</v>
      </c>
      <c r="H1136" s="15"/>
      <c r="I1136" s="15"/>
      <c r="J1136" s="1"/>
      <c r="K1136" s="1"/>
      <c r="L1136" s="1"/>
    </row>
    <row r="1137" ht="15.75" customHeight="1">
      <c r="A1137" s="15">
        <v>44477.0</v>
      </c>
      <c r="B1137" s="3">
        <v>2640280.5</v>
      </c>
      <c r="C1137" s="3">
        <v>337767.91</v>
      </c>
      <c r="D1137" s="3">
        <v>-33694.75</v>
      </c>
      <c r="E1137" s="3">
        <f t="shared" si="1"/>
        <v>-0.01260099547</v>
      </c>
      <c r="H1137" s="15"/>
      <c r="I1137" s="15"/>
      <c r="J1137" s="1"/>
      <c r="K1137" s="1"/>
      <c r="L1137" s="1"/>
    </row>
    <row r="1138" ht="15.75" customHeight="1">
      <c r="A1138" s="15">
        <v>44484.0</v>
      </c>
      <c r="B1138" s="3">
        <v>2671684.0</v>
      </c>
      <c r="C1138" s="3">
        <v>337767.91</v>
      </c>
      <c r="D1138" s="3">
        <v>-2291.25</v>
      </c>
      <c r="E1138" s="3">
        <f t="shared" si="1"/>
        <v>-0.0008568703095</v>
      </c>
      <c r="H1138" s="15"/>
      <c r="I1138" s="15"/>
      <c r="J1138" s="1"/>
      <c r="K1138" s="1"/>
      <c r="L1138" s="1"/>
    </row>
    <row r="1139" ht="15.75" customHeight="1">
      <c r="A1139" s="15">
        <v>44491.0</v>
      </c>
      <c r="B1139" s="3">
        <v>2653506.0</v>
      </c>
      <c r="C1139" s="3">
        <v>527320.19</v>
      </c>
      <c r="D1139" s="3">
        <v>-20469.25</v>
      </c>
      <c r="E1139" s="3">
        <f t="shared" si="1"/>
        <v>-0.007654988579</v>
      </c>
      <c r="H1139" s="15"/>
      <c r="I1139" s="15"/>
      <c r="J1139" s="1"/>
      <c r="K1139" s="1"/>
      <c r="L1139" s="1"/>
    </row>
    <row r="1140" ht="15.75" customHeight="1">
      <c r="A1140" s="15">
        <v>44498.0</v>
      </c>
      <c r="B1140" s="3">
        <v>2639490.5</v>
      </c>
      <c r="C1140" s="3">
        <v>27809.58</v>
      </c>
      <c r="D1140" s="3">
        <v>-34484.75</v>
      </c>
      <c r="E1140" s="3">
        <f t="shared" si="1"/>
        <v>-0.01289643575</v>
      </c>
      <c r="H1140" s="15"/>
      <c r="I1140" s="15"/>
      <c r="J1140" s="1"/>
      <c r="K1140" s="1"/>
      <c r="L1140" s="1"/>
    </row>
    <row r="1141" ht="15.75" customHeight="1">
      <c r="A1141" s="15">
        <v>44505.0</v>
      </c>
      <c r="B1141" s="3">
        <v>2675439.25</v>
      </c>
      <c r="C1141" s="3">
        <v>27809.58</v>
      </c>
      <c r="D1141" s="3">
        <v>0.0</v>
      </c>
      <c r="E1141" s="3">
        <f t="shared" si="1"/>
        <v>0</v>
      </c>
      <c r="H1141" s="15"/>
      <c r="I1141" s="15"/>
      <c r="J1141" s="1"/>
      <c r="K1141" s="1"/>
      <c r="L1141" s="1"/>
    </row>
    <row r="1142" ht="15.75" customHeight="1">
      <c r="A1142" s="15">
        <v>44512.0</v>
      </c>
      <c r="B1142" s="3">
        <v>2649064.0</v>
      </c>
      <c r="C1142" s="3">
        <v>27809.58</v>
      </c>
      <c r="D1142" s="3">
        <v>-26375.25</v>
      </c>
      <c r="E1142" s="3">
        <f t="shared" si="1"/>
        <v>-0.009858287756</v>
      </c>
      <c r="H1142" s="15"/>
      <c r="I1142" s="15"/>
      <c r="J1142" s="1"/>
      <c r="K1142" s="1"/>
      <c r="L1142" s="1"/>
    </row>
    <row r="1143" ht="15.75" customHeight="1">
      <c r="A1143" s="15">
        <v>44519.0</v>
      </c>
      <c r="B1143" s="3">
        <v>2675669.75</v>
      </c>
      <c r="C1143" s="3">
        <v>27809.58</v>
      </c>
      <c r="D1143" s="3">
        <v>0.0</v>
      </c>
      <c r="E1143" s="3">
        <f t="shared" si="1"/>
        <v>0</v>
      </c>
      <c r="H1143" s="15"/>
      <c r="I1143" s="15"/>
      <c r="J1143" s="1"/>
      <c r="K1143" s="1"/>
      <c r="L1143" s="1"/>
    </row>
    <row r="1144" ht="15.75" customHeight="1">
      <c r="A1144" s="15">
        <v>44526.0</v>
      </c>
      <c r="B1144" s="3">
        <v>2573969.0</v>
      </c>
      <c r="C1144" s="3">
        <v>27809.58</v>
      </c>
      <c r="D1144" s="3">
        <v>-101700.75</v>
      </c>
      <c r="E1144" s="3">
        <f t="shared" si="1"/>
        <v>-0.03800945539</v>
      </c>
      <c r="H1144" s="15"/>
      <c r="I1144" s="15"/>
      <c r="J1144" s="1"/>
      <c r="K1144" s="1"/>
      <c r="L1144" s="1"/>
    </row>
    <row r="1145" ht="15.75" customHeight="1">
      <c r="A1145" s="15">
        <v>44533.0</v>
      </c>
      <c r="B1145" s="3">
        <v>2577769.5</v>
      </c>
      <c r="C1145" s="3">
        <v>202325.08</v>
      </c>
      <c r="D1145" s="3">
        <v>-97900.25</v>
      </c>
      <c r="E1145" s="3">
        <f t="shared" si="1"/>
        <v>-0.03658906336</v>
      </c>
      <c r="H1145" s="15"/>
      <c r="I1145" s="15"/>
      <c r="J1145" s="1"/>
      <c r="K1145" s="1"/>
      <c r="L1145" s="1"/>
    </row>
    <row r="1146" ht="15.75" customHeight="1">
      <c r="A1146" s="15">
        <v>44540.0</v>
      </c>
      <c r="B1146" s="3">
        <v>2609513.5</v>
      </c>
      <c r="C1146" s="3">
        <v>372550.75</v>
      </c>
      <c r="D1146" s="3">
        <v>-66156.25</v>
      </c>
      <c r="E1146" s="3">
        <f t="shared" si="1"/>
        <v>-0.02472511789</v>
      </c>
      <c r="H1146" s="15"/>
      <c r="I1146" s="15"/>
      <c r="J1146" s="1"/>
      <c r="K1146" s="1"/>
      <c r="L1146" s="1"/>
    </row>
    <row r="1147" ht="15.75" customHeight="1">
      <c r="A1147" s="15">
        <v>44547.0</v>
      </c>
      <c r="B1147" s="3">
        <v>2596879.25</v>
      </c>
      <c r="C1147" s="3">
        <v>516683.59</v>
      </c>
      <c r="D1147" s="3">
        <v>-78790.5</v>
      </c>
      <c r="E1147" s="3">
        <f t="shared" si="1"/>
        <v>-0.02944701976</v>
      </c>
      <c r="H1147" s="15"/>
      <c r="I1147" s="15"/>
      <c r="J1147" s="1"/>
      <c r="K1147" s="1"/>
      <c r="L1147" s="1"/>
    </row>
    <row r="1148" ht="15.75" customHeight="1">
      <c r="A1148" s="15">
        <v>44554.0</v>
      </c>
      <c r="B1148" s="3">
        <v>2646899.75</v>
      </c>
      <c r="C1148" s="3">
        <v>516683.59</v>
      </c>
      <c r="D1148" s="3">
        <v>-28770.0</v>
      </c>
      <c r="E1148" s="3">
        <f t="shared" si="1"/>
        <v>-0.01075244806</v>
      </c>
      <c r="H1148" s="15"/>
      <c r="I1148" s="15"/>
      <c r="J1148" s="1"/>
      <c r="K1148" s="1"/>
      <c r="L1148" s="1"/>
    </row>
    <row r="1149" ht="15.75" customHeight="1">
      <c r="A1149" s="15">
        <v>44561.0</v>
      </c>
      <c r="B1149" s="3">
        <v>2686879.75</v>
      </c>
      <c r="C1149" s="3">
        <v>16457.4</v>
      </c>
      <c r="D1149" s="3">
        <v>0.0</v>
      </c>
      <c r="E1149" s="3">
        <f t="shared" si="1"/>
        <v>0</v>
      </c>
      <c r="H1149" s="15"/>
      <c r="I1149" s="15"/>
      <c r="J1149" s="1"/>
      <c r="K1149" s="1"/>
      <c r="L1149" s="1"/>
    </row>
    <row r="1150" ht="15.75" customHeight="1">
      <c r="A1150" s="15">
        <v>44568.0</v>
      </c>
      <c r="B1150" s="3">
        <v>2704540.5</v>
      </c>
      <c r="C1150" s="3">
        <v>16457.4</v>
      </c>
      <c r="D1150" s="3">
        <v>0.0</v>
      </c>
      <c r="E1150" s="3">
        <f t="shared" si="1"/>
        <v>0</v>
      </c>
      <c r="H1150" s="15"/>
      <c r="I1150" s="15"/>
      <c r="J1150" s="1"/>
      <c r="K1150" s="1"/>
      <c r="L1150" s="1"/>
    </row>
    <row r="1151" ht="15.75" customHeight="1">
      <c r="A1151" s="15">
        <v>44575.0</v>
      </c>
      <c r="B1151" s="3">
        <v>2715470.0</v>
      </c>
      <c r="C1151" s="3">
        <v>16457.4</v>
      </c>
      <c r="D1151" s="3">
        <v>0.0</v>
      </c>
      <c r="E1151" s="3">
        <f t="shared" si="1"/>
        <v>0</v>
      </c>
      <c r="H1151" s="15"/>
      <c r="I1151" s="15"/>
      <c r="J1151" s="1"/>
      <c r="K1151" s="1"/>
      <c r="L1151" s="1"/>
    </row>
    <row r="1152" ht="15.75" customHeight="1">
      <c r="A1152" s="15">
        <v>44582.0</v>
      </c>
      <c r="B1152" s="3">
        <v>2645701.25</v>
      </c>
      <c r="C1152" s="3">
        <v>16457.4</v>
      </c>
      <c r="D1152" s="3">
        <v>-69768.75</v>
      </c>
      <c r="E1152" s="3">
        <f t="shared" si="1"/>
        <v>-0.02569306603</v>
      </c>
      <c r="H1152" s="15"/>
      <c r="I1152" s="15"/>
      <c r="J1152" s="1"/>
      <c r="K1152" s="1"/>
      <c r="L1152" s="1"/>
    </row>
    <row r="1153" ht="15.75" customHeight="1">
      <c r="A1153" s="15">
        <v>44589.0</v>
      </c>
      <c r="B1153" s="3">
        <v>2545121.25</v>
      </c>
      <c r="C1153" s="3">
        <v>16457.4</v>
      </c>
      <c r="D1153" s="3">
        <v>-170348.75</v>
      </c>
      <c r="E1153" s="3">
        <f t="shared" si="1"/>
        <v>-0.06273269452</v>
      </c>
      <c r="H1153" s="15"/>
      <c r="I1153" s="15"/>
      <c r="J1153" s="1"/>
      <c r="K1153" s="1"/>
      <c r="L1153" s="1"/>
    </row>
    <row r="1154" ht="15.75" customHeight="1">
      <c r="A1154" s="15">
        <v>44596.0</v>
      </c>
      <c r="B1154" s="3">
        <v>2611560.5</v>
      </c>
      <c r="C1154" s="3">
        <v>223105.38</v>
      </c>
      <c r="D1154" s="3">
        <v>-103909.5</v>
      </c>
      <c r="E1154" s="3">
        <f t="shared" si="1"/>
        <v>-0.03826575142</v>
      </c>
      <c r="H1154" s="15"/>
      <c r="I1154" s="15"/>
      <c r="J1154" s="1"/>
      <c r="K1154" s="1"/>
      <c r="L1154" s="1"/>
    </row>
    <row r="1155" ht="15.75" customHeight="1">
      <c r="A1155" s="15">
        <v>44603.0</v>
      </c>
      <c r="B1155" s="3">
        <v>2627835.5</v>
      </c>
      <c r="C1155" s="3">
        <v>1275834.75</v>
      </c>
      <c r="D1155" s="3">
        <v>-87634.5</v>
      </c>
      <c r="E1155" s="3">
        <f t="shared" si="1"/>
        <v>-0.03227231382</v>
      </c>
      <c r="H1155" s="15"/>
      <c r="I1155" s="15"/>
      <c r="J1155" s="1"/>
      <c r="K1155" s="1"/>
      <c r="L1155" s="1"/>
    </row>
    <row r="1156" ht="15.75" customHeight="1">
      <c r="A1156" s="15">
        <v>44610.0</v>
      </c>
      <c r="B1156" s="3">
        <v>2601855.5</v>
      </c>
      <c r="C1156" s="3">
        <v>1275834.75</v>
      </c>
      <c r="D1156" s="3">
        <v>-113614.5</v>
      </c>
      <c r="E1156" s="3">
        <f t="shared" si="1"/>
        <v>-0.04183971835</v>
      </c>
      <c r="H1156" s="15"/>
      <c r="I1156" s="15"/>
      <c r="J1156" s="1"/>
      <c r="K1156" s="1"/>
      <c r="L1156" s="1"/>
    </row>
    <row r="1157" ht="15.75" customHeight="1">
      <c r="A1157" s="15">
        <v>44617.0</v>
      </c>
      <c r="B1157" s="3">
        <v>2585388.25</v>
      </c>
      <c r="C1157" s="3">
        <v>1275834.75</v>
      </c>
      <c r="D1157" s="3">
        <v>-130081.75</v>
      </c>
      <c r="E1157" s="3">
        <f t="shared" si="1"/>
        <v>-0.04790395401</v>
      </c>
      <c r="H1157" s="15"/>
      <c r="I1157" s="15"/>
      <c r="J1157" s="1"/>
      <c r="K1157" s="1"/>
      <c r="L1157" s="1"/>
    </row>
    <row r="1158" ht="15.75" customHeight="1">
      <c r="A1158" s="15">
        <v>44624.0</v>
      </c>
      <c r="B1158" s="3">
        <v>2585033.75</v>
      </c>
      <c r="C1158" s="3">
        <v>1620858.38</v>
      </c>
      <c r="D1158" s="3">
        <v>-130436.25</v>
      </c>
      <c r="E1158" s="3">
        <f t="shared" si="1"/>
        <v>-0.04803450231</v>
      </c>
      <c r="H1158" s="15"/>
      <c r="I1158" s="15"/>
      <c r="J1158" s="1"/>
      <c r="K1158" s="1"/>
      <c r="L1158" s="1"/>
    </row>
    <row r="1159" ht="15.75" customHeight="1">
      <c r="A1159" s="15">
        <v>44631.0</v>
      </c>
      <c r="B1159" s="3">
        <v>2575804.5</v>
      </c>
      <c r="C1159" s="3">
        <v>1943985.13</v>
      </c>
      <c r="D1159" s="3">
        <v>-139665.5</v>
      </c>
      <c r="E1159" s="3">
        <f t="shared" si="1"/>
        <v>-0.05143326938</v>
      </c>
      <c r="H1159" s="15"/>
      <c r="I1159" s="15"/>
      <c r="J1159" s="1"/>
      <c r="K1159" s="1"/>
      <c r="L1159" s="1"/>
    </row>
    <row r="1160" ht="15.75" customHeight="1">
      <c r="A1160" s="15">
        <v>44638.0</v>
      </c>
      <c r="B1160" s="3">
        <v>2582232.5</v>
      </c>
      <c r="C1160" s="3">
        <v>1943985.13</v>
      </c>
      <c r="D1160" s="3">
        <v>-133237.5</v>
      </c>
      <c r="E1160" s="3">
        <f t="shared" si="1"/>
        <v>-0.04906609169</v>
      </c>
      <c r="H1160" s="15"/>
      <c r="I1160" s="15"/>
      <c r="J1160" s="1"/>
      <c r="K1160" s="1"/>
      <c r="L1160" s="1"/>
    </row>
    <row r="1161" ht="15.75" customHeight="1">
      <c r="A1161" s="15">
        <v>44645.0</v>
      </c>
      <c r="B1161" s="3">
        <v>2597587.75</v>
      </c>
      <c r="C1161" s="3">
        <v>1740454.13</v>
      </c>
      <c r="D1161" s="3">
        <v>-117882.25</v>
      </c>
      <c r="E1161" s="3">
        <f t="shared" si="1"/>
        <v>-0.04341136157</v>
      </c>
      <c r="H1161" s="15"/>
      <c r="I1161" s="15"/>
      <c r="J1161" s="1"/>
      <c r="K1161" s="1"/>
      <c r="L1161" s="1"/>
    </row>
    <row r="1162" ht="15.75" customHeight="1">
      <c r="A1162" s="15">
        <v>44652.0</v>
      </c>
      <c r="B1162" s="3">
        <v>2601212.25</v>
      </c>
      <c r="C1162" s="3">
        <v>439100.75</v>
      </c>
      <c r="D1162" s="3">
        <v>-114257.75</v>
      </c>
      <c r="E1162" s="3">
        <f t="shared" si="1"/>
        <v>-0.04207660184</v>
      </c>
      <c r="H1162" s="15"/>
      <c r="I1162" s="15"/>
      <c r="J1162" s="1"/>
      <c r="K1162" s="1"/>
      <c r="L1162" s="1"/>
    </row>
    <row r="1163" ht="15.75" customHeight="1">
      <c r="A1163" s="15">
        <v>44659.0</v>
      </c>
      <c r="B1163" s="3">
        <v>2585261.0</v>
      </c>
      <c r="C1163" s="3">
        <v>110971.87</v>
      </c>
      <c r="D1163" s="3">
        <v>-130209.0</v>
      </c>
      <c r="E1163" s="3">
        <f t="shared" si="1"/>
        <v>-0.04795081514</v>
      </c>
      <c r="H1163" s="15"/>
      <c r="I1163" s="15"/>
      <c r="J1163" s="1"/>
      <c r="K1163" s="1"/>
      <c r="L1163" s="1"/>
    </row>
    <row r="1164" ht="15.75" customHeight="1">
      <c r="A1164" s="15">
        <v>44665.0</v>
      </c>
      <c r="B1164" s="3">
        <v>2634510.5</v>
      </c>
      <c r="C1164" s="3">
        <v>110971.87</v>
      </c>
      <c r="D1164" s="3">
        <v>-80959.5</v>
      </c>
      <c r="E1164" s="3">
        <f t="shared" si="1"/>
        <v>-0.02981417581</v>
      </c>
      <c r="H1164" s="15"/>
      <c r="I1164" s="15"/>
      <c r="J1164" s="1"/>
      <c r="K1164" s="1"/>
      <c r="L1164" s="1"/>
    </row>
    <row r="1165" ht="15.75" customHeight="1">
      <c r="A1165" s="15">
        <v>44673.0</v>
      </c>
      <c r="B1165" s="3">
        <v>2617970.5</v>
      </c>
      <c r="C1165" s="3">
        <v>110971.87</v>
      </c>
      <c r="D1165" s="3">
        <v>-97499.5</v>
      </c>
      <c r="E1165" s="3">
        <f t="shared" si="1"/>
        <v>-0.03590520241</v>
      </c>
      <c r="H1165" s="15"/>
      <c r="I1165" s="15"/>
      <c r="J1165" s="1"/>
      <c r="K1165" s="1"/>
      <c r="L1165" s="1"/>
    </row>
    <row r="1166" ht="15.75" customHeight="1">
      <c r="A1166" s="15">
        <v>44680.0</v>
      </c>
      <c r="B1166" s="3">
        <v>2567275.25</v>
      </c>
      <c r="C1166" s="3">
        <v>110971.87</v>
      </c>
      <c r="D1166" s="3">
        <v>-148194.75</v>
      </c>
      <c r="E1166" s="3">
        <f t="shared" si="1"/>
        <v>-0.05457425418</v>
      </c>
      <c r="H1166" s="15"/>
      <c r="I1166" s="15"/>
      <c r="J1166" s="1"/>
      <c r="K1166" s="1"/>
      <c r="L1166" s="1"/>
    </row>
    <row r="1167" ht="15.75" customHeight="1">
      <c r="A1167" s="15">
        <v>44687.0</v>
      </c>
      <c r="B1167" s="3">
        <v>2527238.75</v>
      </c>
      <c r="C1167" s="3">
        <v>110971.87</v>
      </c>
      <c r="D1167" s="3">
        <v>-188231.25</v>
      </c>
      <c r="E1167" s="3">
        <f t="shared" si="1"/>
        <v>-0.06931811068</v>
      </c>
      <c r="H1167" s="15"/>
      <c r="I1167" s="15"/>
      <c r="J1167" s="1"/>
      <c r="K1167" s="1"/>
      <c r="L1167" s="1"/>
    </row>
    <row r="1168" ht="15.75" customHeight="1">
      <c r="A1168" s="15">
        <v>44694.0</v>
      </c>
      <c r="B1168" s="3">
        <v>2481923.75</v>
      </c>
      <c r="C1168" s="3">
        <v>113968.68</v>
      </c>
      <c r="D1168" s="3">
        <v>-233546.25</v>
      </c>
      <c r="E1168" s="3">
        <f t="shared" si="1"/>
        <v>-0.08600582956</v>
      </c>
      <c r="H1168" s="15"/>
      <c r="I1168" s="15"/>
      <c r="J1168" s="1"/>
      <c r="K1168" s="1"/>
      <c r="L1168" s="1"/>
    </row>
    <row r="1169" ht="15.75" customHeight="1">
      <c r="A1169" s="15">
        <v>44701.0</v>
      </c>
      <c r="B1169" s="3">
        <v>2468000.75</v>
      </c>
      <c r="C1169" s="3">
        <v>680537.31</v>
      </c>
      <c r="D1169" s="3">
        <v>-247469.25</v>
      </c>
      <c r="E1169" s="3">
        <f t="shared" si="1"/>
        <v>-0.09113311876</v>
      </c>
      <c r="H1169" s="15"/>
      <c r="I1169" s="15"/>
      <c r="J1169" s="1"/>
      <c r="K1169" s="1"/>
      <c r="L1169" s="1"/>
    </row>
    <row r="1170" ht="15.75" customHeight="1">
      <c r="A1170" s="15">
        <v>44708.0</v>
      </c>
      <c r="B1170" s="3">
        <v>2449023.0</v>
      </c>
      <c r="C1170" s="3">
        <v>830212.25</v>
      </c>
      <c r="D1170" s="3">
        <v>-266447.0</v>
      </c>
      <c r="E1170" s="3">
        <f t="shared" si="1"/>
        <v>-0.09812187209</v>
      </c>
      <c r="H1170" s="15"/>
      <c r="I1170" s="15"/>
      <c r="J1170" s="1"/>
      <c r="K1170" s="1"/>
      <c r="L1170" s="1"/>
    </row>
    <row r="1171" ht="15.75" customHeight="1">
      <c r="A1171" s="15">
        <v>44715.0</v>
      </c>
      <c r="B1171" s="3">
        <v>2456007.25</v>
      </c>
      <c r="C1171" s="3">
        <v>986356.31</v>
      </c>
      <c r="D1171" s="3">
        <v>-259462.75</v>
      </c>
      <c r="E1171" s="3">
        <f t="shared" si="1"/>
        <v>-0.09554984957</v>
      </c>
      <c r="H1171" s="15"/>
      <c r="I1171" s="15"/>
      <c r="J1171" s="1"/>
      <c r="K1171" s="1"/>
      <c r="L1171" s="1"/>
    </row>
    <row r="1172" ht="15.75" customHeight="1">
      <c r="A1172" s="15">
        <v>44722.0</v>
      </c>
      <c r="B1172" s="3">
        <v>2425154.25</v>
      </c>
      <c r="C1172" s="3">
        <v>1129294.75</v>
      </c>
      <c r="D1172" s="3">
        <v>-290315.75</v>
      </c>
      <c r="E1172" s="3">
        <f t="shared" si="1"/>
        <v>-0.1069117869</v>
      </c>
      <c r="H1172" s="15"/>
      <c r="I1172" s="15"/>
      <c r="J1172" s="1"/>
      <c r="K1172" s="1"/>
      <c r="L1172" s="1"/>
    </row>
    <row r="1173" ht="15.75" customHeight="1">
      <c r="A1173" s="15">
        <v>44729.0</v>
      </c>
      <c r="B1173" s="3">
        <v>2380602.25</v>
      </c>
      <c r="C1173" s="3">
        <v>1283782.38</v>
      </c>
      <c r="D1173" s="3">
        <v>-334867.75</v>
      </c>
      <c r="E1173" s="3">
        <f t="shared" si="1"/>
        <v>-0.1233185231</v>
      </c>
      <c r="H1173" s="15"/>
      <c r="I1173" s="15"/>
      <c r="J1173" s="1"/>
      <c r="K1173" s="1"/>
      <c r="L1173" s="1"/>
    </row>
    <row r="1174" ht="15.75" customHeight="1">
      <c r="A1174" s="15">
        <v>44736.0</v>
      </c>
      <c r="B1174" s="3">
        <v>2364154.75</v>
      </c>
      <c r="C1174" s="3">
        <v>1584723.88</v>
      </c>
      <c r="D1174" s="3">
        <v>-351315.25</v>
      </c>
      <c r="E1174" s="3">
        <f t="shared" si="1"/>
        <v>-0.1293754856</v>
      </c>
      <c r="H1174" s="15"/>
      <c r="I1174" s="15"/>
      <c r="J1174" s="1"/>
      <c r="K1174" s="1"/>
      <c r="L1174" s="1"/>
    </row>
    <row r="1175" ht="15.75" customHeight="1">
      <c r="A1175" s="15">
        <v>44743.0</v>
      </c>
      <c r="B1175" s="3">
        <v>2371574.25</v>
      </c>
      <c r="C1175" s="3">
        <v>1722678.5</v>
      </c>
      <c r="D1175" s="3">
        <v>-343895.75</v>
      </c>
      <c r="E1175" s="3">
        <f t="shared" si="1"/>
        <v>-0.1266431778</v>
      </c>
      <c r="H1175" s="15"/>
      <c r="I1175" s="15"/>
      <c r="J1175" s="1"/>
      <c r="K1175" s="1"/>
      <c r="L1175" s="1"/>
    </row>
    <row r="1176" ht="15.75" customHeight="1">
      <c r="A1176" s="15">
        <v>44750.0</v>
      </c>
      <c r="B1176" s="3">
        <v>2373203.5</v>
      </c>
      <c r="C1176" s="3">
        <v>1890854.0</v>
      </c>
      <c r="D1176" s="3">
        <v>-342266.5</v>
      </c>
      <c r="E1176" s="3">
        <f t="shared" si="1"/>
        <v>-0.1260431896</v>
      </c>
      <c r="H1176" s="15"/>
      <c r="I1176" s="15"/>
      <c r="J1176" s="1"/>
      <c r="K1176" s="1"/>
      <c r="L1176" s="1"/>
    </row>
    <row r="1177" ht="15.75" customHeight="1">
      <c r="A1177" s="15">
        <v>44757.0</v>
      </c>
      <c r="B1177" s="3">
        <v>2379504.25</v>
      </c>
      <c r="C1177" s="3">
        <v>1890854.0</v>
      </c>
      <c r="D1177" s="3">
        <v>-335965.75</v>
      </c>
      <c r="E1177" s="3">
        <f t="shared" si="1"/>
        <v>-0.123722873</v>
      </c>
      <c r="H1177" s="15"/>
      <c r="I1177" s="15"/>
      <c r="J1177" s="1"/>
      <c r="K1177" s="1"/>
      <c r="L1177" s="1"/>
    </row>
    <row r="1178" ht="15.75" customHeight="1">
      <c r="A1178" s="15">
        <v>44764.0</v>
      </c>
      <c r="B1178" s="3">
        <v>2379677.0</v>
      </c>
      <c r="C1178" s="3">
        <v>1890854.0</v>
      </c>
      <c r="D1178" s="3">
        <v>-335793.0</v>
      </c>
      <c r="E1178" s="3">
        <f t="shared" si="1"/>
        <v>-0.123659256</v>
      </c>
      <c r="H1178" s="15"/>
      <c r="I1178" s="15"/>
      <c r="J1178" s="1"/>
      <c r="K1178" s="1"/>
      <c r="L1178" s="1"/>
    </row>
    <row r="1179" ht="15.75" customHeight="1">
      <c r="A1179" s="15">
        <v>44771.0</v>
      </c>
      <c r="B1179" s="3">
        <v>2388628.75</v>
      </c>
      <c r="C1179" s="3">
        <v>2061331.38</v>
      </c>
      <c r="D1179" s="3">
        <v>-326841.25</v>
      </c>
      <c r="E1179" s="3">
        <f t="shared" si="1"/>
        <v>-0.1203626812</v>
      </c>
      <c r="H1179" s="15"/>
      <c r="I1179" s="15"/>
      <c r="J1179" s="1"/>
      <c r="K1179" s="1"/>
      <c r="L1179" s="1"/>
    </row>
    <row r="1180" ht="15.75" customHeight="1">
      <c r="A1180" s="15">
        <v>44778.0</v>
      </c>
      <c r="B1180" s="3">
        <v>2395092.75</v>
      </c>
      <c r="C1180" s="3">
        <v>2061331.38</v>
      </c>
      <c r="D1180" s="3">
        <v>-320377.25</v>
      </c>
      <c r="E1180" s="3">
        <f t="shared" si="1"/>
        <v>-0.1179822462</v>
      </c>
      <c r="H1180" s="15"/>
      <c r="I1180" s="15"/>
      <c r="J1180" s="1"/>
      <c r="K1180" s="1"/>
      <c r="L1180" s="1"/>
    </row>
    <row r="1181" ht="15.75" customHeight="1">
      <c r="A1181" s="15">
        <v>44785.0</v>
      </c>
      <c r="B1181" s="3">
        <v>2374853.5</v>
      </c>
      <c r="C1181" s="3">
        <v>865631.31</v>
      </c>
      <c r="D1181" s="3">
        <v>-340616.5</v>
      </c>
      <c r="E1181" s="3">
        <f t="shared" si="1"/>
        <v>-0.12543556</v>
      </c>
      <c r="H1181" s="15"/>
      <c r="I1181" s="15"/>
      <c r="J1181" s="1"/>
      <c r="K1181" s="1"/>
      <c r="L1181" s="1"/>
    </row>
    <row r="1182" ht="15.75" customHeight="1">
      <c r="A1182" s="15">
        <v>44792.0</v>
      </c>
      <c r="B1182" s="3">
        <v>2377216.75</v>
      </c>
      <c r="C1182" s="3">
        <v>715967.88</v>
      </c>
      <c r="D1182" s="3">
        <v>-338253.25</v>
      </c>
      <c r="E1182" s="3">
        <f t="shared" si="1"/>
        <v>-0.1245652686</v>
      </c>
      <c r="H1182" s="15"/>
      <c r="I1182" s="15"/>
      <c r="J1182" s="1"/>
      <c r="K1182" s="1"/>
      <c r="L1182" s="1"/>
    </row>
    <row r="1183" ht="15.75" customHeight="1">
      <c r="A1183" s="15">
        <v>44799.0</v>
      </c>
      <c r="B1183" s="3">
        <v>2373858.75</v>
      </c>
      <c r="C1183" s="3">
        <v>273588.94</v>
      </c>
      <c r="D1183" s="3">
        <v>-341611.25</v>
      </c>
      <c r="E1183" s="3">
        <f t="shared" si="1"/>
        <v>-0.125801887</v>
      </c>
      <c r="H1183" s="15"/>
      <c r="I1183" s="15"/>
      <c r="J1183" s="1"/>
      <c r="K1183" s="1"/>
      <c r="L1183" s="1"/>
    </row>
    <row r="1184" ht="15.75" customHeight="1">
      <c r="A1184" s="15">
        <v>44806.0</v>
      </c>
      <c r="B1184" s="3">
        <v>2328585.5</v>
      </c>
      <c r="C1184" s="3">
        <v>104382.23</v>
      </c>
      <c r="D1184" s="3">
        <v>-386884.5</v>
      </c>
      <c r="E1184" s="3">
        <f t="shared" si="1"/>
        <v>-0.142474231</v>
      </c>
      <c r="H1184" s="15"/>
      <c r="I1184" s="15"/>
      <c r="J1184" s="1"/>
      <c r="K1184" s="1"/>
      <c r="L1184" s="1"/>
    </row>
    <row r="1185" ht="15.75" customHeight="1">
      <c r="A1185" s="15">
        <v>44813.0</v>
      </c>
      <c r="B1185" s="3">
        <v>2380980.75</v>
      </c>
      <c r="C1185" s="3">
        <v>104382.23</v>
      </c>
      <c r="D1185" s="3">
        <v>-334489.25</v>
      </c>
      <c r="E1185" s="3">
        <f t="shared" si="1"/>
        <v>-0.1231791366</v>
      </c>
      <c r="H1185" s="15"/>
      <c r="I1185" s="15"/>
      <c r="J1185" s="1"/>
      <c r="K1185" s="1"/>
      <c r="L1185" s="1"/>
    </row>
    <row r="1186" ht="15.75" customHeight="1">
      <c r="A1186" s="15">
        <v>44820.0</v>
      </c>
      <c r="B1186" s="3">
        <v>2342682.5</v>
      </c>
      <c r="C1186" s="3">
        <v>64244.0</v>
      </c>
      <c r="D1186" s="3">
        <v>-372787.5</v>
      </c>
      <c r="E1186" s="3">
        <f t="shared" si="1"/>
        <v>-0.1372828645</v>
      </c>
      <c r="H1186" s="15"/>
      <c r="I1186" s="15"/>
      <c r="J1186" s="1"/>
      <c r="K1186" s="1"/>
      <c r="L1186" s="1"/>
    </row>
    <row r="1187" ht="15.75" customHeight="1">
      <c r="A1187" s="15">
        <v>44827.0</v>
      </c>
      <c r="B1187" s="3">
        <v>2293342.25</v>
      </c>
      <c r="C1187" s="3">
        <v>64244.0</v>
      </c>
      <c r="D1187" s="3">
        <v>-422127.75</v>
      </c>
      <c r="E1187" s="3">
        <f t="shared" si="1"/>
        <v>-0.1554529234</v>
      </c>
      <c r="H1187" s="15"/>
      <c r="I1187" s="15"/>
      <c r="J1187" s="1"/>
      <c r="K1187" s="1"/>
      <c r="L1187" s="1"/>
    </row>
    <row r="1188" ht="15.75" customHeight="1">
      <c r="A1188" s="15">
        <v>44834.0</v>
      </c>
      <c r="B1188" s="3">
        <v>2252452.5</v>
      </c>
      <c r="C1188" s="3">
        <v>204993.86</v>
      </c>
      <c r="D1188" s="3">
        <v>-463017.5</v>
      </c>
      <c r="E1188" s="3">
        <f t="shared" si="1"/>
        <v>-0.1705109981</v>
      </c>
      <c r="H1188" s="15"/>
      <c r="I1188" s="15"/>
      <c r="J1188" s="1"/>
      <c r="K1188" s="1"/>
      <c r="L1188" s="1"/>
    </row>
    <row r="1189" ht="15.75" customHeight="1">
      <c r="A1189" s="15">
        <v>44841.0</v>
      </c>
      <c r="B1189" s="3">
        <v>2356328.5</v>
      </c>
      <c r="C1189" s="3">
        <v>712453.06</v>
      </c>
      <c r="D1189" s="3">
        <v>-359141.5</v>
      </c>
      <c r="E1189" s="3">
        <f t="shared" si="1"/>
        <v>-0.1322575834</v>
      </c>
      <c r="H1189" s="15"/>
      <c r="I1189" s="15"/>
      <c r="J1189" s="1"/>
      <c r="K1189" s="1"/>
      <c r="L1189" s="1"/>
    </row>
    <row r="1190" ht="15.75" customHeight="1">
      <c r="A1190" s="15">
        <v>44848.0</v>
      </c>
      <c r="B1190" s="3">
        <v>2342450.0</v>
      </c>
      <c r="C1190" s="3">
        <v>712453.06</v>
      </c>
      <c r="D1190" s="3">
        <v>-373020.0</v>
      </c>
      <c r="E1190" s="3">
        <f t="shared" si="1"/>
        <v>-0.137368485</v>
      </c>
      <c r="H1190" s="15"/>
      <c r="I1190" s="15"/>
      <c r="J1190" s="1"/>
      <c r="K1190" s="1"/>
      <c r="L1190" s="1"/>
    </row>
    <row r="1191" ht="15.75" customHeight="1">
      <c r="A1191" s="15">
        <v>44855.0</v>
      </c>
      <c r="B1191" s="3">
        <v>2347849.5</v>
      </c>
      <c r="C1191" s="3">
        <v>712453.06</v>
      </c>
      <c r="D1191" s="3">
        <v>-367620.5</v>
      </c>
      <c r="E1191" s="3">
        <f t="shared" si="1"/>
        <v>-0.1353800631</v>
      </c>
      <c r="H1191" s="15"/>
      <c r="I1191" s="15"/>
      <c r="J1191" s="1"/>
      <c r="K1191" s="1"/>
      <c r="L1191" s="1"/>
    </row>
    <row r="1192" ht="15.75" customHeight="1">
      <c r="A1192" s="15">
        <v>44862.0</v>
      </c>
      <c r="B1192" s="3">
        <v>2283878.0</v>
      </c>
      <c r="C1192" s="3">
        <v>712453.06</v>
      </c>
      <c r="D1192" s="3">
        <v>-431592.0</v>
      </c>
      <c r="E1192" s="3">
        <f t="shared" si="1"/>
        <v>-0.1589382317</v>
      </c>
      <c r="H1192" s="15"/>
      <c r="I1192" s="15"/>
      <c r="J1192" s="1"/>
      <c r="K1192" s="1"/>
      <c r="L1192" s="1"/>
    </row>
    <row r="1193" ht="15.75" customHeight="1">
      <c r="A1193" s="15">
        <v>44869.0</v>
      </c>
      <c r="B1193" s="3">
        <v>2295242.75</v>
      </c>
      <c r="C1193" s="3">
        <v>712453.06</v>
      </c>
      <c r="D1193" s="3">
        <v>-420227.25</v>
      </c>
      <c r="E1193" s="3">
        <f t="shared" si="1"/>
        <v>-0.1547530446</v>
      </c>
      <c r="H1193" s="15"/>
      <c r="I1193" s="15"/>
      <c r="J1193" s="1"/>
      <c r="K1193" s="1"/>
      <c r="L1193" s="1"/>
    </row>
    <row r="1194" ht="15.75" customHeight="1">
      <c r="A1194" s="15">
        <v>44876.0</v>
      </c>
      <c r="B1194" s="3">
        <v>2318902.75</v>
      </c>
      <c r="C1194" s="3">
        <v>653968.31</v>
      </c>
      <c r="D1194" s="3">
        <v>-396567.25</v>
      </c>
      <c r="E1194" s="3">
        <f t="shared" si="1"/>
        <v>-0.1460400041</v>
      </c>
      <c r="H1194" s="15"/>
      <c r="I1194" s="15"/>
      <c r="J1194" s="1"/>
      <c r="K1194" s="1"/>
      <c r="L1194" s="1"/>
    </row>
    <row r="1195" ht="15.75" customHeight="1">
      <c r="A1195" s="15">
        <v>44883.0</v>
      </c>
      <c r="B1195" s="3">
        <v>2291908.75</v>
      </c>
      <c r="C1195" s="3">
        <v>73160.77</v>
      </c>
      <c r="D1195" s="3">
        <v>-423561.25</v>
      </c>
      <c r="E1195" s="3">
        <f t="shared" si="1"/>
        <v>-0.1559808247</v>
      </c>
      <c r="H1195" s="15"/>
      <c r="I1195" s="15"/>
      <c r="J1195" s="1"/>
      <c r="K1195" s="1"/>
      <c r="L1195" s="1"/>
    </row>
    <row r="1196" ht="15.75" customHeight="1">
      <c r="A1196" s="15">
        <v>44890.0</v>
      </c>
      <c r="B1196" s="3">
        <v>2311203.75</v>
      </c>
      <c r="C1196" s="3">
        <v>73160.77</v>
      </c>
      <c r="D1196" s="3">
        <v>-404266.25</v>
      </c>
      <c r="E1196" s="3">
        <f t="shared" si="1"/>
        <v>-0.1488752408</v>
      </c>
      <c r="H1196" s="15"/>
      <c r="I1196" s="15"/>
      <c r="J1196" s="1"/>
      <c r="K1196" s="1"/>
      <c r="L1196" s="1"/>
    </row>
    <row r="1197" ht="15.75" customHeight="1">
      <c r="A1197" s="15">
        <v>44897.0</v>
      </c>
      <c r="B1197" s="3">
        <v>2350570.75</v>
      </c>
      <c r="C1197" s="3">
        <v>73160.77</v>
      </c>
      <c r="D1197" s="3">
        <v>-364899.25</v>
      </c>
      <c r="E1197" s="3">
        <f t="shared" si="1"/>
        <v>-0.1343779346</v>
      </c>
      <c r="H1197" s="15"/>
      <c r="I1197" s="15"/>
      <c r="J1197" s="1"/>
      <c r="K1197" s="1"/>
      <c r="L1197" s="1"/>
    </row>
    <row r="1198" ht="15.75" customHeight="1">
      <c r="A1198" s="15">
        <v>44904.0</v>
      </c>
      <c r="B1198" s="3">
        <v>2304009.25</v>
      </c>
      <c r="C1198" s="3">
        <v>73160.77</v>
      </c>
      <c r="D1198" s="3">
        <v>-411460.75</v>
      </c>
      <c r="E1198" s="3">
        <f t="shared" si="1"/>
        <v>-0.15152469</v>
      </c>
      <c r="H1198" s="15"/>
      <c r="I1198" s="15"/>
      <c r="J1198" s="1"/>
      <c r="K1198" s="1"/>
      <c r="L1198" s="1"/>
    </row>
    <row r="1199" ht="15.75" customHeight="1">
      <c r="A1199" s="15">
        <v>44911.0</v>
      </c>
      <c r="B1199" s="3">
        <v>2267278.5</v>
      </c>
      <c r="C1199" s="3">
        <v>73160.77</v>
      </c>
      <c r="D1199" s="3">
        <v>-448191.5</v>
      </c>
      <c r="E1199" s="3">
        <f t="shared" si="1"/>
        <v>-0.1650511698</v>
      </c>
      <c r="H1199" s="15"/>
      <c r="I1199" s="15"/>
      <c r="J1199" s="1"/>
      <c r="K1199" s="1"/>
      <c r="L1199" s="1"/>
    </row>
    <row r="1200" ht="15.75" customHeight="1">
      <c r="A1200" s="15">
        <v>44918.0</v>
      </c>
      <c r="B1200" s="3">
        <v>2247470.75</v>
      </c>
      <c r="C1200" s="3">
        <v>73160.77</v>
      </c>
      <c r="D1200" s="3">
        <v>-467999.25</v>
      </c>
      <c r="E1200" s="3">
        <f t="shared" si="1"/>
        <v>-0.1723455792</v>
      </c>
      <c r="H1200" s="15"/>
      <c r="I1200" s="15"/>
      <c r="J1200" s="1"/>
      <c r="K1200" s="1"/>
      <c r="L1200" s="1"/>
    </row>
    <row r="1201" ht="15.75" customHeight="1">
      <c r="A1201" s="15">
        <v>44925.0</v>
      </c>
      <c r="B1201" s="3">
        <v>2225025.5</v>
      </c>
      <c r="C1201" s="3">
        <v>73160.77</v>
      </c>
      <c r="D1201" s="3">
        <v>-490444.5</v>
      </c>
      <c r="E1201" s="3">
        <f t="shared" si="1"/>
        <v>-0.1806112754</v>
      </c>
      <c r="H1201" s="15"/>
      <c r="I1201" s="15"/>
      <c r="J1201" s="1"/>
      <c r="K1201" s="1"/>
      <c r="L1201" s="1"/>
    </row>
    <row r="1202" ht="15.75" customHeight="1">
      <c r="A1202" s="15">
        <v>44932.0</v>
      </c>
      <c r="B1202" s="3">
        <v>2224724.0</v>
      </c>
      <c r="C1202" s="3">
        <v>73160.77</v>
      </c>
      <c r="D1202" s="3">
        <v>-490746.0</v>
      </c>
      <c r="E1202" s="3">
        <f t="shared" si="1"/>
        <v>-0.1807223059</v>
      </c>
      <c r="H1202" s="15"/>
      <c r="I1202" s="15"/>
      <c r="J1202" s="1"/>
      <c r="K1202" s="1"/>
      <c r="L1202" s="1"/>
    </row>
    <row r="1203" ht="15.75" customHeight="1">
      <c r="A1203" s="15">
        <v>44939.0</v>
      </c>
      <c r="B1203" s="3">
        <v>2283642.5</v>
      </c>
      <c r="C1203" s="3">
        <v>73160.77</v>
      </c>
      <c r="D1203" s="3">
        <v>-431827.5</v>
      </c>
      <c r="E1203" s="3">
        <f t="shared" si="1"/>
        <v>-0.159024957</v>
      </c>
      <c r="H1203" s="15"/>
      <c r="I1203" s="15"/>
      <c r="J1203" s="1"/>
      <c r="K1203" s="1"/>
      <c r="L1203" s="1"/>
    </row>
    <row r="1204" ht="15.75" customHeight="1">
      <c r="A1204" s="15">
        <v>44946.0</v>
      </c>
      <c r="B1204" s="3">
        <v>2311580.5</v>
      </c>
      <c r="C1204" s="3">
        <v>73160.77</v>
      </c>
      <c r="D1204" s="3">
        <v>-403889.5</v>
      </c>
      <c r="E1204" s="3">
        <f t="shared" si="1"/>
        <v>-0.1487364987</v>
      </c>
      <c r="H1204" s="15"/>
      <c r="I1204" s="15"/>
      <c r="J1204" s="1"/>
      <c r="K1204" s="1"/>
      <c r="L1204" s="1"/>
    </row>
    <row r="1205" ht="15.75" customHeight="1">
      <c r="A1205" s="15">
        <v>44953.0</v>
      </c>
      <c r="B1205" s="3">
        <v>2358104.75</v>
      </c>
      <c r="C1205" s="3">
        <v>73160.77</v>
      </c>
      <c r="D1205" s="3">
        <v>-357365.25</v>
      </c>
      <c r="E1205" s="3">
        <f t="shared" si="1"/>
        <v>-0.1316034609</v>
      </c>
      <c r="H1205" s="15"/>
      <c r="I1205" s="15"/>
      <c r="J1205" s="1"/>
      <c r="K1205" s="1"/>
      <c r="L1205" s="1"/>
    </row>
    <row r="1206" ht="15.75" customHeight="1">
      <c r="A1206" s="15">
        <v>44960.0</v>
      </c>
      <c r="B1206" s="3">
        <v>2340880.5</v>
      </c>
      <c r="C1206" s="3">
        <v>73160.77</v>
      </c>
      <c r="D1206" s="3">
        <v>-374589.5</v>
      </c>
      <c r="E1206" s="3">
        <f t="shared" si="1"/>
        <v>-0.1379464697</v>
      </c>
      <c r="H1206" s="15"/>
      <c r="I1206" s="15"/>
      <c r="J1206" s="1"/>
      <c r="K1206" s="1"/>
      <c r="L1206" s="1"/>
    </row>
    <row r="1207" ht="15.75" customHeight="1">
      <c r="A1207" s="15">
        <v>44967.0</v>
      </c>
      <c r="B1207" s="3">
        <v>2304657.25</v>
      </c>
      <c r="C1207" s="3">
        <v>73160.77</v>
      </c>
      <c r="D1207" s="3">
        <v>-410812.75</v>
      </c>
      <c r="E1207" s="3">
        <f t="shared" si="1"/>
        <v>-0.1512860573</v>
      </c>
      <c r="H1207" s="15"/>
      <c r="I1207" s="15"/>
      <c r="J1207" s="1"/>
      <c r="K1207" s="1"/>
      <c r="L1207" s="1"/>
    </row>
    <row r="1208" ht="15.75" customHeight="1">
      <c r="A1208" s="15">
        <v>44974.0</v>
      </c>
      <c r="B1208" s="3">
        <v>2266971.0</v>
      </c>
      <c r="C1208" s="3">
        <v>73160.77</v>
      </c>
      <c r="D1208" s="3">
        <v>-448499.0</v>
      </c>
      <c r="E1208" s="3">
        <f t="shared" si="1"/>
        <v>-0.1651644098</v>
      </c>
      <c r="H1208" s="15"/>
      <c r="I1208" s="15"/>
      <c r="J1208" s="1"/>
      <c r="K1208" s="1"/>
      <c r="L1208" s="1"/>
    </row>
    <row r="1209" ht="15.75" customHeight="1">
      <c r="A1209" s="15">
        <v>44981.0</v>
      </c>
      <c r="B1209" s="3">
        <v>2251804.5</v>
      </c>
      <c r="C1209" s="3">
        <v>73160.77</v>
      </c>
      <c r="D1209" s="3">
        <v>-463665.5</v>
      </c>
      <c r="E1209" s="3">
        <f t="shared" si="1"/>
        <v>-0.1707496308</v>
      </c>
      <c r="H1209" s="15"/>
      <c r="I1209" s="15"/>
      <c r="J1209" s="1"/>
      <c r="K1209" s="1"/>
      <c r="L1209" s="1"/>
    </row>
    <row r="1210" ht="15.75" customHeight="1">
      <c r="A1210" s="15">
        <v>44988.0</v>
      </c>
      <c r="B1210" s="3">
        <v>2279617.75</v>
      </c>
      <c r="C1210" s="3">
        <v>73160.77</v>
      </c>
      <c r="D1210" s="3">
        <v>-435852.25</v>
      </c>
      <c r="E1210" s="3">
        <f t="shared" si="1"/>
        <v>-0.1605071129</v>
      </c>
      <c r="H1210" s="15"/>
      <c r="I1210" s="15"/>
      <c r="J1210" s="1"/>
      <c r="K1210" s="1"/>
      <c r="L1210" s="1"/>
    </row>
    <row r="1211" ht="15.75" customHeight="1">
      <c r="A1211" s="15">
        <v>44995.0</v>
      </c>
      <c r="B1211" s="3">
        <v>2237584.0</v>
      </c>
      <c r="C1211" s="3">
        <v>73160.77</v>
      </c>
      <c r="D1211" s="3">
        <v>-477886.0</v>
      </c>
      <c r="E1211" s="3">
        <f t="shared" si="1"/>
        <v>-0.1759864775</v>
      </c>
      <c r="H1211" s="15"/>
      <c r="I1211" s="15"/>
      <c r="J1211" s="1"/>
      <c r="K1211" s="1"/>
      <c r="L1211" s="1"/>
    </row>
    <row r="1212" ht="15.75" customHeight="1">
      <c r="A1212" s="15">
        <v>45002.0</v>
      </c>
      <c r="B1212" s="3">
        <v>2207736.25</v>
      </c>
      <c r="C1212" s="3">
        <v>215401.05</v>
      </c>
      <c r="D1212" s="3">
        <v>-507733.75</v>
      </c>
      <c r="E1212" s="3">
        <f t="shared" si="1"/>
        <v>-0.1869782211</v>
      </c>
      <c r="H1212" s="15"/>
      <c r="I1212" s="15"/>
      <c r="J1212" s="1"/>
      <c r="K1212" s="1"/>
      <c r="L1212" s="1"/>
    </row>
    <row r="1213" ht="15.75" customHeight="1">
      <c r="A1213" s="15">
        <v>45009.0</v>
      </c>
      <c r="B1213" s="3">
        <v>2217841.25</v>
      </c>
      <c r="C1213" s="3">
        <v>450206.78</v>
      </c>
      <c r="D1213" s="3">
        <v>-497628.75</v>
      </c>
      <c r="E1213" s="3">
        <f t="shared" si="1"/>
        <v>-0.18325695</v>
      </c>
      <c r="H1213" s="15"/>
      <c r="I1213" s="15"/>
      <c r="J1213" s="1"/>
      <c r="K1213" s="1"/>
      <c r="L1213" s="1"/>
    </row>
    <row r="1214" ht="15.75" customHeight="1">
      <c r="A1214" s="15">
        <v>45016.0</v>
      </c>
      <c r="B1214" s="3">
        <v>2237156.75</v>
      </c>
      <c r="C1214" s="3">
        <v>824488.94</v>
      </c>
      <c r="D1214" s="3">
        <v>-478313.25</v>
      </c>
      <c r="E1214" s="3">
        <f t="shared" si="1"/>
        <v>-0.1761438167</v>
      </c>
      <c r="H1214" s="15"/>
      <c r="I1214" s="15"/>
      <c r="J1214" s="1"/>
      <c r="K1214" s="1"/>
      <c r="L1214" s="1"/>
    </row>
    <row r="1215" ht="15.75" customHeight="1">
      <c r="A1215" s="15">
        <v>45022.0</v>
      </c>
      <c r="B1215" s="3">
        <v>2255052.0</v>
      </c>
      <c r="C1215" s="3">
        <v>824488.94</v>
      </c>
      <c r="D1215" s="3">
        <v>-460418.0</v>
      </c>
      <c r="E1215" s="3">
        <f t="shared" si="1"/>
        <v>-0.1695537053</v>
      </c>
      <c r="H1215" s="15"/>
      <c r="I1215" s="15"/>
      <c r="J1215" s="1"/>
      <c r="K1215" s="1"/>
      <c r="L1215" s="1"/>
    </row>
    <row r="1216" ht="15.75" customHeight="1">
      <c r="A1216" s="15">
        <v>45030.0</v>
      </c>
      <c r="B1216" s="3">
        <v>2278693.5</v>
      </c>
      <c r="C1216" s="3">
        <v>824488.94</v>
      </c>
      <c r="D1216" s="3">
        <v>-436776.5</v>
      </c>
      <c r="E1216" s="3">
        <f t="shared" si="1"/>
        <v>-0.1608474776</v>
      </c>
      <c r="H1216" s="15"/>
      <c r="I1216" s="15"/>
      <c r="J1216" s="1"/>
      <c r="K1216" s="1"/>
      <c r="L1216" s="1"/>
    </row>
    <row r="1217" ht="15.75" customHeight="1">
      <c r="A1217" s="15">
        <v>45037.0</v>
      </c>
      <c r="B1217" s="3">
        <v>2277520.0</v>
      </c>
      <c r="C1217" s="3">
        <v>109646.8</v>
      </c>
      <c r="D1217" s="3">
        <v>-437950.0</v>
      </c>
      <c r="E1217" s="3">
        <f t="shared" si="1"/>
        <v>-0.1612796312</v>
      </c>
      <c r="H1217" s="15"/>
      <c r="I1217" s="15"/>
      <c r="J1217" s="1"/>
      <c r="K1217" s="1"/>
      <c r="L1217" s="1"/>
    </row>
    <row r="1218" ht="15.75" customHeight="1">
      <c r="A1218" s="15">
        <v>45044.0</v>
      </c>
      <c r="B1218" s="3">
        <v>2279453.0</v>
      </c>
      <c r="C1218" s="3">
        <v>109646.8</v>
      </c>
      <c r="D1218" s="3">
        <v>-436017.0</v>
      </c>
      <c r="E1218" s="3">
        <f t="shared" si="1"/>
        <v>-0.1605677838</v>
      </c>
      <c r="H1218" s="15"/>
      <c r="I1218" s="15"/>
      <c r="J1218" s="1"/>
      <c r="K1218" s="1"/>
      <c r="L1218" s="1"/>
    </row>
    <row r="1219" ht="15.75" customHeight="1">
      <c r="A1219" s="15">
        <v>45051.0</v>
      </c>
      <c r="B1219" s="3">
        <v>2276370.5</v>
      </c>
      <c r="C1219" s="3">
        <v>109646.8</v>
      </c>
      <c r="D1219" s="3">
        <v>-439099.5</v>
      </c>
      <c r="E1219" s="3">
        <f t="shared" si="1"/>
        <v>-0.1617029465</v>
      </c>
      <c r="H1219" s="15"/>
      <c r="I1219" s="15"/>
      <c r="J1219" s="1"/>
      <c r="K1219" s="1"/>
      <c r="L1219" s="1"/>
    </row>
    <row r="1220" ht="15.75" customHeight="1">
      <c r="A1220" s="15">
        <v>45058.0</v>
      </c>
      <c r="B1220" s="3">
        <v>2290701.25</v>
      </c>
      <c r="C1220" s="3">
        <v>109646.8</v>
      </c>
      <c r="D1220" s="3">
        <v>-424768.75</v>
      </c>
      <c r="E1220" s="3">
        <f t="shared" si="1"/>
        <v>-0.1564254991</v>
      </c>
      <c r="H1220" s="15"/>
      <c r="I1220" s="15"/>
      <c r="J1220" s="1"/>
      <c r="K1220" s="1"/>
      <c r="L1220" s="1"/>
    </row>
    <row r="1221" ht="15.75" customHeight="1">
      <c r="A1221" s="15">
        <v>45065.0</v>
      </c>
      <c r="B1221" s="3">
        <v>2298419.25</v>
      </c>
      <c r="C1221" s="3">
        <v>109646.8</v>
      </c>
      <c r="D1221" s="3">
        <v>-417050.75</v>
      </c>
      <c r="E1221" s="3">
        <f t="shared" si="1"/>
        <v>-0.1535832655</v>
      </c>
      <c r="H1221" s="15"/>
      <c r="I1221" s="15"/>
      <c r="J1221" s="1"/>
      <c r="K1221" s="1"/>
      <c r="L1221" s="1"/>
    </row>
    <row r="1222" ht="15.75" customHeight="1">
      <c r="A1222" s="15">
        <v>45072.0</v>
      </c>
      <c r="B1222" s="3">
        <v>2256450.25</v>
      </c>
      <c r="C1222" s="3">
        <v>109646.8</v>
      </c>
      <c r="D1222" s="3">
        <v>-459019.75</v>
      </c>
      <c r="E1222" s="3">
        <f t="shared" si="1"/>
        <v>-0.1690387852</v>
      </c>
      <c r="H1222" s="15"/>
      <c r="I1222" s="15"/>
      <c r="J1222" s="1"/>
      <c r="K1222" s="1"/>
      <c r="L1222" s="1"/>
    </row>
    <row r="1223" ht="15.75" customHeight="1">
      <c r="A1223" s="15">
        <v>45079.0</v>
      </c>
      <c r="B1223" s="3">
        <v>2263814.5</v>
      </c>
      <c r="C1223" s="3">
        <v>109646.8</v>
      </c>
      <c r="D1223" s="3">
        <v>-451655.5</v>
      </c>
      <c r="E1223" s="3">
        <f t="shared" si="1"/>
        <v>-0.1663268237</v>
      </c>
      <c r="H1223" s="15"/>
      <c r="I1223" s="15"/>
      <c r="J1223" s="1"/>
      <c r="K1223" s="1"/>
      <c r="L1223" s="1"/>
    </row>
    <row r="1224" ht="15.75" customHeight="1">
      <c r="A1224" s="15">
        <v>45086.0</v>
      </c>
      <c r="B1224" s="3">
        <v>2237064.75</v>
      </c>
      <c r="C1224" s="3">
        <v>401422.19</v>
      </c>
      <c r="D1224" s="3">
        <v>-478405.25</v>
      </c>
      <c r="E1224" s="3">
        <f t="shared" si="1"/>
        <v>-0.1761776967</v>
      </c>
      <c r="H1224" s="15"/>
      <c r="I1224" s="15"/>
      <c r="J1224" s="1"/>
      <c r="K1224" s="1"/>
      <c r="L1224" s="1"/>
    </row>
    <row r="1225" ht="15.75" customHeight="1">
      <c r="A1225" s="15">
        <v>45093.0</v>
      </c>
      <c r="B1225" s="3">
        <v>2288201.25</v>
      </c>
      <c r="C1225" s="3">
        <v>401422.19</v>
      </c>
      <c r="D1225" s="3">
        <v>-427268.75</v>
      </c>
      <c r="E1225" s="3">
        <f t="shared" si="1"/>
        <v>-0.15734615</v>
      </c>
      <c r="H1225" s="15"/>
      <c r="I1225" s="15"/>
      <c r="J1225" s="1"/>
      <c r="K1225" s="1"/>
      <c r="L1225" s="1"/>
    </row>
    <row r="1226" ht="15.75" customHeight="1">
      <c r="A1226" s="15">
        <v>45100.0</v>
      </c>
      <c r="B1226" s="3">
        <v>2246102.75</v>
      </c>
      <c r="C1226" s="3">
        <v>113947.59</v>
      </c>
      <c r="D1226" s="3">
        <v>-469367.25</v>
      </c>
      <c r="E1226" s="3">
        <f t="shared" si="1"/>
        <v>-0.1728493594</v>
      </c>
      <c r="H1226" s="15"/>
      <c r="I1226" s="15"/>
      <c r="J1226" s="1"/>
      <c r="K1226" s="1"/>
      <c r="L1226" s="1"/>
    </row>
    <row r="1227" ht="15.75" customHeight="1">
      <c r="A1227" s="15">
        <v>45107.0</v>
      </c>
      <c r="B1227" s="3">
        <v>2266194.5</v>
      </c>
      <c r="C1227" s="3">
        <v>113947.59</v>
      </c>
      <c r="D1227" s="3">
        <v>-449275.5</v>
      </c>
      <c r="E1227" s="3">
        <f t="shared" si="1"/>
        <v>-0.165450364</v>
      </c>
      <c r="H1227" s="15"/>
      <c r="I1227" s="15"/>
      <c r="J1227" s="1"/>
      <c r="K1227" s="1"/>
      <c r="L1227" s="1"/>
    </row>
    <row r="1228" ht="15.75" customHeight="1">
      <c r="A1228" s="15">
        <v>45114.0</v>
      </c>
      <c r="B1228" s="3">
        <v>2207704.25</v>
      </c>
      <c r="C1228" s="3">
        <v>361178.97</v>
      </c>
      <c r="D1228" s="3">
        <v>-507765.75</v>
      </c>
      <c r="E1228" s="3">
        <f t="shared" si="1"/>
        <v>-0.1869900054</v>
      </c>
      <c r="H1228" s="15"/>
      <c r="I1228" s="15"/>
      <c r="J1228" s="1"/>
      <c r="K1228" s="1"/>
      <c r="L1228" s="1"/>
    </row>
    <row r="1229" ht="15.75" customHeight="1">
      <c r="A1229" s="15">
        <v>45121.0</v>
      </c>
      <c r="B1229" s="3">
        <v>2236466.25</v>
      </c>
      <c r="C1229" s="3">
        <v>361178.97</v>
      </c>
      <c r="D1229" s="3">
        <v>-479003.75</v>
      </c>
      <c r="E1229" s="3">
        <f t="shared" si="1"/>
        <v>-0.1763981005</v>
      </c>
      <c r="H1229" s="15"/>
      <c r="I1229" s="15"/>
      <c r="J1229" s="1"/>
      <c r="K1229" s="1"/>
      <c r="L1229" s="1"/>
    </row>
    <row r="1230" ht="15.75" customHeight="1">
      <c r="A1230" s="15">
        <v>45128.0</v>
      </c>
      <c r="B1230" s="3">
        <v>2233965.75</v>
      </c>
      <c r="C1230" s="3">
        <v>56015.95</v>
      </c>
      <c r="D1230" s="3">
        <v>-481504.25</v>
      </c>
      <c r="E1230" s="3">
        <f t="shared" si="1"/>
        <v>-0.1773189356</v>
      </c>
      <c r="H1230" s="15"/>
      <c r="I1230" s="15"/>
      <c r="J1230" s="1"/>
      <c r="K1230" s="1"/>
      <c r="L1230" s="1"/>
    </row>
    <row r="1231" ht="15.75" customHeight="1">
      <c r="A1231" s="15">
        <v>45135.0</v>
      </c>
      <c r="B1231" s="3">
        <v>2291752.0</v>
      </c>
      <c r="C1231" s="3">
        <v>56015.95</v>
      </c>
      <c r="D1231" s="3">
        <v>-423718.0</v>
      </c>
      <c r="E1231" s="3">
        <f t="shared" si="1"/>
        <v>-0.1560385495</v>
      </c>
      <c r="H1231" s="15"/>
      <c r="I1231" s="15"/>
      <c r="J1231" s="1"/>
      <c r="K1231" s="1"/>
      <c r="L1231" s="1"/>
    </row>
    <row r="1232" ht="15.75" customHeight="1">
      <c r="A1232" s="15">
        <v>45142.0</v>
      </c>
      <c r="B1232" s="3">
        <v>2279905.5</v>
      </c>
      <c r="C1232" s="3">
        <v>56015.95</v>
      </c>
      <c r="D1232" s="3">
        <v>-435564.5</v>
      </c>
      <c r="E1232" s="3">
        <f t="shared" si="1"/>
        <v>-0.160401146</v>
      </c>
      <c r="H1232" s="15"/>
      <c r="I1232" s="15"/>
      <c r="J1232" s="1"/>
      <c r="K1232" s="1"/>
      <c r="L1232" s="1"/>
    </row>
    <row r="1233" ht="15.75" customHeight="1">
      <c r="A1233" s="15">
        <v>45149.0</v>
      </c>
      <c r="B1233" s="3">
        <v>2261145.0</v>
      </c>
      <c r="C1233" s="3">
        <v>56015.95</v>
      </c>
      <c r="D1233" s="3">
        <v>-454325.0</v>
      </c>
      <c r="E1233" s="3">
        <f t="shared" si="1"/>
        <v>-0.1673098948</v>
      </c>
      <c r="H1233" s="15"/>
      <c r="I1233" s="15"/>
      <c r="J1233" s="1"/>
      <c r="K1233" s="1"/>
      <c r="L1233" s="1"/>
    </row>
    <row r="1234" ht="15.75" customHeight="1">
      <c r="A1234" s="15">
        <v>45156.0</v>
      </c>
      <c r="B1234" s="3">
        <v>2252101.25</v>
      </c>
      <c r="C1234" s="3">
        <v>56015.95</v>
      </c>
      <c r="D1234" s="3">
        <v>-463368.75</v>
      </c>
      <c r="E1234" s="3">
        <f t="shared" si="1"/>
        <v>-0.1706403496</v>
      </c>
      <c r="H1234" s="15"/>
      <c r="I1234" s="15"/>
      <c r="J1234" s="1"/>
      <c r="K1234" s="1"/>
      <c r="L1234" s="1"/>
    </row>
    <row r="1235" ht="15.75" customHeight="1">
      <c r="A1235" s="15">
        <v>45163.0</v>
      </c>
      <c r="B1235" s="3">
        <v>2239664.25</v>
      </c>
      <c r="C1235" s="3">
        <v>56015.95</v>
      </c>
      <c r="D1235" s="3">
        <v>-475805.75</v>
      </c>
      <c r="E1235" s="3">
        <f t="shared" si="1"/>
        <v>-0.1752204038</v>
      </c>
      <c r="H1235" s="15"/>
      <c r="I1235" s="15"/>
      <c r="J1235" s="1"/>
      <c r="K1235" s="1"/>
      <c r="L1235" s="1"/>
    </row>
    <row r="1236" ht="15.75" customHeight="1">
      <c r="A1236" s="15">
        <v>45170.0</v>
      </c>
      <c r="B1236" s="3">
        <v>2290221.0</v>
      </c>
      <c r="C1236" s="3">
        <v>167758.28</v>
      </c>
      <c r="D1236" s="3">
        <v>-425249.0</v>
      </c>
      <c r="E1236" s="3">
        <f t="shared" si="1"/>
        <v>-0.1566023561</v>
      </c>
      <c r="H1236" s="15"/>
      <c r="I1236" s="15"/>
      <c r="J1236" s="1"/>
      <c r="K1236" s="1"/>
      <c r="L1236" s="1"/>
    </row>
    <row r="1237" ht="15.75" customHeight="1">
      <c r="A1237" s="15">
        <v>45177.0</v>
      </c>
      <c r="B1237" s="3">
        <v>2262383.5</v>
      </c>
      <c r="C1237" s="3">
        <v>9475.71</v>
      </c>
      <c r="D1237" s="3">
        <v>-453086.5</v>
      </c>
      <c r="E1237" s="3">
        <f t="shared" si="1"/>
        <v>-0.1668538043</v>
      </c>
      <c r="H1237" s="15"/>
      <c r="I1237" s="15"/>
      <c r="J1237" s="1"/>
      <c r="K1237" s="1"/>
      <c r="L1237" s="1"/>
    </row>
    <row r="1238" ht="15.75" customHeight="1">
      <c r="A1238" s="15">
        <v>45184.0</v>
      </c>
      <c r="B1238" s="3">
        <v>2278343.75</v>
      </c>
      <c r="C1238" s="3">
        <v>9475.71</v>
      </c>
      <c r="D1238" s="3">
        <v>-437126.25</v>
      </c>
      <c r="E1238" s="3">
        <f t="shared" si="1"/>
        <v>-0.1609762767</v>
      </c>
      <c r="H1238" s="15"/>
      <c r="I1238" s="15"/>
      <c r="J1238" s="1"/>
      <c r="K1238" s="1"/>
      <c r="L1238" s="1"/>
    </row>
    <row r="1239" ht="15.75" customHeight="1">
      <c r="A1239" s="15">
        <v>45191.0</v>
      </c>
      <c r="B1239" s="3">
        <v>2235801.5</v>
      </c>
      <c r="C1239" s="3">
        <v>9475.71</v>
      </c>
      <c r="D1239" s="3">
        <v>-479668.5</v>
      </c>
      <c r="E1239" s="3">
        <f t="shared" si="1"/>
        <v>-0.1766429016</v>
      </c>
      <c r="H1239" s="15"/>
      <c r="I1239" s="15"/>
      <c r="J1239" s="1"/>
      <c r="K1239" s="1"/>
      <c r="L1239" s="1"/>
    </row>
    <row r="1240" ht="15.75" customHeight="1">
      <c r="A1240" s="15">
        <v>45198.0</v>
      </c>
      <c r="B1240" s="3">
        <v>2281505.0</v>
      </c>
      <c r="C1240" s="3">
        <v>9475.71</v>
      </c>
      <c r="D1240" s="3">
        <v>-433965.0</v>
      </c>
      <c r="E1240" s="3">
        <f t="shared" si="1"/>
        <v>-0.1598121136</v>
      </c>
      <c r="H1240" s="15"/>
      <c r="I1240" s="15"/>
      <c r="J1240" s="1"/>
      <c r="K1240" s="1"/>
      <c r="L1240" s="1"/>
    </row>
    <row r="1241" ht="15.75" customHeight="1">
      <c r="A1241" s="15">
        <v>45205.0</v>
      </c>
      <c r="B1241" s="3">
        <v>2247292.5</v>
      </c>
      <c r="C1241" s="3">
        <v>9475.71</v>
      </c>
      <c r="D1241" s="3">
        <v>-468177.5</v>
      </c>
      <c r="E1241" s="3">
        <f t="shared" si="1"/>
        <v>-0.1724112216</v>
      </c>
      <c r="H1241" s="15"/>
      <c r="I1241" s="15"/>
      <c r="J1241" s="1"/>
      <c r="K1241" s="1"/>
      <c r="L1241" s="1"/>
    </row>
    <row r="1242" ht="15.75" customHeight="1">
      <c r="A1242" s="15">
        <v>45212.0</v>
      </c>
      <c r="B1242" s="3">
        <v>2290278.5</v>
      </c>
      <c r="C1242" s="3">
        <v>9475.71</v>
      </c>
      <c r="D1242" s="3">
        <v>-425191.5</v>
      </c>
      <c r="E1242" s="3">
        <f t="shared" si="1"/>
        <v>-0.1565811812</v>
      </c>
      <c r="H1242" s="15"/>
      <c r="I1242" s="15"/>
      <c r="J1242" s="1"/>
      <c r="K1242" s="1"/>
      <c r="L1242" s="1"/>
    </row>
    <row r="1243" ht="15.75" customHeight="1">
      <c r="A1243" s="15">
        <v>45219.0</v>
      </c>
      <c r="B1243" s="3">
        <v>2256374.25</v>
      </c>
      <c r="C1243" s="3">
        <v>154195.28</v>
      </c>
      <c r="D1243" s="3">
        <v>-459095.75</v>
      </c>
      <c r="E1243" s="3">
        <f t="shared" si="1"/>
        <v>-0.169066773</v>
      </c>
      <c r="H1243" s="15"/>
      <c r="I1243" s="15"/>
      <c r="J1243" s="1"/>
      <c r="K1243" s="1"/>
      <c r="L1243" s="1"/>
    </row>
    <row r="1244" ht="15.75" customHeight="1">
      <c r="A1244" s="15">
        <v>45226.0</v>
      </c>
      <c r="B1244" s="3">
        <v>2155375.5</v>
      </c>
      <c r="C1244" s="3">
        <v>154195.28</v>
      </c>
      <c r="D1244" s="3">
        <v>-560094.5</v>
      </c>
      <c r="E1244" s="3">
        <f t="shared" si="1"/>
        <v>-0.2062606105</v>
      </c>
      <c r="H1244" s="15"/>
      <c r="I1244" s="15"/>
      <c r="J1244" s="1"/>
      <c r="K1244" s="1"/>
      <c r="L1244" s="1"/>
    </row>
    <row r="1245" ht="15.75" customHeight="1">
      <c r="A1245" s="15">
        <v>45233.0</v>
      </c>
      <c r="B1245" s="3">
        <v>2195973.75</v>
      </c>
      <c r="C1245" s="3">
        <v>154195.28</v>
      </c>
      <c r="D1245" s="3">
        <v>-519496.25</v>
      </c>
      <c r="E1245" s="3">
        <f t="shared" si="1"/>
        <v>-0.1913098837</v>
      </c>
      <c r="H1245" s="15"/>
      <c r="I1245" s="15"/>
      <c r="J1245" s="1"/>
      <c r="K1245" s="1"/>
      <c r="L1245" s="1"/>
    </row>
    <row r="1246" ht="15.75" customHeight="1">
      <c r="A1246" s="15">
        <v>45240.0</v>
      </c>
      <c r="B1246" s="3">
        <v>2214617.75</v>
      </c>
      <c r="C1246" s="3">
        <v>584911.06</v>
      </c>
      <c r="D1246" s="3">
        <v>-500852.25</v>
      </c>
      <c r="E1246" s="3">
        <f t="shared" si="1"/>
        <v>-0.1844440373</v>
      </c>
      <c r="H1246" s="15"/>
      <c r="I1246" s="15"/>
      <c r="J1246" s="1"/>
      <c r="K1246" s="1"/>
      <c r="L1246" s="1"/>
    </row>
    <row r="1247" ht="15.75" customHeight="1">
      <c r="A1247" s="15">
        <v>45247.0</v>
      </c>
      <c r="B1247" s="3">
        <v>2215911.5</v>
      </c>
      <c r="C1247" s="3">
        <v>584911.06</v>
      </c>
      <c r="D1247" s="3">
        <v>-499558.5</v>
      </c>
      <c r="E1247" s="3">
        <f t="shared" si="1"/>
        <v>-0.1839676005</v>
      </c>
      <c r="H1247" s="15"/>
      <c r="I1247" s="15"/>
      <c r="J1247" s="1"/>
      <c r="K1247" s="1"/>
      <c r="L1247" s="1"/>
    </row>
    <row r="1248" ht="15.75" customHeight="1">
      <c r="A1248" s="15">
        <v>45254.0</v>
      </c>
      <c r="B1248" s="3">
        <v>2227341.75</v>
      </c>
      <c r="C1248" s="3">
        <v>584911.06</v>
      </c>
      <c r="D1248" s="3">
        <v>-488128.25</v>
      </c>
      <c r="E1248" s="3">
        <f t="shared" si="1"/>
        <v>-0.1797582923</v>
      </c>
      <c r="H1248" s="15"/>
      <c r="I1248" s="15"/>
      <c r="J1248" s="1"/>
      <c r="K1248" s="1"/>
      <c r="L1248" s="1"/>
    </row>
    <row r="1249" ht="15.75" customHeight="1">
      <c r="A1249" s="15">
        <v>45261.0</v>
      </c>
      <c r="B1249" s="3">
        <v>2240591.5</v>
      </c>
      <c r="C1249" s="3">
        <v>584911.06</v>
      </c>
      <c r="D1249" s="3">
        <v>-474878.5</v>
      </c>
      <c r="E1249" s="3">
        <f t="shared" si="1"/>
        <v>-0.1748789344</v>
      </c>
      <c r="H1249" s="15"/>
      <c r="I1249" s="15"/>
      <c r="J1249" s="1"/>
      <c r="K1249" s="1"/>
      <c r="L1249" s="1"/>
    </row>
    <row r="1250" ht="15.75" customHeight="1">
      <c r="A1250" s="15">
        <v>45268.0</v>
      </c>
      <c r="B1250" s="3">
        <v>2249182.75</v>
      </c>
      <c r="C1250" s="3">
        <v>20966.49</v>
      </c>
      <c r="D1250" s="3">
        <v>-466287.25</v>
      </c>
      <c r="E1250" s="3">
        <f t="shared" si="1"/>
        <v>-0.1717151175</v>
      </c>
      <c r="H1250" s="15"/>
      <c r="I1250" s="15"/>
      <c r="J1250" s="1"/>
      <c r="K1250" s="1"/>
      <c r="L1250" s="1"/>
    </row>
    <row r="1251" ht="15.75" customHeight="1">
      <c r="A1251" s="15">
        <v>45275.0</v>
      </c>
      <c r="B1251" s="3">
        <v>2311934.5</v>
      </c>
      <c r="C1251" s="3">
        <v>20966.49</v>
      </c>
      <c r="D1251" s="3">
        <v>-403535.5</v>
      </c>
      <c r="E1251" s="3">
        <f t="shared" si="1"/>
        <v>-0.1486061345</v>
      </c>
      <c r="H1251" s="15"/>
      <c r="I1251" s="15"/>
      <c r="J1251" s="1"/>
      <c r="K1251" s="1"/>
      <c r="L1251" s="1"/>
    </row>
    <row r="1252" ht="15.75" customHeight="1">
      <c r="A1252" s="15">
        <v>45282.0</v>
      </c>
      <c r="B1252" s="3">
        <v>2375302.75</v>
      </c>
      <c r="C1252" s="3">
        <v>20966.49</v>
      </c>
      <c r="D1252" s="3">
        <v>-340167.25</v>
      </c>
      <c r="E1252" s="3">
        <f t="shared" si="1"/>
        <v>-0.125270119</v>
      </c>
      <c r="H1252" s="15"/>
      <c r="I1252" s="15"/>
      <c r="J1252" s="1"/>
      <c r="K1252" s="1"/>
      <c r="L1252" s="1"/>
    </row>
    <row r="1253" ht="15.75" customHeight="1">
      <c r="A1253" s="15">
        <v>45289.0</v>
      </c>
      <c r="B1253" s="3">
        <v>2411432.25</v>
      </c>
      <c r="C1253" s="3">
        <v>20966.49</v>
      </c>
      <c r="D1253" s="3">
        <v>-304037.75</v>
      </c>
      <c r="E1253" s="3">
        <f t="shared" si="1"/>
        <v>-0.1119650558</v>
      </c>
      <c r="H1253" s="15"/>
      <c r="I1253" s="15"/>
      <c r="J1253" s="1"/>
      <c r="K1253" s="1"/>
      <c r="L1253" s="1"/>
    </row>
    <row r="1254" ht="15.75" customHeight="1">
      <c r="A1254" s="15">
        <v>45296.0</v>
      </c>
      <c r="B1254" s="3">
        <v>2358839.5</v>
      </c>
      <c r="C1254" s="3">
        <v>20966.49</v>
      </c>
      <c r="D1254" s="3">
        <v>-356630.5</v>
      </c>
      <c r="E1254" s="3">
        <f t="shared" si="1"/>
        <v>-0.1313328816</v>
      </c>
      <c r="H1254" s="15"/>
      <c r="I1254" s="15"/>
      <c r="J1254" s="1"/>
      <c r="K1254" s="1"/>
      <c r="L1254" s="1"/>
    </row>
    <row r="1255" ht="15.75" customHeight="1">
      <c r="A1255" s="15">
        <v>45303.0</v>
      </c>
      <c r="B1255" s="3">
        <v>2387225.25</v>
      </c>
      <c r="C1255" s="3">
        <v>20966.49</v>
      </c>
      <c r="D1255" s="3">
        <v>-328244.75</v>
      </c>
      <c r="E1255" s="3">
        <f t="shared" si="1"/>
        <v>-0.1208795347</v>
      </c>
      <c r="H1255" s="15"/>
      <c r="I1255" s="15"/>
      <c r="J1255" s="1"/>
      <c r="K1255" s="1"/>
      <c r="L1255" s="1"/>
    </row>
    <row r="1256" ht="15.75" customHeight="1">
      <c r="A1256" s="15">
        <v>45310.0</v>
      </c>
      <c r="B1256" s="3">
        <v>2382635.0</v>
      </c>
      <c r="C1256" s="3">
        <v>20966.49</v>
      </c>
      <c r="D1256" s="3">
        <v>-332835.0</v>
      </c>
      <c r="E1256" s="3">
        <f t="shared" si="1"/>
        <v>-0.1225699419</v>
      </c>
      <c r="H1256" s="15"/>
      <c r="I1256" s="15"/>
      <c r="J1256" s="1"/>
      <c r="K1256" s="1"/>
      <c r="L1256" s="1"/>
    </row>
    <row r="1257" ht="15.75" customHeight="1">
      <c r="A1257" s="15">
        <v>45316.0</v>
      </c>
      <c r="B1257" s="3">
        <v>2400618.0</v>
      </c>
      <c r="C1257" s="3">
        <v>20966.49</v>
      </c>
      <c r="D1257" s="3">
        <v>-314852.0</v>
      </c>
      <c r="E1257" s="3">
        <f t="shared" si="1"/>
        <v>-0.1159475155</v>
      </c>
      <c r="H1257" s="15"/>
      <c r="I1257" s="15"/>
      <c r="J1257" s="1"/>
      <c r="K1257" s="1"/>
      <c r="L1257" s="1"/>
    </row>
    <row r="1258" ht="15.75" customHeight="1">
      <c r="A1258" s="15">
        <v>45324.0</v>
      </c>
      <c r="B1258" s="3">
        <v>2432735.0</v>
      </c>
      <c r="C1258" s="3">
        <v>20966.49</v>
      </c>
      <c r="D1258" s="3">
        <v>-282735.0</v>
      </c>
      <c r="E1258" s="3">
        <f t="shared" si="1"/>
        <v>-0.1041200971</v>
      </c>
      <c r="H1258" s="15"/>
      <c r="I1258" s="15"/>
      <c r="J1258" s="1"/>
      <c r="K1258" s="1"/>
      <c r="L1258" s="1"/>
    </row>
    <row r="1259" ht="15.75" customHeight="1">
      <c r="A1259" s="15">
        <v>45331.0</v>
      </c>
      <c r="B1259" s="3">
        <v>2433530.5</v>
      </c>
      <c r="C1259" s="3">
        <v>20966.49</v>
      </c>
      <c r="D1259" s="3">
        <v>-281939.5</v>
      </c>
      <c r="E1259" s="3">
        <f t="shared" si="1"/>
        <v>-0.1038271459</v>
      </c>
      <c r="H1259" s="15"/>
      <c r="I1259" s="15"/>
      <c r="J1259" s="1"/>
      <c r="K1259" s="1"/>
      <c r="L1259" s="1"/>
    </row>
    <row r="1260" ht="15.75" customHeight="1">
      <c r="A1260" s="15">
        <v>45338.0</v>
      </c>
      <c r="B1260" s="3">
        <v>2406477.75</v>
      </c>
      <c r="C1260" s="3">
        <v>20966.49</v>
      </c>
      <c r="D1260" s="3">
        <v>-308992.25</v>
      </c>
      <c r="E1260" s="3">
        <f t="shared" si="1"/>
        <v>-0.1137896018</v>
      </c>
      <c r="H1260" s="15"/>
      <c r="I1260" s="15"/>
      <c r="J1260" s="1"/>
      <c r="K1260" s="1"/>
      <c r="L1260" s="1"/>
    </row>
    <row r="1261" ht="15.75" customHeight="1">
      <c r="A1261" s="15">
        <v>45345.0</v>
      </c>
      <c r="B1261" s="3">
        <v>2473451.5</v>
      </c>
      <c r="C1261" s="3">
        <v>20966.49</v>
      </c>
      <c r="D1261" s="3">
        <v>-242018.5</v>
      </c>
      <c r="E1261" s="3">
        <f t="shared" si="1"/>
        <v>-0.08912582352</v>
      </c>
      <c r="H1261" s="15"/>
      <c r="I1261" s="15"/>
      <c r="J1261" s="1"/>
      <c r="K1261" s="1"/>
      <c r="L1261" s="1"/>
    </row>
    <row r="1262" ht="15.75" customHeight="1">
      <c r="A1262" s="15">
        <v>45352.0</v>
      </c>
      <c r="B1262" s="3">
        <v>2500750.5</v>
      </c>
      <c r="C1262" s="3">
        <v>20966.49</v>
      </c>
      <c r="D1262" s="3">
        <v>-214719.5</v>
      </c>
      <c r="E1262" s="3">
        <f t="shared" si="1"/>
        <v>-0.07907268355</v>
      </c>
      <c r="H1262" s="15"/>
      <c r="I1262" s="15"/>
      <c r="J1262" s="1"/>
      <c r="K1262" s="1"/>
      <c r="L1262" s="1"/>
    </row>
    <row r="1263" ht="15.75" customHeight="1">
      <c r="A1263" s="15">
        <v>45359.0</v>
      </c>
      <c r="B1263" s="3">
        <v>2543266.0</v>
      </c>
      <c r="C1263" s="3">
        <v>20966.49</v>
      </c>
      <c r="D1263" s="3">
        <v>-172204.0</v>
      </c>
      <c r="E1263" s="3">
        <f t="shared" si="1"/>
        <v>-0.06341590958</v>
      </c>
      <c r="H1263" s="15"/>
      <c r="I1263" s="15"/>
      <c r="J1263" s="1"/>
      <c r="K1263" s="1"/>
      <c r="L1263" s="1"/>
    </row>
    <row r="1264" ht="15.75" customHeight="1">
      <c r="A1264" s="15">
        <v>45366.0</v>
      </c>
      <c r="B1264" s="3">
        <v>2516570.5</v>
      </c>
      <c r="C1264" s="3">
        <v>20966.49</v>
      </c>
      <c r="D1264" s="3">
        <v>-198899.5</v>
      </c>
      <c r="E1264" s="3">
        <f t="shared" si="1"/>
        <v>-0.07324680442</v>
      </c>
      <c r="H1264" s="15"/>
      <c r="I1264" s="15"/>
      <c r="J1264" s="1"/>
      <c r="K1264" s="1"/>
      <c r="L1264" s="1"/>
    </row>
    <row r="1265" ht="15.75" customHeight="1">
      <c r="A1265" s="15">
        <v>45373.0</v>
      </c>
      <c r="B1265" s="3">
        <v>2528106.75</v>
      </c>
      <c r="C1265" s="3">
        <v>20966.49</v>
      </c>
      <c r="D1265" s="3">
        <v>-187363.25</v>
      </c>
      <c r="E1265" s="3">
        <f t="shared" si="1"/>
        <v>-0.06899846067</v>
      </c>
      <c r="H1265" s="15"/>
      <c r="I1265" s="15"/>
      <c r="J1265" s="1"/>
      <c r="K1265" s="1"/>
      <c r="L1265" s="1"/>
    </row>
    <row r="1266" ht="15.75" customHeight="1">
      <c r="A1266" s="15">
        <v>45379.0</v>
      </c>
      <c r="B1266" s="3">
        <v>2575923.0</v>
      </c>
      <c r="C1266" s="3">
        <v>20966.49</v>
      </c>
      <c r="D1266" s="3">
        <v>-139547.0</v>
      </c>
      <c r="E1266" s="3">
        <f t="shared" si="1"/>
        <v>-0.05138963052</v>
      </c>
      <c r="H1266" s="15"/>
      <c r="I1266" s="15"/>
      <c r="J1266" s="1"/>
      <c r="K1266" s="1"/>
      <c r="L1266" s="1"/>
    </row>
    <row r="1267" ht="15.75" customHeight="1">
      <c r="A1267" s="15">
        <v>45387.0</v>
      </c>
      <c r="B1267" s="3">
        <v>2537716.25</v>
      </c>
      <c r="C1267" s="3">
        <v>20966.49</v>
      </c>
      <c r="D1267" s="3">
        <v>-177753.75</v>
      </c>
      <c r="E1267" s="3">
        <f t="shared" si="1"/>
        <v>-0.0654596626</v>
      </c>
      <c r="H1267" s="15"/>
      <c r="I1267" s="15"/>
      <c r="J1267" s="1"/>
      <c r="K1267" s="1"/>
      <c r="L1267" s="1"/>
    </row>
    <row r="1268" ht="15.75" customHeight="1">
      <c r="A1268" s="15">
        <v>45394.0</v>
      </c>
      <c r="B1268" s="3">
        <v>2567567.75</v>
      </c>
      <c r="C1268" s="3">
        <v>20966.49</v>
      </c>
      <c r="D1268" s="3">
        <v>-147902.25</v>
      </c>
      <c r="E1268" s="3">
        <f t="shared" si="1"/>
        <v>-0.05446653802</v>
      </c>
      <c r="H1268" s="15"/>
      <c r="I1268" s="15"/>
      <c r="J1268" s="1"/>
      <c r="K1268" s="1"/>
      <c r="L1268" s="1"/>
    </row>
    <row r="1269" ht="15.75" customHeight="1">
      <c r="A1269" s="15">
        <v>45401.0</v>
      </c>
      <c r="B1269" s="3">
        <v>2456171.75</v>
      </c>
      <c r="C1269" s="3">
        <v>20966.49</v>
      </c>
      <c r="D1269" s="3">
        <v>-259298.25</v>
      </c>
      <c r="E1269" s="3">
        <f t="shared" si="1"/>
        <v>-0.09548927073</v>
      </c>
      <c r="H1269" s="15"/>
      <c r="I1269" s="15"/>
      <c r="J1269" s="1"/>
      <c r="K1269" s="1"/>
      <c r="L1269" s="1"/>
    </row>
    <row r="1270" ht="15.75" customHeight="1">
      <c r="A1270" s="15">
        <v>45408.0</v>
      </c>
      <c r="B1270" s="3">
        <v>2471290.25</v>
      </c>
      <c r="C1270" s="3">
        <v>20966.49</v>
      </c>
      <c r="D1270" s="3">
        <v>-244179.75</v>
      </c>
      <c r="E1270" s="3">
        <f t="shared" si="1"/>
        <v>-0.08992172626</v>
      </c>
      <c r="H1270" s="15"/>
      <c r="I1270" s="15"/>
      <c r="J1270" s="1"/>
      <c r="K1270" s="1"/>
      <c r="L1270" s="1"/>
    </row>
    <row r="1271" ht="15.75" customHeight="1">
      <c r="A1271" s="15">
        <v>45415.0</v>
      </c>
      <c r="B1271" s="3">
        <v>2471746.0</v>
      </c>
      <c r="C1271" s="3">
        <v>376339.75</v>
      </c>
      <c r="D1271" s="3">
        <v>-243724.0</v>
      </c>
      <c r="E1271" s="3">
        <f t="shared" si="1"/>
        <v>-0.08975389159</v>
      </c>
      <c r="H1271" s="15"/>
      <c r="I1271" s="15"/>
      <c r="J1271" s="1"/>
      <c r="K1271" s="1"/>
      <c r="L1271" s="1"/>
    </row>
    <row r="1272" ht="15.75" customHeight="1">
      <c r="A1272" s="15">
        <v>45422.0</v>
      </c>
      <c r="B1272" s="3">
        <v>2483744.5</v>
      </c>
      <c r="C1272" s="3">
        <v>512041.84</v>
      </c>
      <c r="D1272" s="3">
        <v>-231725.5</v>
      </c>
      <c r="E1272" s="3">
        <f t="shared" si="1"/>
        <v>-0.08533531948</v>
      </c>
      <c r="H1272" s="15"/>
      <c r="I1272" s="15"/>
      <c r="J1272" s="1"/>
      <c r="K1272" s="1"/>
      <c r="L1272" s="1"/>
    </row>
    <row r="1273" ht="15.75" customHeight="1">
      <c r="A1273" s="15">
        <v>45429.0</v>
      </c>
      <c r="B1273" s="3">
        <v>2478631.0</v>
      </c>
      <c r="C1273" s="3">
        <v>36341.5</v>
      </c>
      <c r="D1273" s="3">
        <v>-236839.0</v>
      </c>
      <c r="E1273" s="3">
        <f t="shared" si="1"/>
        <v>-0.08721841891</v>
      </c>
      <c r="H1273" s="15"/>
      <c r="I1273" s="15"/>
      <c r="J1273" s="1"/>
      <c r="K1273" s="1"/>
      <c r="L1273" s="1"/>
    </row>
    <row r="1274" ht="15.75" customHeight="1">
      <c r="A1274" s="15">
        <v>45436.0</v>
      </c>
      <c r="B1274" s="3">
        <v>2462538.25</v>
      </c>
      <c r="C1274" s="3">
        <v>36341.5</v>
      </c>
      <c r="D1274" s="3">
        <v>-252931.75</v>
      </c>
      <c r="E1274" s="3">
        <f t="shared" si="1"/>
        <v>-0.09314474106</v>
      </c>
      <c r="H1274" s="15"/>
      <c r="I1274" s="15"/>
      <c r="J1274" s="1"/>
      <c r="K1274" s="1"/>
      <c r="L1274" s="1"/>
    </row>
    <row r="1275" ht="15.75" customHeight="1">
      <c r="A1275" s="15">
        <v>45443.0</v>
      </c>
      <c r="B1275" s="3">
        <v>2475807.25</v>
      </c>
      <c r="C1275" s="3">
        <v>36341.5</v>
      </c>
      <c r="D1275" s="3">
        <v>-239662.75</v>
      </c>
      <c r="E1275" s="3">
        <f t="shared" si="1"/>
        <v>-0.08825829414</v>
      </c>
      <c r="H1275" s="15"/>
      <c r="I1275" s="15"/>
      <c r="J1275" s="1"/>
      <c r="K1275" s="1"/>
      <c r="L1275" s="1"/>
    </row>
    <row r="1276" ht="15.75" customHeight="1">
      <c r="A1276" s="15">
        <v>45450.0</v>
      </c>
      <c r="B1276" s="3">
        <v>2511267.25</v>
      </c>
      <c r="C1276" s="3">
        <v>36341.5</v>
      </c>
      <c r="D1276" s="3">
        <v>-204202.75</v>
      </c>
      <c r="E1276" s="3">
        <f t="shared" si="1"/>
        <v>-0.07519978125</v>
      </c>
      <c r="H1276" s="15"/>
      <c r="I1276" s="15"/>
      <c r="J1276" s="1"/>
      <c r="K1276" s="1"/>
      <c r="L1276" s="1"/>
    </row>
    <row r="1277" ht="15.75" customHeight="1">
      <c r="A1277" s="15">
        <v>45457.0</v>
      </c>
      <c r="B1277" s="3">
        <v>2511819.75</v>
      </c>
      <c r="C1277" s="3">
        <v>189704.7</v>
      </c>
      <c r="D1277" s="3">
        <v>-203650.25</v>
      </c>
      <c r="E1277" s="3">
        <f t="shared" si="1"/>
        <v>-0.0749963174</v>
      </c>
      <c r="H1277" s="15"/>
      <c r="I1277" s="15"/>
      <c r="J1277" s="1"/>
      <c r="K1277" s="1"/>
      <c r="L1277" s="1"/>
    </row>
    <row r="1278" ht="15.75" customHeight="1">
      <c r="A1278" s="15">
        <v>45464.0</v>
      </c>
      <c r="B1278" s="3">
        <v>2580742.5</v>
      </c>
      <c r="C1278" s="3">
        <v>189704.7</v>
      </c>
      <c r="D1278" s="3">
        <v>-134727.5</v>
      </c>
      <c r="E1278" s="3">
        <f t="shared" si="1"/>
        <v>-0.04961479965</v>
      </c>
      <c r="H1278" s="15"/>
      <c r="I1278" s="15"/>
      <c r="J1278" s="1"/>
      <c r="K1278" s="1"/>
      <c r="L1278" s="1"/>
    </row>
    <row r="1279" ht="15.75" customHeight="1">
      <c r="A1279" s="15">
        <v>45471.0</v>
      </c>
      <c r="B1279" s="3">
        <v>2613773.75</v>
      </c>
      <c r="C1279" s="3">
        <v>27648.02</v>
      </c>
      <c r="D1279" s="3">
        <v>-101696.25</v>
      </c>
      <c r="E1279" s="3">
        <f t="shared" si="1"/>
        <v>-0.03745069914</v>
      </c>
      <c r="H1279" s="15"/>
      <c r="I1279" s="15"/>
      <c r="J1279" s="1"/>
      <c r="K1279" s="1"/>
      <c r="L1279" s="1"/>
    </row>
    <row r="1280" ht="15.75" customHeight="1">
      <c r="A1280" s="15">
        <v>45478.0</v>
      </c>
      <c r="B1280" s="3">
        <v>2553309.0</v>
      </c>
      <c r="C1280" s="3">
        <v>27648.02</v>
      </c>
      <c r="D1280" s="3">
        <v>-162161.0</v>
      </c>
      <c r="E1280" s="3">
        <f t="shared" si="1"/>
        <v>-0.05971747064</v>
      </c>
      <c r="H1280" s="15"/>
      <c r="I1280" s="15"/>
      <c r="J1280" s="1"/>
      <c r="K1280" s="1"/>
      <c r="L1280" s="1"/>
    </row>
    <row r="1281" ht="15.75" customHeight="1">
      <c r="A1281" s="15">
        <v>45485.0</v>
      </c>
      <c r="B1281" s="3">
        <v>2599368.75</v>
      </c>
      <c r="C1281" s="3">
        <v>27648.02</v>
      </c>
      <c r="D1281" s="3">
        <v>-116101.25</v>
      </c>
      <c r="E1281" s="3">
        <f t="shared" si="1"/>
        <v>-0.04275548984</v>
      </c>
      <c r="H1281" s="15"/>
      <c r="I1281" s="15"/>
      <c r="J1281" s="1"/>
      <c r="K1281" s="1"/>
      <c r="L1281" s="1"/>
    </row>
    <row r="1282" ht="15.75" customHeight="1">
      <c r="A1282" s="15">
        <v>45492.0</v>
      </c>
      <c r="B1282" s="3">
        <v>2604325.0</v>
      </c>
      <c r="C1282" s="3">
        <v>27648.02</v>
      </c>
      <c r="D1282" s="3">
        <v>-111145.0</v>
      </c>
      <c r="E1282" s="3">
        <f t="shared" si="1"/>
        <v>-0.04093029936</v>
      </c>
      <c r="H1282" s="15"/>
      <c r="I1282" s="15"/>
      <c r="J1282" s="1"/>
      <c r="K1282" s="1"/>
      <c r="L1282" s="1"/>
    </row>
    <row r="1283" ht="15.75" customHeight="1">
      <c r="A1283" s="15">
        <v>45499.0</v>
      </c>
      <c r="B1283" s="3">
        <v>2634347.75</v>
      </c>
      <c r="C1283" s="3">
        <v>27648.02</v>
      </c>
      <c r="D1283" s="3">
        <v>-81122.25</v>
      </c>
      <c r="E1283" s="3">
        <f t="shared" si="1"/>
        <v>-0.02987411019</v>
      </c>
      <c r="H1283" s="15"/>
      <c r="I1283" s="15"/>
      <c r="J1283" s="1"/>
      <c r="K1283" s="1"/>
      <c r="L1283" s="1"/>
    </row>
    <row r="1284" ht="15.75" customHeight="1">
      <c r="A1284" s="15">
        <v>45506.0</v>
      </c>
      <c r="B1284" s="3">
        <v>2703567.5</v>
      </c>
      <c r="C1284" s="3">
        <v>27648.02</v>
      </c>
      <c r="D1284" s="3">
        <v>-11902.5</v>
      </c>
      <c r="E1284" s="3">
        <f t="shared" si="1"/>
        <v>-0.004383219111</v>
      </c>
      <c r="H1284" s="15"/>
      <c r="I1284" s="15"/>
      <c r="J1284" s="1"/>
      <c r="K1284" s="1"/>
      <c r="L1284" s="1"/>
    </row>
    <row r="1285" ht="15.75" customHeight="1">
      <c r="A1285" s="15">
        <v>45513.0</v>
      </c>
      <c r="B1285" s="3">
        <v>2630399.5</v>
      </c>
      <c r="C1285" s="3">
        <v>27648.02</v>
      </c>
      <c r="D1285" s="3">
        <v>-85070.5</v>
      </c>
      <c r="E1285" s="3">
        <f t="shared" si="1"/>
        <v>-0.03132809422</v>
      </c>
      <c r="H1285" s="15"/>
      <c r="I1285" s="15"/>
      <c r="J1285" s="1"/>
      <c r="K1285" s="1"/>
      <c r="L1285" s="1"/>
    </row>
    <row r="1286" ht="15.75" customHeight="1">
      <c r="A1286" s="15">
        <v>45520.0</v>
      </c>
      <c r="B1286" s="3">
        <v>2707768.0</v>
      </c>
      <c r="C1286" s="3">
        <v>27648.02</v>
      </c>
      <c r="D1286" s="3">
        <v>-7702.0</v>
      </c>
      <c r="E1286" s="3">
        <f t="shared" si="1"/>
        <v>-0.002836341407</v>
      </c>
      <c r="H1286" s="15"/>
      <c r="I1286" s="15"/>
      <c r="J1286" s="1"/>
      <c r="K1286" s="1"/>
      <c r="L1286" s="1"/>
    </row>
    <row r="1287" ht="15.75" customHeight="1">
      <c r="A1287" s="15">
        <v>45527.0</v>
      </c>
      <c r="B1287" s="3">
        <v>2745565.25</v>
      </c>
      <c r="C1287" s="3">
        <v>50598.65</v>
      </c>
      <c r="D1287" s="3">
        <v>0.0</v>
      </c>
      <c r="E1287" s="3">
        <f t="shared" si="1"/>
        <v>0</v>
      </c>
      <c r="H1287" s="15"/>
      <c r="I1287" s="15"/>
      <c r="J1287" s="1"/>
      <c r="K1287" s="1"/>
      <c r="L1287" s="1"/>
    </row>
    <row r="1288" ht="15.75" customHeight="1">
      <c r="A1288" s="15">
        <v>45534.0</v>
      </c>
      <c r="B1288" s="3">
        <v>2798975.75</v>
      </c>
      <c r="C1288" s="3">
        <v>50598.65</v>
      </c>
      <c r="D1288" s="3">
        <v>0.0</v>
      </c>
      <c r="E1288" s="3">
        <f t="shared" si="1"/>
        <v>0</v>
      </c>
      <c r="H1288" s="15"/>
      <c r="I1288" s="15"/>
      <c r="J1288" s="1"/>
      <c r="K1288" s="1"/>
      <c r="L1288" s="1"/>
    </row>
    <row r="1289" ht="15.75" customHeight="1">
      <c r="A1289" s="15">
        <v>45541.0</v>
      </c>
      <c r="B1289" s="3">
        <v>2767373.75</v>
      </c>
      <c r="C1289" s="3">
        <v>50598.65</v>
      </c>
      <c r="D1289" s="3">
        <v>-31602.0</v>
      </c>
      <c r="E1289" s="3">
        <f t="shared" si="1"/>
        <v>-0.0112905587</v>
      </c>
      <c r="H1289" s="15"/>
      <c r="I1289" s="15"/>
      <c r="J1289" s="1"/>
      <c r="K1289" s="1"/>
      <c r="L1289" s="1"/>
    </row>
    <row r="1290" ht="15.75" customHeight="1">
      <c r="A1290" s="15">
        <v>45548.0</v>
      </c>
      <c r="B1290" s="3">
        <v>2775909.0</v>
      </c>
      <c r="C1290" s="3">
        <v>50598.65</v>
      </c>
      <c r="D1290" s="3">
        <v>-23066.75</v>
      </c>
      <c r="E1290" s="3">
        <f t="shared" si="1"/>
        <v>-0.008241139638</v>
      </c>
      <c r="H1290" s="15"/>
      <c r="I1290" s="15"/>
      <c r="J1290" s="1"/>
      <c r="K1290" s="1"/>
      <c r="L1290" s="1"/>
    </row>
    <row r="1291" ht="15.75" customHeight="1">
      <c r="A1291" s="15">
        <v>45555.0</v>
      </c>
      <c r="B1291" s="3">
        <v>2819092.0</v>
      </c>
      <c r="C1291" s="3">
        <v>50598.65</v>
      </c>
      <c r="D1291" s="3">
        <v>0.0</v>
      </c>
      <c r="E1291" s="3">
        <f t="shared" si="1"/>
        <v>0</v>
      </c>
      <c r="H1291" s="15"/>
      <c r="I1291" s="15"/>
      <c r="J1291" s="1"/>
      <c r="K1291" s="1"/>
      <c r="L1291" s="1"/>
    </row>
    <row r="1292" ht="15.75" customHeight="1">
      <c r="A1292" s="15">
        <v>45562.0</v>
      </c>
      <c r="B1292" s="3">
        <v>2862536.75</v>
      </c>
      <c r="C1292" s="3">
        <v>50598.65</v>
      </c>
      <c r="D1292" s="3">
        <v>0.0</v>
      </c>
      <c r="E1292" s="3">
        <f t="shared" si="1"/>
        <v>0</v>
      </c>
      <c r="H1292" s="15"/>
      <c r="I1292" s="15"/>
      <c r="J1292" s="1"/>
      <c r="K1292" s="1"/>
      <c r="L1292" s="1"/>
    </row>
    <row r="1293" ht="15.75" customHeight="1">
      <c r="A1293" s="15">
        <v>45569.0</v>
      </c>
      <c r="B1293" s="3">
        <v>2845425.5</v>
      </c>
      <c r="C1293" s="3">
        <v>50598.65</v>
      </c>
      <c r="D1293" s="3">
        <v>-17111.25</v>
      </c>
      <c r="E1293" s="3">
        <f t="shared" si="1"/>
        <v>-0.005977652514</v>
      </c>
      <c r="H1293" s="15"/>
      <c r="I1293" s="15"/>
      <c r="J1293" s="1"/>
      <c r="K1293" s="1"/>
      <c r="L1293" s="1"/>
    </row>
    <row r="1294" ht="15.75" customHeight="1">
      <c r="A1294" s="15">
        <v>45576.0</v>
      </c>
      <c r="B1294" s="3">
        <v>2913673.5</v>
      </c>
      <c r="C1294" s="3">
        <v>50598.65</v>
      </c>
      <c r="D1294" s="3">
        <v>0.0</v>
      </c>
      <c r="E1294" s="3">
        <f t="shared" si="1"/>
        <v>0</v>
      </c>
      <c r="H1294" s="15"/>
      <c r="I1294" s="15"/>
      <c r="J1294" s="1"/>
      <c r="K1294" s="1"/>
      <c r="L1294" s="1"/>
    </row>
    <row r="1295" ht="15.75" customHeight="1">
      <c r="A1295" s="15">
        <v>45583.0</v>
      </c>
      <c r="B1295" s="3">
        <v>2921913.5</v>
      </c>
      <c r="C1295" s="3">
        <v>50598.65</v>
      </c>
      <c r="D1295" s="3">
        <v>0.0</v>
      </c>
      <c r="E1295" s="3">
        <f t="shared" si="1"/>
        <v>0</v>
      </c>
      <c r="H1295" s="15"/>
      <c r="I1295" s="15"/>
      <c r="J1295" s="1"/>
      <c r="K1295" s="1"/>
      <c r="L1295" s="1"/>
    </row>
    <row r="1296" ht="15.75" customHeight="1">
      <c r="A1296" s="15">
        <v>45590.0</v>
      </c>
      <c r="B1296" s="3">
        <v>2864032.0</v>
      </c>
      <c r="C1296" s="3">
        <v>50598.65</v>
      </c>
      <c r="D1296" s="3">
        <v>-57881.5</v>
      </c>
      <c r="E1296" s="3">
        <f t="shared" si="1"/>
        <v>-0.01980945021</v>
      </c>
      <c r="H1296" s="15"/>
      <c r="I1296" s="15"/>
      <c r="J1296" s="1"/>
      <c r="K1296" s="1"/>
      <c r="L1296" s="1"/>
    </row>
    <row r="1297" ht="15.75" customHeight="1">
      <c r="A1297" s="15">
        <v>45597.0</v>
      </c>
      <c r="B1297" s="3">
        <v>2858391.0</v>
      </c>
      <c r="C1297" s="3">
        <v>50598.65</v>
      </c>
      <c r="D1297" s="3">
        <v>-63522.5</v>
      </c>
      <c r="E1297" s="3">
        <f t="shared" si="1"/>
        <v>-0.0217400344</v>
      </c>
      <c r="H1297" s="15"/>
      <c r="I1297" s="15"/>
      <c r="J1297" s="1"/>
      <c r="K1297" s="1"/>
      <c r="L1297" s="1"/>
    </row>
    <row r="1298" ht="15.75" customHeight="1">
      <c r="A1298" s="15">
        <v>45604.0</v>
      </c>
      <c r="B1298" s="3">
        <v>2991190.0</v>
      </c>
      <c r="C1298" s="3">
        <v>50598.65</v>
      </c>
      <c r="D1298" s="3">
        <v>0.0</v>
      </c>
      <c r="E1298" s="3">
        <f t="shared" si="1"/>
        <v>0</v>
      </c>
      <c r="H1298" s="15"/>
      <c r="I1298" s="15"/>
      <c r="J1298" s="1"/>
      <c r="K1298" s="1"/>
      <c r="L1298" s="1"/>
    </row>
    <row r="1299" ht="15.75" customHeight="1">
      <c r="A1299" s="15">
        <v>45611.0</v>
      </c>
      <c r="B1299" s="3">
        <v>3002594.5</v>
      </c>
      <c r="C1299" s="3">
        <v>50598.65</v>
      </c>
      <c r="D1299" s="3">
        <v>0.0</v>
      </c>
      <c r="E1299" s="3">
        <f t="shared" si="1"/>
        <v>0</v>
      </c>
      <c r="H1299" s="15"/>
      <c r="I1299" s="15"/>
      <c r="J1299" s="1"/>
      <c r="K1299" s="1"/>
      <c r="L1299" s="1"/>
    </row>
    <row r="1300" ht="15.75" customHeight="1">
      <c r="A1300" s="15">
        <v>45618.0</v>
      </c>
      <c r="B1300" s="3">
        <v>3035373.0</v>
      </c>
      <c r="C1300" s="3">
        <v>50598.65</v>
      </c>
      <c r="D1300" s="3">
        <v>0.0</v>
      </c>
      <c r="E1300" s="3">
        <f t="shared" si="1"/>
        <v>0</v>
      </c>
      <c r="H1300" s="15"/>
      <c r="I1300" s="15"/>
      <c r="J1300" s="1"/>
      <c r="K1300" s="1"/>
      <c r="L1300" s="1"/>
    </row>
    <row r="1301" ht="15.75" customHeight="1">
      <c r="A1301" s="15">
        <v>45625.0</v>
      </c>
      <c r="B1301" s="3">
        <v>3164892.5</v>
      </c>
      <c r="C1301" s="3">
        <v>50598.65</v>
      </c>
      <c r="D1301" s="3">
        <v>0.0</v>
      </c>
      <c r="E1301" s="3">
        <f t="shared" si="1"/>
        <v>0</v>
      </c>
      <c r="H1301" s="15"/>
      <c r="I1301" s="15"/>
      <c r="J1301" s="1"/>
      <c r="K1301" s="1"/>
      <c r="L1301" s="1"/>
    </row>
    <row r="1302" ht="15.75" customHeight="1">
      <c r="A1302" s="15">
        <v>45632.0</v>
      </c>
      <c r="B1302" s="3">
        <v>3195011.75</v>
      </c>
      <c r="C1302" s="3">
        <v>50598.65</v>
      </c>
      <c r="D1302" s="3">
        <v>0.0</v>
      </c>
      <c r="E1302" s="3">
        <f t="shared" si="1"/>
        <v>0</v>
      </c>
      <c r="H1302" s="15"/>
      <c r="I1302" s="15"/>
      <c r="J1302" s="1"/>
      <c r="K1302" s="1"/>
      <c r="L1302" s="1"/>
    </row>
    <row r="1303" ht="15.75" customHeight="1">
      <c r="A1303" s="15">
        <v>45639.0</v>
      </c>
      <c r="B1303" s="3">
        <v>3051494.5</v>
      </c>
      <c r="C1303" s="3">
        <v>50598.65</v>
      </c>
      <c r="D1303" s="3">
        <v>-143517.25</v>
      </c>
      <c r="E1303" s="3">
        <f t="shared" si="1"/>
        <v>-0.04491916188</v>
      </c>
      <c r="H1303" s="15"/>
      <c r="I1303" s="15"/>
      <c r="J1303" s="1"/>
      <c r="K1303" s="1"/>
      <c r="L1303" s="1"/>
    </row>
    <row r="1304" ht="15.75" customHeight="1">
      <c r="A1304" s="15">
        <v>45646.0</v>
      </c>
      <c r="B1304" s="3">
        <v>3015058.25</v>
      </c>
      <c r="C1304" s="3">
        <v>50598.65</v>
      </c>
      <c r="D1304" s="3">
        <v>-179953.5</v>
      </c>
      <c r="E1304" s="3">
        <f t="shared" si="1"/>
        <v>-0.05632326704</v>
      </c>
      <c r="H1304" s="15"/>
      <c r="I1304" s="15"/>
      <c r="J1304" s="1"/>
      <c r="K1304" s="1"/>
      <c r="L1304" s="1"/>
    </row>
    <row r="1305" ht="15.75" customHeight="1">
      <c r="A1305" s="15">
        <v>45653.0</v>
      </c>
      <c r="B1305" s="3">
        <v>3086102.0</v>
      </c>
      <c r="C1305" s="3">
        <v>50598.65</v>
      </c>
      <c r="D1305" s="3">
        <v>-108909.75</v>
      </c>
      <c r="E1305" s="3">
        <f t="shared" si="1"/>
        <v>-0.03408743332</v>
      </c>
      <c r="H1305" s="15"/>
      <c r="I1305" s="15"/>
      <c r="J1305" s="1"/>
      <c r="K1305" s="1"/>
      <c r="L1305" s="1"/>
    </row>
    <row r="1306" ht="15.75" customHeight="1">
      <c r="A1306" s="15">
        <v>45660.0</v>
      </c>
      <c r="B1306" s="3">
        <v>3077381.25</v>
      </c>
      <c r="C1306" s="3">
        <v>496585.94</v>
      </c>
      <c r="D1306" s="3">
        <v>-117630.5</v>
      </c>
      <c r="E1306" s="3">
        <f t="shared" si="1"/>
        <v>-0.0368169225</v>
      </c>
      <c r="H1306" s="15"/>
      <c r="I1306" s="15"/>
      <c r="J1306" s="1"/>
      <c r="K1306" s="1"/>
      <c r="L1306" s="1"/>
    </row>
    <row r="1307" ht="15.75" customHeight="1">
      <c r="A1307" s="15">
        <v>45667.0</v>
      </c>
      <c r="B1307" s="3">
        <v>3085816.25</v>
      </c>
      <c r="C1307" s="3">
        <v>496585.94</v>
      </c>
      <c r="D1307" s="3">
        <v>-109195.5</v>
      </c>
      <c r="E1307" s="3">
        <f t="shared" si="1"/>
        <v>-0.03417686962</v>
      </c>
      <c r="H1307" s="15"/>
      <c r="I1307" s="15"/>
      <c r="J1307" s="1"/>
      <c r="K1307" s="1"/>
      <c r="L1307" s="1"/>
    </row>
    <row r="1308" ht="15.75" customHeight="1">
      <c r="A1308" s="15">
        <v>45674.0</v>
      </c>
      <c r="B1308" s="3">
        <v>3081609.75</v>
      </c>
      <c r="C1308" s="3">
        <v>304778.53</v>
      </c>
      <c r="D1308" s="3">
        <v>-113402.0</v>
      </c>
      <c r="E1308" s="3">
        <f t="shared" si="1"/>
        <v>-0.03549345319</v>
      </c>
      <c r="H1308" s="15"/>
      <c r="I1308" s="15"/>
      <c r="J1308" s="1"/>
      <c r="K1308" s="1"/>
      <c r="L1308" s="1"/>
    </row>
    <row r="1309" ht="15.75" customHeight="1">
      <c r="A1309" s="15">
        <v>45681.0</v>
      </c>
      <c r="B1309" s="3">
        <v>3154310.75</v>
      </c>
      <c r="C1309" s="3">
        <v>111140.3</v>
      </c>
      <c r="D1309" s="3">
        <v>-40701.0</v>
      </c>
      <c r="E1309" s="3">
        <f t="shared" si="1"/>
        <v>-0.01273892029</v>
      </c>
      <c r="H1309" s="15"/>
      <c r="I1309" s="15"/>
      <c r="J1309" s="1"/>
      <c r="K1309" s="1"/>
      <c r="L1309" s="1"/>
    </row>
    <row r="1310" ht="15.75" customHeight="1">
      <c r="A1310" s="15">
        <v>45688.0</v>
      </c>
      <c r="B1310" s="3">
        <v>3209008.5</v>
      </c>
      <c r="C1310" s="3">
        <v>111140.3</v>
      </c>
      <c r="D1310" s="3">
        <v>0.0</v>
      </c>
      <c r="E1310" s="3">
        <f t="shared" si="1"/>
        <v>0</v>
      </c>
      <c r="H1310" s="15"/>
      <c r="I1310" s="15"/>
      <c r="J1310" s="1"/>
      <c r="K1310" s="1"/>
      <c r="L1310" s="1"/>
    </row>
    <row r="1311" ht="15.75" customHeight="1">
      <c r="A1311" s="15">
        <v>45695.0</v>
      </c>
      <c r="B1311" s="3">
        <v>3177904.75</v>
      </c>
      <c r="C1311" s="3">
        <v>111140.3</v>
      </c>
      <c r="D1311" s="3">
        <v>-31103.75</v>
      </c>
      <c r="E1311" s="3">
        <f t="shared" si="1"/>
        <v>-0.009692635591</v>
      </c>
      <c r="H1311" s="15"/>
      <c r="I1311" s="15"/>
      <c r="J1311" s="1"/>
      <c r="K1311" s="1"/>
      <c r="L1311" s="1"/>
    </row>
    <row r="1312" ht="15.75" customHeight="1">
      <c r="A1312" s="15">
        <v>45702.0</v>
      </c>
      <c r="B1312" s="3">
        <v>3218513.75</v>
      </c>
      <c r="C1312" s="3">
        <v>111140.3</v>
      </c>
      <c r="D1312" s="3">
        <v>0.0</v>
      </c>
      <c r="E1312" s="3">
        <f t="shared" si="1"/>
        <v>0</v>
      </c>
      <c r="H1312" s="15"/>
      <c r="I1312" s="15"/>
      <c r="J1312" s="1"/>
      <c r="K1312" s="1"/>
      <c r="L1312" s="1"/>
    </row>
    <row r="1313" ht="15.75" customHeight="1">
      <c r="A1313" s="15">
        <v>45709.0</v>
      </c>
      <c r="B1313" s="3">
        <v>3182315.25</v>
      </c>
      <c r="C1313" s="3">
        <v>54626.0</v>
      </c>
      <c r="D1313" s="3">
        <v>-36198.5</v>
      </c>
      <c r="E1313" s="3">
        <f t="shared" si="1"/>
        <v>-0.01124696143</v>
      </c>
      <c r="H1313" s="15"/>
      <c r="I1313" s="15"/>
      <c r="J1313" s="1"/>
      <c r="K1313" s="1"/>
      <c r="L1313" s="1"/>
    </row>
    <row r="1314" ht="15.75" customHeight="1">
      <c r="A1314" s="15">
        <v>45716.0</v>
      </c>
      <c r="B1314" s="3">
        <v>3155973.0</v>
      </c>
      <c r="C1314" s="3">
        <v>54626.0</v>
      </c>
      <c r="D1314" s="3">
        <v>-62540.75</v>
      </c>
      <c r="E1314" s="3">
        <f t="shared" si="1"/>
        <v>-0.01943156216</v>
      </c>
      <c r="H1314" s="15"/>
      <c r="I1314" s="15"/>
      <c r="J1314" s="1"/>
      <c r="K1314" s="1"/>
      <c r="L1314" s="1"/>
    </row>
    <row r="1315" ht="15.75" customHeight="1">
      <c r="A1315" s="15">
        <v>45723.0</v>
      </c>
      <c r="B1315" s="3">
        <v>3110816.0</v>
      </c>
      <c r="C1315" s="3">
        <v>500142.63</v>
      </c>
      <c r="D1315" s="3">
        <v>-107697.75</v>
      </c>
      <c r="E1315" s="3">
        <f t="shared" si="1"/>
        <v>-0.03346195119</v>
      </c>
      <c r="H1315" s="15"/>
      <c r="I1315" s="15"/>
      <c r="J1315" s="1"/>
      <c r="K1315" s="1"/>
      <c r="L1315" s="1"/>
    </row>
    <row r="1316" ht="15.75" customHeight="1">
      <c r="A1316" s="15">
        <v>45730.0</v>
      </c>
      <c r="B1316" s="3">
        <v>3102195.25</v>
      </c>
      <c r="C1316" s="3">
        <v>1083603.13</v>
      </c>
      <c r="D1316" s="3">
        <v>-116318.5</v>
      </c>
      <c r="E1316" s="3">
        <f t="shared" si="1"/>
        <v>-0.03614043905</v>
      </c>
      <c r="H1316" s="15"/>
      <c r="I1316" s="15"/>
      <c r="J1316" s="1"/>
      <c r="K1316" s="1"/>
      <c r="L1316" s="1"/>
    </row>
    <row r="1317" ht="15.75" customHeight="1">
      <c r="A1317" s="15">
        <v>45737.0</v>
      </c>
      <c r="B1317" s="3">
        <v>3146647.75</v>
      </c>
      <c r="C1317" s="3">
        <v>1346884.38</v>
      </c>
      <c r="D1317" s="3">
        <v>-71866.0</v>
      </c>
      <c r="E1317" s="3">
        <f t="shared" si="1"/>
        <v>-0.02232893987</v>
      </c>
      <c r="H1317" s="15"/>
      <c r="I1317" s="15"/>
      <c r="J1317" s="1"/>
      <c r="K1317" s="1"/>
      <c r="L1317" s="1"/>
    </row>
    <row r="1318" ht="15.75" customHeight="1">
      <c r="A1318" s="15">
        <v>45744.0</v>
      </c>
      <c r="B1318" s="3">
        <v>3164757.0</v>
      </c>
      <c r="C1318" s="3">
        <v>1564535.75</v>
      </c>
      <c r="D1318" s="3">
        <v>-53756.75</v>
      </c>
      <c r="E1318" s="3">
        <f t="shared" si="1"/>
        <v>-0.01670235213</v>
      </c>
      <c r="H1318" s="15"/>
      <c r="I1318" s="15"/>
      <c r="J1318" s="1"/>
      <c r="K1318" s="1"/>
      <c r="L1318" s="1"/>
    </row>
    <row r="1319" ht="15.75" customHeight="1">
      <c r="A1319" s="15">
        <v>45751.0</v>
      </c>
      <c r="B1319" s="3">
        <v>3090127.0</v>
      </c>
      <c r="C1319" s="3">
        <v>1564535.75</v>
      </c>
      <c r="D1319" s="3">
        <v>-128386.75</v>
      </c>
      <c r="E1319" s="3">
        <f t="shared" si="1"/>
        <v>-0.03989007349</v>
      </c>
      <c r="H1319" s="15"/>
      <c r="I1319" s="15"/>
      <c r="J1319" s="1"/>
      <c r="K1319" s="1"/>
      <c r="L1319" s="1"/>
    </row>
    <row r="1320" ht="15.75" customHeight="1">
      <c r="A1320" s="15">
        <v>45758.0</v>
      </c>
      <c r="B1320" s="3">
        <v>3103747.75</v>
      </c>
      <c r="C1320" s="3">
        <v>1564535.75</v>
      </c>
      <c r="D1320" s="3">
        <v>-114766.0</v>
      </c>
      <c r="E1320" s="3">
        <f t="shared" si="1"/>
        <v>-0.03565807354</v>
      </c>
      <c r="H1320" s="15"/>
      <c r="I1320" s="15"/>
      <c r="J1320" s="1"/>
      <c r="K1320" s="1"/>
      <c r="L1320" s="1"/>
    </row>
    <row r="1321" ht="15.75" customHeight="1">
      <c r="A1321" s="15">
        <v>45764.0</v>
      </c>
      <c r="B1321" s="3">
        <v>3127940.0</v>
      </c>
      <c r="C1321" s="3">
        <v>1906749.13</v>
      </c>
      <c r="D1321" s="3">
        <v>-90573.75</v>
      </c>
      <c r="E1321" s="3">
        <f t="shared" si="1"/>
        <v>-0.02814148301</v>
      </c>
      <c r="H1321" s="15"/>
      <c r="I1321" s="15"/>
      <c r="J1321" s="1"/>
      <c r="K1321" s="1"/>
      <c r="L1321" s="1"/>
    </row>
    <row r="1322" ht="15.75" customHeight="1">
      <c r="A1322" s="15">
        <v>45771.0</v>
      </c>
      <c r="B1322" s="3">
        <v>3146404.5</v>
      </c>
      <c r="C1322" s="3">
        <v>2161879.0</v>
      </c>
      <c r="D1322" s="3">
        <v>-72109.25</v>
      </c>
      <c r="E1322" s="3">
        <f t="shared" si="1"/>
        <v>-0.02240451823</v>
      </c>
      <c r="H1322" s="15"/>
      <c r="I1322" s="15"/>
      <c r="J1322" s="1"/>
      <c r="K1322" s="1"/>
      <c r="L1322" s="1"/>
    </row>
    <row r="1323" ht="15.75" customHeight="1">
      <c r="A1323" s="15">
        <v>45779.0</v>
      </c>
      <c r="B1323" s="3">
        <v>3184171.75</v>
      </c>
      <c r="C1323" s="3">
        <v>2161879.0</v>
      </c>
      <c r="D1323" s="3">
        <v>-34342.0</v>
      </c>
      <c r="E1323" s="3">
        <f t="shared" si="1"/>
        <v>-0.01067014239</v>
      </c>
      <c r="H1323" s="15"/>
      <c r="I1323" s="15"/>
      <c r="J1323" s="1"/>
      <c r="K1323" s="1"/>
      <c r="L1323" s="1"/>
    </row>
    <row r="1324" ht="15.75" customHeight="1">
      <c r="A1324" s="15">
        <v>45786.0</v>
      </c>
      <c r="B1324" s="3">
        <v>3260469.5</v>
      </c>
      <c r="C1324" s="3">
        <v>171667.63</v>
      </c>
      <c r="D1324" s="3">
        <v>0.0</v>
      </c>
      <c r="E1324" s="3">
        <f t="shared" si="1"/>
        <v>0</v>
      </c>
      <c r="H1324" s="15"/>
      <c r="I1324" s="15"/>
      <c r="J1324" s="1"/>
      <c r="K1324" s="1"/>
      <c r="L1324" s="1"/>
    </row>
    <row r="1325" ht="15.75" customHeight="1">
      <c r="A1325" s="15">
        <v>45793.0</v>
      </c>
      <c r="B1325" s="3">
        <v>3240861.5</v>
      </c>
      <c r="C1325" s="3">
        <v>171667.63</v>
      </c>
      <c r="D1325" s="3">
        <v>-19608.0</v>
      </c>
      <c r="E1325" s="3">
        <f t="shared" si="1"/>
        <v>-0.00601385782</v>
      </c>
      <c r="H1325" s="15"/>
      <c r="I1325" s="15"/>
      <c r="J1325" s="1"/>
      <c r="K1325" s="1"/>
      <c r="L1325" s="1"/>
    </row>
    <row r="1326" ht="15.75" customHeight="1">
      <c r="A1326" s="15">
        <v>45800.0</v>
      </c>
      <c r="B1326" s="3">
        <v>3267804.25</v>
      </c>
      <c r="C1326" s="3">
        <v>171667.63</v>
      </c>
      <c r="D1326" s="3">
        <v>0.0</v>
      </c>
      <c r="E1326" s="3">
        <f t="shared" si="1"/>
        <v>0</v>
      </c>
      <c r="H1326" s="15"/>
      <c r="I1326" s="15"/>
      <c r="J1326" s="1"/>
      <c r="K1326" s="1"/>
      <c r="L1326" s="1"/>
    </row>
    <row r="1327" ht="15.75" customHeight="1">
      <c r="A1327" s="15">
        <v>45807.0</v>
      </c>
      <c r="B1327" s="3">
        <v>3280497.0</v>
      </c>
      <c r="C1327" s="3">
        <v>171667.63</v>
      </c>
      <c r="D1327" s="3">
        <v>0.0</v>
      </c>
      <c r="E1327" s="3">
        <f t="shared" si="1"/>
        <v>0</v>
      </c>
      <c r="H1327" s="15"/>
      <c r="I1327" s="15"/>
      <c r="J1327" s="1"/>
      <c r="K1327" s="1"/>
      <c r="L1327" s="1"/>
    </row>
    <row r="1328" ht="15.75" customHeight="1">
      <c r="A1328" s="15">
        <v>45814.0</v>
      </c>
      <c r="B1328" s="3">
        <v>3323332.75</v>
      </c>
      <c r="C1328" s="3">
        <v>171667.63</v>
      </c>
      <c r="D1328" s="3">
        <v>0.0</v>
      </c>
      <c r="E1328" s="3">
        <f t="shared" si="1"/>
        <v>0</v>
      </c>
      <c r="H1328" s="15"/>
      <c r="I1328" s="15"/>
      <c r="J1328" s="1"/>
      <c r="K1328" s="1"/>
      <c r="L1328" s="1"/>
    </row>
    <row r="1329" ht="15.75" customHeight="1">
      <c r="A1329" s="15">
        <v>45821.0</v>
      </c>
      <c r="B1329" s="3">
        <v>3340920.75</v>
      </c>
      <c r="C1329" s="3">
        <v>171667.63</v>
      </c>
      <c r="D1329" s="3">
        <v>0.0</v>
      </c>
      <c r="E1329" s="3">
        <f t="shared" si="1"/>
        <v>0</v>
      </c>
      <c r="H1329" s="15"/>
      <c r="I1329" s="15"/>
      <c r="J1329" s="1"/>
      <c r="K1329" s="1"/>
      <c r="L1329" s="1"/>
    </row>
    <row r="1330" ht="15.75" customHeight="1">
      <c r="A1330" s="15">
        <v>45828.0</v>
      </c>
      <c r="B1330" s="3">
        <v>3363845.75</v>
      </c>
      <c r="C1330" s="3">
        <v>171667.63</v>
      </c>
      <c r="D1330" s="3">
        <v>0.0</v>
      </c>
      <c r="E1330" s="3">
        <f t="shared" si="1"/>
        <v>0</v>
      </c>
      <c r="H1330" s="15"/>
      <c r="I1330" s="15"/>
      <c r="J1330" s="1"/>
      <c r="K1330" s="1"/>
      <c r="L1330" s="1"/>
    </row>
    <row r="1331" ht="15.75" customHeight="1">
      <c r="A1331" s="15">
        <v>45835.0</v>
      </c>
      <c r="B1331" s="3">
        <v>3390923.75</v>
      </c>
      <c r="C1331" s="3">
        <v>171667.63</v>
      </c>
      <c r="D1331" s="3">
        <v>0.0</v>
      </c>
      <c r="E1331" s="3">
        <f t="shared" si="1"/>
        <v>0</v>
      </c>
      <c r="H1331" s="15"/>
      <c r="I1331" s="15"/>
      <c r="J1331" s="1"/>
      <c r="K1331" s="1"/>
      <c r="L1331" s="1"/>
    </row>
    <row r="1332" ht="15.75" customHeight="1">
      <c r="A1332" s="15">
        <v>45842.0</v>
      </c>
      <c r="B1332" s="3">
        <v>3373933.25</v>
      </c>
      <c r="C1332" s="3">
        <v>171667.63</v>
      </c>
      <c r="D1332" s="3">
        <v>-16990.5</v>
      </c>
      <c r="E1332" s="3">
        <f t="shared" si="1"/>
        <v>-0.005010581556</v>
      </c>
      <c r="H1332" s="15"/>
      <c r="I1332" s="15"/>
      <c r="J1332" s="1"/>
      <c r="K1332" s="1"/>
      <c r="L1332" s="1"/>
    </row>
    <row r="1333" ht="15.75" customHeight="1">
      <c r="A1333" s="15">
        <v>45849.0</v>
      </c>
      <c r="B1333" s="3">
        <v>3322968.25</v>
      </c>
      <c r="C1333" s="3">
        <v>171667.63</v>
      </c>
      <c r="D1333" s="3">
        <v>-67955.5</v>
      </c>
      <c r="E1333" s="3">
        <f t="shared" si="1"/>
        <v>-0.02004040934</v>
      </c>
      <c r="H1333" s="1"/>
      <c r="I1333" s="15"/>
      <c r="J1333" s="1"/>
      <c r="K1333" s="1"/>
      <c r="L1333" s="1"/>
    </row>
    <row r="1334" ht="15.75" customHeight="1">
      <c r="A1334" s="15">
        <v>45856.0</v>
      </c>
      <c r="B1334" s="3">
        <v>3397570.25</v>
      </c>
      <c r="C1334" s="3">
        <v>171667.63</v>
      </c>
      <c r="D1334" s="3">
        <v>0.0</v>
      </c>
      <c r="E1334" s="3">
        <f t="shared" si="1"/>
        <v>0</v>
      </c>
      <c r="H1334" s="1"/>
      <c r="I1334" s="15"/>
      <c r="J1334" s="1"/>
      <c r="K1334" s="1"/>
      <c r="L1334" s="1"/>
    </row>
    <row r="1335" ht="15.75" customHeight="1">
      <c r="A1335" s="15">
        <v>45863.0</v>
      </c>
      <c r="B1335" s="3">
        <v>3289731.0</v>
      </c>
      <c r="C1335" s="3">
        <v>171667.63</v>
      </c>
      <c r="D1335" s="3">
        <v>-107839.25</v>
      </c>
      <c r="E1335" s="3">
        <f t="shared" si="1"/>
        <v>-0.03174010898</v>
      </c>
      <c r="H1335" s="1"/>
      <c r="I1335" s="15"/>
      <c r="J1335" s="1"/>
      <c r="K1335" s="1"/>
      <c r="L1335" s="1"/>
    </row>
    <row r="1336" ht="15.75" customHeight="1">
      <c r="A1336" s="15">
        <v>45870.0</v>
      </c>
      <c r="B1336" s="3">
        <v>3255188.0</v>
      </c>
      <c r="C1336" s="3">
        <v>171667.63</v>
      </c>
      <c r="D1336" s="3">
        <v>-142382.25</v>
      </c>
      <c r="E1336" s="3">
        <f t="shared" si="1"/>
        <v>-0.04190708051</v>
      </c>
      <c r="H1336" s="1"/>
      <c r="I1336" s="15"/>
      <c r="J1336" s="1"/>
      <c r="K1336" s="1"/>
      <c r="L1336" s="1"/>
    </row>
    <row r="1337" ht="15.75" customHeight="1">
      <c r="A1337" s="15">
        <v>45873.0</v>
      </c>
      <c r="B1337" s="3">
        <v>3257788.5</v>
      </c>
      <c r="C1337" s="3">
        <v>265364.30953</v>
      </c>
      <c r="D1337" s="3">
        <f t="shared" ref="D1337:D1355" si="2">B1337-MAX(B2:B1337,100000)</f>
        <v>-139781.75</v>
      </c>
      <c r="E1337" s="3">
        <f t="shared" si="1"/>
        <v>-0.04114168059</v>
      </c>
      <c r="H1337" s="1"/>
      <c r="I1337" s="1"/>
      <c r="J1337" s="1"/>
      <c r="K1337" s="1"/>
      <c r="L1337" s="1"/>
    </row>
    <row r="1338" ht="15.75" customHeight="1">
      <c r="A1338" s="15">
        <v>45877.0</v>
      </c>
      <c r="B1338" s="3">
        <v>3300533.2</v>
      </c>
      <c r="C1338" s="3">
        <v>265364.30953</v>
      </c>
      <c r="D1338" s="3">
        <f t="shared" si="2"/>
        <v>-97037.05</v>
      </c>
      <c r="E1338" s="3">
        <f t="shared" si="1"/>
        <v>-0.02856071924</v>
      </c>
      <c r="H1338" s="1"/>
      <c r="I1338" s="1"/>
      <c r="J1338" s="1"/>
      <c r="K1338" s="1"/>
      <c r="L1338" s="1"/>
    </row>
    <row r="1339" ht="15.75" customHeight="1">
      <c r="A1339" s="15">
        <v>45880.0</v>
      </c>
      <c r="B1339" s="3">
        <v>3295930.5</v>
      </c>
      <c r="C1339" s="3">
        <v>50992.39177000002</v>
      </c>
      <c r="D1339" s="3">
        <f t="shared" si="2"/>
        <v>-101639.75</v>
      </c>
      <c r="E1339" s="3">
        <f t="shared" si="1"/>
        <v>-0.02991542265</v>
      </c>
      <c r="H1339" s="1"/>
      <c r="I1339" s="1"/>
      <c r="J1339" s="1"/>
      <c r="K1339" s="1"/>
      <c r="L1339" s="1"/>
    </row>
    <row r="1340" ht="15.75" customHeight="1">
      <c r="A1340" s="15">
        <v>45884.0</v>
      </c>
      <c r="B1340" s="3">
        <v>3334191.2</v>
      </c>
      <c r="C1340" s="3">
        <v>50992.39177000002</v>
      </c>
      <c r="D1340" s="3">
        <f t="shared" si="2"/>
        <v>-63379.05</v>
      </c>
      <c r="E1340" s="3">
        <f t="shared" si="1"/>
        <v>-0.01865422797</v>
      </c>
      <c r="H1340" s="1"/>
      <c r="I1340" s="1"/>
      <c r="J1340" s="1"/>
      <c r="K1340" s="1"/>
      <c r="L1340" s="1"/>
    </row>
    <row r="1341" ht="15.75" customHeight="1">
      <c r="A1341" s="15">
        <v>45887.0</v>
      </c>
      <c r="B1341" s="3">
        <v>3339868.5</v>
      </c>
      <c r="C1341" s="3">
        <v>50992.39177000002</v>
      </c>
      <c r="D1341" s="3">
        <f t="shared" si="2"/>
        <v>-57701.75</v>
      </c>
      <c r="E1341" s="3">
        <f t="shared" si="1"/>
        <v>-0.01698323971</v>
      </c>
      <c r="H1341" s="1"/>
      <c r="I1341" s="1"/>
      <c r="J1341" s="1"/>
      <c r="K1341" s="1"/>
      <c r="L1341" s="1"/>
    </row>
    <row r="1342" ht="15.75" customHeight="1">
      <c r="A1342" s="15">
        <v>45891.0</v>
      </c>
      <c r="B1342" s="3">
        <v>3377940.0</v>
      </c>
      <c r="C1342" s="3">
        <v>50992.39177000002</v>
      </c>
      <c r="D1342" s="3">
        <f t="shared" si="2"/>
        <v>-19630.25</v>
      </c>
      <c r="E1342" s="3">
        <f t="shared" si="1"/>
        <v>-0.005777731895</v>
      </c>
      <c r="H1342" s="1"/>
      <c r="I1342" s="1"/>
      <c r="J1342" s="1"/>
      <c r="K1342" s="1"/>
      <c r="L1342" s="1"/>
    </row>
    <row r="1343" ht="15.75" customHeight="1">
      <c r="A1343" s="15">
        <v>45894.0</v>
      </c>
      <c r="B1343" s="3">
        <v>3375944.8</v>
      </c>
      <c r="C1343" s="3">
        <v>19589.14227000001</v>
      </c>
      <c r="D1343" s="3">
        <f t="shared" si="2"/>
        <v>-21625.45</v>
      </c>
      <c r="E1343" s="3">
        <f t="shared" si="1"/>
        <v>-0.006364975088</v>
      </c>
      <c r="H1343" s="1"/>
      <c r="I1343" s="1"/>
      <c r="J1343" s="1"/>
      <c r="K1343" s="1"/>
      <c r="L1343" s="1"/>
    </row>
    <row r="1344" ht="15.75" customHeight="1">
      <c r="A1344" s="15">
        <v>45898.0</v>
      </c>
      <c r="B1344" s="3">
        <v>3334891.2</v>
      </c>
      <c r="C1344" s="3">
        <v>19589.14227000001</v>
      </c>
      <c r="D1344" s="3">
        <f t="shared" si="2"/>
        <v>-62679.05</v>
      </c>
      <c r="E1344" s="3">
        <f t="shared" si="1"/>
        <v>-0.01844819839</v>
      </c>
      <c r="H1344" s="1"/>
      <c r="I1344" s="1"/>
      <c r="J1344" s="1"/>
      <c r="K1344" s="1"/>
      <c r="L1344" s="1"/>
    </row>
    <row r="1345" ht="15.75" customHeight="1">
      <c r="A1345" s="15">
        <v>45900.0</v>
      </c>
      <c r="B1345" s="3">
        <v>3334891.2</v>
      </c>
      <c r="C1345" s="3">
        <v>19589.14227</v>
      </c>
      <c r="D1345" s="3">
        <f t="shared" si="2"/>
        <v>-62679.05</v>
      </c>
      <c r="E1345" s="3">
        <f t="shared" si="1"/>
        <v>-0.01844819839</v>
      </c>
      <c r="H1345" s="1"/>
      <c r="I1345" s="1"/>
      <c r="J1345" s="1"/>
      <c r="K1345" s="1"/>
      <c r="L1345" s="1"/>
    </row>
    <row r="1346" ht="15.75" customHeight="1">
      <c r="A1346" s="15">
        <v>45901.0</v>
      </c>
      <c r="B1346" s="3">
        <v>3308680.8</v>
      </c>
      <c r="C1346" s="3">
        <v>19589.14227</v>
      </c>
      <c r="D1346" s="3">
        <f t="shared" si="2"/>
        <v>-88889.45</v>
      </c>
      <c r="E1346" s="3">
        <f t="shared" si="1"/>
        <v>-0.02616265256</v>
      </c>
      <c r="H1346" s="1"/>
      <c r="I1346" s="1"/>
      <c r="J1346" s="1"/>
      <c r="K1346" s="1"/>
      <c r="L1346" s="1"/>
    </row>
    <row r="1347" ht="15.75" customHeight="1">
      <c r="A1347" s="15">
        <v>45905.0</v>
      </c>
      <c r="B1347" s="3">
        <v>3317966.2</v>
      </c>
      <c r="C1347" s="3">
        <v>19589.14227</v>
      </c>
      <c r="D1347" s="3">
        <f t="shared" si="2"/>
        <v>-79604.05</v>
      </c>
      <c r="E1347" s="3">
        <f t="shared" si="1"/>
        <v>-0.0234296995</v>
      </c>
      <c r="H1347" s="1"/>
      <c r="I1347" s="1"/>
      <c r="J1347" s="1"/>
      <c r="K1347" s="1"/>
      <c r="L1347" s="1"/>
    </row>
    <row r="1348" ht="15.75" customHeight="1">
      <c r="A1348" s="15">
        <v>45908.0</v>
      </c>
      <c r="B1348" s="3">
        <v>3321645.8</v>
      </c>
      <c r="C1348" s="3">
        <v>19589.14227</v>
      </c>
      <c r="D1348" s="3">
        <f t="shared" si="2"/>
        <v>-75924.45</v>
      </c>
      <c r="E1348" s="3">
        <f t="shared" si="1"/>
        <v>-0.02234669026</v>
      </c>
      <c r="H1348" s="1"/>
      <c r="I1348" s="1"/>
      <c r="J1348" s="1"/>
      <c r="K1348" s="1"/>
      <c r="L1348" s="1"/>
    </row>
    <row r="1349" ht="15.75" customHeight="1">
      <c r="A1349" s="15">
        <v>45912.0</v>
      </c>
      <c r="B1349" s="3">
        <v>3353383.2</v>
      </c>
      <c r="C1349" s="3">
        <v>19589.14227</v>
      </c>
      <c r="D1349" s="3">
        <f t="shared" si="2"/>
        <v>-44187.05</v>
      </c>
      <c r="E1349" s="3">
        <f t="shared" si="1"/>
        <v>-0.01300548532</v>
      </c>
      <c r="H1349" s="1"/>
      <c r="I1349" s="1"/>
      <c r="J1349" s="1"/>
      <c r="K1349" s="1"/>
      <c r="L1349" s="1"/>
    </row>
    <row r="1350" ht="15.75" customHeight="1">
      <c r="A1350" s="15">
        <v>45915.0</v>
      </c>
      <c r="B1350" s="3">
        <v>3349287.0</v>
      </c>
      <c r="C1350" s="3">
        <v>19589.14227</v>
      </c>
      <c r="D1350" s="3">
        <f t="shared" si="2"/>
        <v>-48283.25</v>
      </c>
      <c r="E1350" s="3">
        <f t="shared" si="1"/>
        <v>-0.0142111116</v>
      </c>
      <c r="H1350" s="1"/>
      <c r="I1350" s="1"/>
      <c r="J1350" s="1"/>
      <c r="K1350" s="1"/>
      <c r="L1350" s="1"/>
    </row>
    <row r="1351" ht="15.75" customHeight="1">
      <c r="A1351" s="15">
        <v>45919.0</v>
      </c>
      <c r="B1351" s="3">
        <v>3337597.5</v>
      </c>
      <c r="C1351" s="3">
        <v>19589.14227</v>
      </c>
      <c r="D1351" s="3">
        <f t="shared" si="2"/>
        <v>-59972.75</v>
      </c>
      <c r="E1351" s="3">
        <f t="shared" si="1"/>
        <v>-0.01765165856</v>
      </c>
      <c r="H1351" s="1"/>
      <c r="I1351" s="1"/>
      <c r="J1351" s="1"/>
      <c r="K1351" s="1"/>
      <c r="L1351" s="1"/>
    </row>
    <row r="1352" ht="15.75" customHeight="1">
      <c r="A1352" s="15">
        <v>45922.0</v>
      </c>
      <c r="B1352" s="3">
        <v>3321918.8</v>
      </c>
      <c r="C1352" s="3">
        <v>19589.14227</v>
      </c>
      <c r="D1352" s="3">
        <f t="shared" si="2"/>
        <v>-75651.45</v>
      </c>
      <c r="E1352" s="3">
        <f t="shared" si="1"/>
        <v>-0.02226633872</v>
      </c>
      <c r="H1352" s="1"/>
      <c r="I1352" s="1"/>
      <c r="J1352" s="1"/>
      <c r="K1352" s="1"/>
      <c r="L1352" s="1"/>
    </row>
    <row r="1353" ht="15.75" customHeight="1">
      <c r="A1353" s="15">
        <v>45926.0</v>
      </c>
      <c r="B1353" s="3">
        <v>3276719.5</v>
      </c>
      <c r="C1353" s="3">
        <v>19589.14227</v>
      </c>
      <c r="D1353" s="3">
        <f t="shared" si="2"/>
        <v>-120850.75</v>
      </c>
      <c r="E1353" s="3">
        <f t="shared" si="1"/>
        <v>-0.03556975753</v>
      </c>
      <c r="H1353" s="1"/>
      <c r="I1353" s="1"/>
      <c r="J1353" s="1"/>
      <c r="K1353" s="1"/>
      <c r="L1353" s="1"/>
    </row>
    <row r="1354" ht="15.75" customHeight="1">
      <c r="A1354" s="15">
        <v>45929.0</v>
      </c>
      <c r="B1354" s="3">
        <v>3305463.2</v>
      </c>
      <c r="C1354" s="3">
        <v>-33779.04259999997</v>
      </c>
      <c r="D1354" s="3">
        <f t="shared" si="2"/>
        <v>-92107.05</v>
      </c>
      <c r="E1354" s="3">
        <f t="shared" si="1"/>
        <v>-0.02710968228</v>
      </c>
      <c r="H1354" s="1"/>
      <c r="I1354" s="1"/>
      <c r="J1354" s="1"/>
      <c r="K1354" s="1"/>
      <c r="L1354" s="1"/>
    </row>
    <row r="1355" ht="15.75" customHeight="1">
      <c r="A1355" s="15">
        <v>45930.0</v>
      </c>
      <c r="B1355" s="3">
        <v>3290729.8</v>
      </c>
      <c r="C1355" s="3">
        <v>-33779.04259999997</v>
      </c>
      <c r="D1355" s="3">
        <f t="shared" si="2"/>
        <v>-106840.45</v>
      </c>
      <c r="E1355" s="3">
        <f t="shared" si="1"/>
        <v>-0.03144613419</v>
      </c>
      <c r="H1355" s="1"/>
      <c r="I1355" s="1"/>
      <c r="J1355" s="1"/>
      <c r="K1355" s="1"/>
      <c r="L1355" s="1"/>
    </row>
    <row r="1356" ht="15.75" customHeight="1">
      <c r="A1356" s="15">
        <v>45933.0</v>
      </c>
      <c r="B1356" s="3">
        <v>3379895.2</v>
      </c>
      <c r="C1356" s="3">
        <v>-33779.04259999997</v>
      </c>
      <c r="D1356" s="3">
        <f t="shared" ref="D1356:D1406" si="3">B1356-MAX(B20:B1356,100000)</f>
        <v>-17675.05</v>
      </c>
      <c r="E1356" s="3">
        <f t="shared" si="1"/>
        <v>-0.005202261822</v>
      </c>
      <c r="H1356" s="1"/>
      <c r="I1356" s="1"/>
      <c r="J1356" s="1"/>
      <c r="K1356" s="1"/>
      <c r="L1356" s="1"/>
    </row>
    <row r="1357" ht="15.75" customHeight="1">
      <c r="A1357" s="15">
        <v>45936.0</v>
      </c>
      <c r="B1357" s="3">
        <v>3356323.2</v>
      </c>
      <c r="C1357" s="3">
        <v>-33779.04259999997</v>
      </c>
      <c r="D1357" s="3">
        <f t="shared" si="3"/>
        <v>-41247.05</v>
      </c>
      <c r="E1357" s="3">
        <f t="shared" si="1"/>
        <v>-0.01214016105</v>
      </c>
      <c r="H1357" s="1"/>
      <c r="I1357" s="1"/>
      <c r="J1357" s="1"/>
      <c r="K1357" s="1"/>
      <c r="L1357" s="1"/>
    </row>
    <row r="1358" ht="15.75" customHeight="1">
      <c r="A1358" s="15">
        <v>45940.0</v>
      </c>
      <c r="B1358" s="3">
        <v>3370347.5</v>
      </c>
      <c r="C1358" s="3">
        <v>-33779.04259999997</v>
      </c>
      <c r="D1358" s="3">
        <f t="shared" si="3"/>
        <v>-27222.75</v>
      </c>
      <c r="E1358" s="3">
        <f t="shared" si="1"/>
        <v>-0.008012417109</v>
      </c>
      <c r="H1358" s="1"/>
      <c r="I1358" s="1"/>
      <c r="J1358" s="1"/>
      <c r="K1358" s="1"/>
      <c r="L1358" s="1"/>
    </row>
    <row r="1359" ht="15.75" customHeight="1">
      <c r="A1359" s="15">
        <v>45943.0</v>
      </c>
      <c r="B1359" s="3">
        <v>3329144.2</v>
      </c>
      <c r="C1359" s="3">
        <v>-33779.04259999997</v>
      </c>
      <c r="D1359" s="3">
        <f t="shared" si="3"/>
        <v>-68426.05</v>
      </c>
      <c r="E1359" s="3">
        <f t="shared" si="1"/>
        <v>-0.02013970131</v>
      </c>
      <c r="H1359" s="1"/>
      <c r="I1359" s="1"/>
      <c r="J1359" s="1"/>
      <c r="K1359" s="1"/>
      <c r="L1359" s="1"/>
    </row>
    <row r="1360" ht="15.75" customHeight="1">
      <c r="A1360" s="15">
        <v>45947.0</v>
      </c>
      <c r="B1360" s="3">
        <v>3288455.0</v>
      </c>
      <c r="C1360" s="3">
        <v>-33779.04259999997</v>
      </c>
      <c r="D1360" s="3">
        <f t="shared" si="3"/>
        <v>-109115.25</v>
      </c>
      <c r="E1360" s="3">
        <f t="shared" si="1"/>
        <v>-0.03211567149</v>
      </c>
      <c r="H1360" s="1"/>
      <c r="I1360" s="1"/>
      <c r="J1360" s="1"/>
      <c r="K1360" s="1"/>
      <c r="L1360" s="1"/>
    </row>
    <row r="1361" ht="15.75" customHeight="1">
      <c r="A1361" s="15">
        <v>45950.0</v>
      </c>
      <c r="B1361" s="3">
        <v>3325949.8</v>
      </c>
      <c r="C1361" s="3">
        <v>-33779.04259999997</v>
      </c>
      <c r="D1361" s="3">
        <f t="shared" si="3"/>
        <v>-71620.45</v>
      </c>
      <c r="E1361" s="3">
        <f t="shared" si="1"/>
        <v>-0.02107990262</v>
      </c>
      <c r="H1361" s="1"/>
      <c r="I1361" s="1"/>
      <c r="J1361" s="1"/>
      <c r="K1361" s="1"/>
      <c r="L1361" s="1"/>
    </row>
    <row r="1362" ht="15.75" customHeight="1">
      <c r="A1362" s="15">
        <v>45954.0</v>
      </c>
      <c r="B1362" s="3">
        <v>3310039.5</v>
      </c>
      <c r="C1362" s="3">
        <v>-33779.04259999997</v>
      </c>
      <c r="D1362" s="3">
        <f t="shared" si="3"/>
        <v>-87530.75</v>
      </c>
      <c r="E1362" s="3">
        <f t="shared" si="1"/>
        <v>-0.02576274913</v>
      </c>
      <c r="H1362" s="1"/>
      <c r="I1362" s="1"/>
      <c r="J1362" s="1"/>
      <c r="K1362" s="1"/>
      <c r="L1362" s="1"/>
    </row>
    <row r="1363" ht="15.75" customHeight="1">
      <c r="A1363" s="15">
        <v>45957.0</v>
      </c>
      <c r="B1363" s="3">
        <v>3336336.0</v>
      </c>
      <c r="C1363" s="3">
        <v>-33779.04259999997</v>
      </c>
      <c r="D1363" s="3">
        <f t="shared" si="3"/>
        <v>-61234.25</v>
      </c>
      <c r="E1363" s="3">
        <f t="shared" si="1"/>
        <v>-0.01802295331</v>
      </c>
      <c r="H1363" s="1"/>
      <c r="I1363" s="1"/>
      <c r="J1363" s="1"/>
      <c r="K1363" s="1"/>
      <c r="L1363" s="1"/>
    </row>
    <row r="1364" ht="15.75" customHeight="1">
      <c r="A1364" s="15">
        <v>45961.0</v>
      </c>
      <c r="B1364" s="3">
        <v>3302075.0</v>
      </c>
      <c r="C1364" s="3">
        <v>-33779.04259999997</v>
      </c>
      <c r="D1364" s="3">
        <f t="shared" si="3"/>
        <v>-95495.25</v>
      </c>
      <c r="E1364" s="3">
        <f t="shared" si="1"/>
        <v>-0.02810692435</v>
      </c>
      <c r="H1364" s="1"/>
      <c r="I1364" s="1"/>
      <c r="J1364" s="1"/>
      <c r="K1364" s="1"/>
      <c r="L1364" s="1"/>
    </row>
    <row r="1365" ht="15.75" customHeight="1">
      <c r="A1365" s="15">
        <v>45964.0</v>
      </c>
      <c r="B1365" s="3">
        <v>3290491.0</v>
      </c>
      <c r="C1365" s="3">
        <v>-33779.04259999997</v>
      </c>
      <c r="D1365" s="3">
        <f t="shared" si="3"/>
        <v>-107079.25</v>
      </c>
      <c r="E1365" s="3">
        <f t="shared" si="1"/>
        <v>-0.03151641971</v>
      </c>
      <c r="H1365" s="1"/>
      <c r="I1365" s="1"/>
      <c r="J1365" s="1"/>
      <c r="K1365" s="1"/>
      <c r="L1365" s="1"/>
    </row>
    <row r="1366" ht="15.75" customHeight="1">
      <c r="A1366" s="15">
        <v>45968.0</v>
      </c>
      <c r="B1366" s="3">
        <v>3210776.2</v>
      </c>
      <c r="C1366" s="3">
        <v>-33779.04259999997</v>
      </c>
      <c r="D1366" s="3">
        <f t="shared" si="3"/>
        <v>-186794.05</v>
      </c>
      <c r="E1366" s="3">
        <f t="shared" si="1"/>
        <v>-0.05497871604</v>
      </c>
      <c r="H1366" s="1"/>
      <c r="I1366" s="1"/>
      <c r="J1366" s="1"/>
      <c r="K1366" s="1"/>
      <c r="L1366" s="1"/>
    </row>
    <row r="1367" ht="15.75" customHeight="1">
      <c r="A1367" s="15">
        <v>45971.0</v>
      </c>
      <c r="B1367" s="3">
        <v>3216886.8</v>
      </c>
      <c r="C1367" s="3">
        <v>506988.7596593</v>
      </c>
      <c r="D1367" s="3">
        <f t="shared" si="3"/>
        <v>-180683.45</v>
      </c>
      <c r="E1367" s="3">
        <f t="shared" si="1"/>
        <v>-0.05318019546</v>
      </c>
      <c r="H1367" s="1"/>
      <c r="I1367" s="1"/>
      <c r="J1367" s="1"/>
      <c r="K1367" s="1"/>
      <c r="L1367" s="1"/>
    </row>
    <row r="1368" ht="15.75" customHeight="1">
      <c r="A1368" s="15">
        <v>45975.0</v>
      </c>
      <c r="B1368" s="3">
        <v>3121855.2</v>
      </c>
      <c r="C1368" s="3">
        <v>506988.7596593</v>
      </c>
      <c r="D1368" s="3">
        <f t="shared" si="3"/>
        <v>-275715.05</v>
      </c>
      <c r="E1368" s="3">
        <f t="shared" si="1"/>
        <v>-0.08115065465</v>
      </c>
      <c r="H1368" s="1"/>
      <c r="I1368" s="1"/>
      <c r="J1368" s="1"/>
      <c r="K1368" s="1"/>
      <c r="L1368" s="1"/>
    </row>
    <row r="1369" ht="15.75" customHeight="1">
      <c r="A1369" s="15">
        <v>45978.0</v>
      </c>
      <c r="B1369" s="3">
        <v>3120507.5</v>
      </c>
      <c r="C1369" s="3">
        <v>872191.4114392999</v>
      </c>
      <c r="D1369" s="3">
        <f t="shared" si="3"/>
        <v>-277062.75</v>
      </c>
      <c r="E1369" s="3">
        <f t="shared" si="1"/>
        <v>-0.08154732047</v>
      </c>
      <c r="H1369" s="1"/>
      <c r="I1369" s="1"/>
      <c r="J1369" s="1"/>
      <c r="K1369" s="1"/>
      <c r="L1369" s="1"/>
    </row>
    <row r="1370" ht="15.75" customHeight="1">
      <c r="A1370" s="15">
        <v>45982.0</v>
      </c>
      <c r="B1370" s="3">
        <v>3074196.0</v>
      </c>
      <c r="C1370" s="3">
        <v>872191.4114392999</v>
      </c>
      <c r="D1370" s="3">
        <f t="shared" si="3"/>
        <v>-323374.25</v>
      </c>
      <c r="E1370" s="3">
        <f t="shared" si="1"/>
        <v>-0.09517809087</v>
      </c>
      <c r="H1370" s="1"/>
      <c r="I1370" s="1"/>
      <c r="J1370" s="1"/>
      <c r="K1370" s="1"/>
      <c r="L1370" s="1"/>
    </row>
    <row r="1371" ht="15.75" customHeight="1">
      <c r="A1371" s="15">
        <v>45985.0</v>
      </c>
      <c r="B1371" s="3">
        <v>3116226.5</v>
      </c>
      <c r="C1371" s="3">
        <v>872191.4114392999</v>
      </c>
      <c r="D1371" s="3">
        <f t="shared" si="3"/>
        <v>-281343.75</v>
      </c>
      <c r="E1371" s="3">
        <f t="shared" si="1"/>
        <v>-0.08280733857</v>
      </c>
      <c r="H1371" s="1"/>
      <c r="I1371" s="1"/>
      <c r="J1371" s="1"/>
      <c r="K1371" s="1"/>
      <c r="L1371" s="1"/>
    </row>
    <row r="1372" ht="15.75" customHeight="1">
      <c r="A1372" s="15">
        <v>45989.0</v>
      </c>
      <c r="B1372" s="3">
        <v>3113035.8</v>
      </c>
      <c r="C1372" s="3">
        <v>872191.4114392999</v>
      </c>
      <c r="D1372" s="3">
        <f t="shared" si="3"/>
        <v>-284534.45</v>
      </c>
      <c r="E1372" s="3">
        <f t="shared" si="1"/>
        <v>-0.08374645086</v>
      </c>
      <c r="H1372" s="1"/>
      <c r="I1372" s="1"/>
      <c r="J1372" s="1"/>
      <c r="K1372" s="1"/>
      <c r="L1372" s="1"/>
    </row>
    <row r="1373" ht="15.75" customHeight="1">
      <c r="A1373" s="15">
        <v>45991.0</v>
      </c>
      <c r="B1373" s="3">
        <v>3113035.8</v>
      </c>
      <c r="C1373" s="3">
        <v>872191.4114393</v>
      </c>
      <c r="D1373" s="3">
        <f t="shared" si="3"/>
        <v>-284534.45</v>
      </c>
      <c r="E1373" s="3">
        <f t="shared" si="1"/>
        <v>-0.08374645086</v>
      </c>
      <c r="H1373" s="1"/>
      <c r="I1373" s="1"/>
      <c r="J1373" s="1"/>
      <c r="K1373" s="1"/>
      <c r="L1373" s="1"/>
    </row>
    <row r="1374" ht="15.75" customHeight="1">
      <c r="A1374" s="15">
        <v>45992.0</v>
      </c>
      <c r="B1374" s="3">
        <v>3097146.8</v>
      </c>
      <c r="C1374" s="3">
        <v>872191.4114393</v>
      </c>
      <c r="D1374" s="3">
        <f t="shared" si="3"/>
        <v>-300423.45</v>
      </c>
      <c r="E1374" s="3">
        <f t="shared" si="1"/>
        <v>-0.08842302819</v>
      </c>
      <c r="H1374" s="1"/>
      <c r="I1374" s="1"/>
      <c r="J1374" s="1"/>
      <c r="K1374" s="1"/>
      <c r="L1374" s="1"/>
    </row>
    <row r="1375" ht="15.75" customHeight="1">
      <c r="A1375" s="15">
        <v>45998.0</v>
      </c>
      <c r="B1375" s="3">
        <v>3089384.8</v>
      </c>
      <c r="C1375" s="3">
        <v>872191.4114393</v>
      </c>
      <c r="D1375" s="3">
        <f t="shared" si="3"/>
        <v>-308185.45</v>
      </c>
      <c r="E1375" s="3">
        <f t="shared" si="1"/>
        <v>-0.090707602</v>
      </c>
      <c r="H1375" s="1"/>
      <c r="I1375" s="1"/>
      <c r="J1375" s="1"/>
      <c r="K1375" s="1"/>
      <c r="L1375" s="1"/>
    </row>
    <row r="1376" ht="15.75" customHeight="1">
      <c r="A1376" s="15">
        <v>45999.0</v>
      </c>
      <c r="B1376" s="3">
        <v>3084862.5</v>
      </c>
      <c r="C1376" s="5">
        <v>1250485.8782993</v>
      </c>
      <c r="D1376" s="3">
        <f t="shared" si="3"/>
        <v>-312707.75</v>
      </c>
      <c r="E1376" s="3">
        <f t="shared" si="1"/>
        <v>-0.09203864144</v>
      </c>
      <c r="H1376" s="1"/>
      <c r="I1376" s="1"/>
      <c r="J1376" s="1"/>
      <c r="K1376" s="1"/>
      <c r="L1376" s="1"/>
    </row>
    <row r="1377" ht="15.75" customHeight="1">
      <c r="A1377" s="15">
        <v>46005.0</v>
      </c>
      <c r="B1377" s="3">
        <v>3079463.5</v>
      </c>
      <c r="C1377" s="5">
        <v>1250485.8782993</v>
      </c>
      <c r="D1377" s="3">
        <f t="shared" si="3"/>
        <v>-318106.75</v>
      </c>
      <c r="E1377" s="3">
        <f t="shared" si="1"/>
        <v>-0.09362771822</v>
      </c>
      <c r="H1377" s="1"/>
      <c r="I1377" s="1"/>
      <c r="J1377" s="1"/>
      <c r="K1377" s="1"/>
      <c r="L1377" s="1"/>
    </row>
    <row r="1378" ht="15.75" customHeight="1">
      <c r="A1378" s="15">
        <v>46006.0</v>
      </c>
      <c r="B1378" s="3">
        <v>3067763.0</v>
      </c>
      <c r="C1378" s="5">
        <v>1446027.7207193</v>
      </c>
      <c r="D1378" s="3">
        <f t="shared" si="3"/>
        <v>-329807.25</v>
      </c>
      <c r="E1378" s="3">
        <f t="shared" si="1"/>
        <v>-0.09707150279</v>
      </c>
      <c r="H1378" s="1"/>
      <c r="I1378" s="1"/>
      <c r="J1378" s="1"/>
      <c r="K1378" s="1"/>
      <c r="L1378" s="1"/>
    </row>
    <row r="1379" ht="15.75" customHeight="1">
      <c r="A1379" s="15">
        <v>46012.0</v>
      </c>
      <c r="B1379" s="3">
        <v>3089656.5</v>
      </c>
      <c r="C1379" s="5">
        <v>1446027.7207193</v>
      </c>
      <c r="D1379" s="3">
        <f t="shared" si="3"/>
        <v>-307913.75</v>
      </c>
      <c r="E1379" s="3">
        <f t="shared" si="1"/>
        <v>-0.09062763309</v>
      </c>
      <c r="H1379" s="1"/>
      <c r="I1379" s="1"/>
      <c r="J1379" s="1"/>
      <c r="K1379" s="1"/>
      <c r="L1379" s="1"/>
    </row>
    <row r="1380" ht="15.75" customHeight="1">
      <c r="A1380" s="15">
        <v>46013.0</v>
      </c>
      <c r="B1380" s="3">
        <v>3098257.0</v>
      </c>
      <c r="C1380" s="5">
        <v>1446027.7207193</v>
      </c>
      <c r="D1380" s="3">
        <f t="shared" si="3"/>
        <v>-299313.25</v>
      </c>
      <c r="E1380" s="3">
        <f t="shared" si="1"/>
        <v>-0.08809626526</v>
      </c>
      <c r="H1380" s="1"/>
      <c r="I1380" s="1"/>
      <c r="J1380" s="1"/>
      <c r="K1380" s="1"/>
      <c r="L1380" s="1"/>
    </row>
    <row r="1381" ht="15.75" customHeight="1">
      <c r="A1381" s="15">
        <v>46019.0</v>
      </c>
      <c r="B1381" s="3">
        <v>3098774.5</v>
      </c>
      <c r="C1381" s="5">
        <v>1446027.7207193</v>
      </c>
      <c r="D1381" s="3">
        <f t="shared" si="3"/>
        <v>-298795.75</v>
      </c>
      <c r="E1381" s="3">
        <f t="shared" si="1"/>
        <v>-0.08794395053</v>
      </c>
      <c r="H1381" s="1"/>
      <c r="I1381" s="1"/>
      <c r="J1381" s="5"/>
      <c r="K1381" s="1"/>
      <c r="L1381" s="1"/>
    </row>
    <row r="1382" ht="15.75" customHeight="1">
      <c r="A1382" s="15">
        <v>46022.0</v>
      </c>
      <c r="B1382" s="3">
        <v>3075287.2</v>
      </c>
      <c r="C1382" s="3">
        <v>1657827.2092193</v>
      </c>
      <c r="D1382" s="3">
        <f t="shared" si="3"/>
        <v>-322283.05</v>
      </c>
      <c r="E1382" s="3">
        <f t="shared" si="1"/>
        <v>-0.09485692018</v>
      </c>
      <c r="H1382" s="1"/>
      <c r="I1382" s="1"/>
      <c r="J1382" s="1"/>
      <c r="K1382" s="1"/>
      <c r="L1382" s="1"/>
    </row>
    <row r="1383" ht="15.75" customHeight="1">
      <c r="A1383" s="15">
        <v>46026.0</v>
      </c>
      <c r="B1383" s="3">
        <v>3080462.5</v>
      </c>
      <c r="C1383" s="3">
        <v>1657827.2092193</v>
      </c>
      <c r="D1383" s="3">
        <f t="shared" si="3"/>
        <v>-317107.75</v>
      </c>
      <c r="E1383" s="3">
        <f t="shared" si="1"/>
        <v>-0.09333368456</v>
      </c>
      <c r="H1383" s="1"/>
      <c r="I1383" s="1"/>
      <c r="J1383" s="1"/>
      <c r="K1383" s="1"/>
      <c r="L1383" s="1"/>
    </row>
    <row r="1384" ht="15.75" customHeight="1">
      <c r="A1384" s="15">
        <v>46027.0</v>
      </c>
      <c r="B1384" s="3">
        <v>3080611.5</v>
      </c>
      <c r="C1384" s="3">
        <v>1657827.2092193</v>
      </c>
      <c r="D1384" s="3">
        <f t="shared" si="3"/>
        <v>-316958.75</v>
      </c>
      <c r="E1384" s="3">
        <f t="shared" si="1"/>
        <v>-0.0932898297</v>
      </c>
      <c r="H1384" s="1"/>
      <c r="I1384" s="1"/>
      <c r="J1384" s="1"/>
      <c r="K1384" s="1"/>
      <c r="L1384" s="1"/>
    </row>
    <row r="1385" ht="15.75" customHeight="1">
      <c r="A1385" s="15">
        <v>46033.0</v>
      </c>
      <c r="B1385" s="3">
        <v>3068973.0</v>
      </c>
      <c r="C1385" s="3">
        <v>1657827.2092193</v>
      </c>
      <c r="D1385" s="3">
        <f t="shared" si="3"/>
        <v>-328597.25</v>
      </c>
      <c r="E1385" s="3">
        <f t="shared" si="1"/>
        <v>-0.09671536593</v>
      </c>
      <c r="H1385" s="1"/>
      <c r="I1385" s="1"/>
      <c r="J1385" s="1"/>
      <c r="K1385" s="1"/>
      <c r="L1385" s="1"/>
    </row>
    <row r="1386" ht="15.75" customHeight="1">
      <c r="A1386" s="15">
        <v>46034.0</v>
      </c>
      <c r="B1386" s="3">
        <v>3076543.0</v>
      </c>
      <c r="C1386" s="3">
        <v>1657827.2092193</v>
      </c>
      <c r="D1386" s="3">
        <f t="shared" si="3"/>
        <v>-321027.25</v>
      </c>
      <c r="E1386" s="3">
        <f t="shared" si="1"/>
        <v>-0.0944873031</v>
      </c>
      <c r="H1386" s="1"/>
      <c r="I1386" s="1"/>
      <c r="J1386" s="1"/>
      <c r="K1386" s="1"/>
      <c r="L1386" s="1"/>
    </row>
    <row r="1387" ht="15.75" customHeight="1">
      <c r="A1387" s="15">
        <v>46040.0</v>
      </c>
      <c r="B1387" s="3">
        <v>3094212.5</v>
      </c>
      <c r="C1387" s="3">
        <v>1657827.2092193</v>
      </c>
      <c r="D1387" s="3">
        <f t="shared" si="3"/>
        <v>-303357.75</v>
      </c>
      <c r="E1387" s="3">
        <f t="shared" si="1"/>
        <v>-0.08928667479</v>
      </c>
      <c r="H1387" s="1"/>
      <c r="I1387" s="1"/>
      <c r="J1387" s="1"/>
      <c r="K1387" s="1"/>
      <c r="L1387" s="1"/>
    </row>
    <row r="1388" ht="15.75" customHeight="1">
      <c r="A1388" s="15">
        <v>46041.0</v>
      </c>
      <c r="B1388" s="3" t="s">
        <v>455</v>
      </c>
      <c r="C1388" s="3">
        <v>-200396.4280506999</v>
      </c>
      <c r="D1388" s="3">
        <f t="shared" si="3"/>
        <v>-311455.45</v>
      </c>
      <c r="E1388" s="3">
        <f t="shared" si="1"/>
        <v>-0.0916700545</v>
      </c>
      <c r="H1388" s="1"/>
      <c r="I1388" s="1"/>
      <c r="J1388" s="1"/>
      <c r="K1388" s="1"/>
      <c r="L1388" s="1"/>
    </row>
    <row r="1389" ht="15.75" customHeight="1">
      <c r="A1389" s="15">
        <v>46047.0</v>
      </c>
      <c r="B1389" s="3">
        <v>3121849.2</v>
      </c>
      <c r="C1389" s="3">
        <v>-200396.4280506999</v>
      </c>
      <c r="D1389" s="3">
        <f t="shared" si="3"/>
        <v>-275721.05</v>
      </c>
      <c r="E1389" s="3">
        <f t="shared" si="1"/>
        <v>-0.08115242062</v>
      </c>
      <c r="H1389" s="1"/>
      <c r="I1389" s="1"/>
      <c r="J1389" s="1"/>
      <c r="K1389" s="1"/>
      <c r="L1389" s="1"/>
    </row>
    <row r="1390" ht="15.75" customHeight="1">
      <c r="A1390" s="15">
        <v>46049.0</v>
      </c>
      <c r="B1390" s="3">
        <v>3128356.0</v>
      </c>
      <c r="C1390" s="3">
        <v>-200396.4280506999</v>
      </c>
      <c r="D1390" s="3">
        <f t="shared" si="3"/>
        <v>-269214.25</v>
      </c>
      <c r="E1390" s="3">
        <f t="shared" si="1"/>
        <v>-0.07923728729</v>
      </c>
      <c r="H1390" s="1"/>
      <c r="I1390" s="1"/>
      <c r="J1390" s="1"/>
      <c r="K1390" s="1"/>
      <c r="L1390" s="1"/>
    </row>
    <row r="1391" ht="15.75" customHeight="1">
      <c r="A1391" s="15">
        <v>46053.0</v>
      </c>
      <c r="B1391" s="3">
        <v>3047522.5</v>
      </c>
      <c r="C1391" s="3">
        <v>-200396.4280506999</v>
      </c>
      <c r="D1391" s="3">
        <f t="shared" si="3"/>
        <v>-350047.75</v>
      </c>
      <c r="E1391" s="3">
        <f t="shared" si="1"/>
        <v>-0.1030288483</v>
      </c>
      <c r="H1391" s="1"/>
      <c r="I1391" s="1"/>
      <c r="J1391" s="1"/>
      <c r="K1391" s="1"/>
      <c r="L1391" s="1"/>
    </row>
    <row r="1392" ht="15.75" customHeight="1">
      <c r="A1392" s="15">
        <v>46054.0</v>
      </c>
      <c r="B1392" s="3">
        <v>3047522.5</v>
      </c>
      <c r="C1392" s="3">
        <v>-200396.4280506999</v>
      </c>
      <c r="D1392" s="3">
        <f t="shared" si="3"/>
        <v>-350047.75</v>
      </c>
      <c r="E1392" s="3">
        <f t="shared" si="1"/>
        <v>-0.1030288483</v>
      </c>
      <c r="H1392" s="1"/>
      <c r="I1392" s="1"/>
      <c r="J1392" s="1"/>
      <c r="K1392" s="1"/>
      <c r="L1392" s="1"/>
    </row>
    <row r="1393" ht="15.75" customHeight="1">
      <c r="A1393" s="15">
        <v>46055.0</v>
      </c>
      <c r="B1393" s="3">
        <v>2961225.0</v>
      </c>
      <c r="C1393" s="3">
        <v>-200396.4280506999</v>
      </c>
      <c r="D1393" s="3">
        <f t="shared" si="3"/>
        <v>-436345.25</v>
      </c>
      <c r="E1393" s="3">
        <f t="shared" si="1"/>
        <v>-0.1284286175</v>
      </c>
      <c r="H1393" s="1"/>
      <c r="I1393" s="1"/>
      <c r="J1393" s="1"/>
      <c r="K1393" s="1"/>
      <c r="L1393" s="1"/>
    </row>
    <row r="1394" ht="15.75" customHeight="1">
      <c r="A1394" s="15">
        <v>46061.0</v>
      </c>
      <c r="B1394" s="3">
        <v>2818038.8</v>
      </c>
      <c r="C1394" s="3">
        <v>-200396.4280506999</v>
      </c>
      <c r="D1394" s="3">
        <f t="shared" si="3"/>
        <v>-579531.45</v>
      </c>
      <c r="E1394" s="3">
        <f t="shared" si="1"/>
        <v>-0.170572323</v>
      </c>
      <c r="H1394" s="1"/>
      <c r="I1394" s="1"/>
      <c r="J1394" s="1"/>
      <c r="K1394" s="1"/>
      <c r="L1394" s="1"/>
    </row>
    <row r="1395" ht="15.75" customHeight="1">
      <c r="A1395" s="15">
        <v>46062.0</v>
      </c>
      <c r="B1395" s="3">
        <v>2887450.0</v>
      </c>
      <c r="C1395" s="3">
        <v>1160195.8377293</v>
      </c>
      <c r="D1395" s="3">
        <f t="shared" si="3"/>
        <v>-510120.25</v>
      </c>
      <c r="E1395" s="3">
        <f t="shared" si="1"/>
        <v>-0.1501426645</v>
      </c>
      <c r="H1395" s="1"/>
      <c r="I1395" s="1"/>
      <c r="J1395" s="1"/>
      <c r="K1395" s="1"/>
      <c r="L1395" s="1"/>
    </row>
    <row r="1396" ht="15.75" customHeight="1">
      <c r="A1396" s="15">
        <v>46068.0</v>
      </c>
      <c r="B1396" s="3">
        <v>2872438.0</v>
      </c>
      <c r="C1396" s="3">
        <v>1160195.8377293</v>
      </c>
      <c r="D1396" s="3">
        <f t="shared" si="3"/>
        <v>-525132.25</v>
      </c>
      <c r="E1396" s="3">
        <f t="shared" si="1"/>
        <v>-0.1545611161</v>
      </c>
      <c r="H1396" s="1"/>
      <c r="I1396" s="1"/>
      <c r="J1396" s="1"/>
      <c r="K1396" s="1"/>
      <c r="L1396" s="1"/>
    </row>
    <row r="1397" ht="15.75" customHeight="1">
      <c r="A1397" s="15">
        <v>46069.0</v>
      </c>
      <c r="B1397" s="3">
        <v>2858926.0</v>
      </c>
      <c r="C1397" s="3">
        <v>-179091.6117707002</v>
      </c>
      <c r="D1397" s="3">
        <f t="shared" si="3"/>
        <v>-538644.25</v>
      </c>
      <c r="E1397" s="3">
        <f t="shared" si="1"/>
        <v>-0.1585380758</v>
      </c>
      <c r="H1397" s="1"/>
      <c r="I1397" s="1"/>
      <c r="J1397" s="1"/>
      <c r="K1397" s="1"/>
      <c r="L1397" s="1"/>
    </row>
    <row r="1398" ht="15.75" customHeight="1">
      <c r="A1398" s="15">
        <v>46075.0</v>
      </c>
      <c r="B1398" s="3">
        <v>2903681.2</v>
      </c>
      <c r="C1398" s="3">
        <v>-179091.6117707002</v>
      </c>
      <c r="D1398" s="3">
        <f t="shared" si="3"/>
        <v>-493889.05</v>
      </c>
      <c r="E1398" s="3">
        <f t="shared" si="1"/>
        <v>-0.1453653681</v>
      </c>
      <c r="H1398" s="1"/>
      <c r="I1398" s="1"/>
      <c r="J1398" s="1"/>
      <c r="K1398" s="1"/>
      <c r="L1398" s="1"/>
    </row>
    <row r="1399" ht="15.75" customHeight="1">
      <c r="A1399" s="15">
        <v>46076.0</v>
      </c>
      <c r="B1399" s="3">
        <v>2895415.2</v>
      </c>
      <c r="C1399" s="3">
        <v>-179091.6117707002</v>
      </c>
      <c r="D1399" s="3">
        <f t="shared" si="3"/>
        <v>-502155.05</v>
      </c>
      <c r="E1399" s="3">
        <f t="shared" si="1"/>
        <v>-0.1477982832</v>
      </c>
      <c r="H1399" s="1"/>
      <c r="I1399" s="1"/>
      <c r="J1399" s="1"/>
      <c r="K1399" s="1"/>
      <c r="L1399" s="1"/>
    </row>
    <row r="1400" ht="15.75" customHeight="1">
      <c r="A1400" s="15">
        <v>46081.0</v>
      </c>
      <c r="B1400" s="3">
        <v>2918133.0</v>
      </c>
      <c r="C1400" s="3">
        <v>-179091.6117707002</v>
      </c>
      <c r="D1400" s="3">
        <f t="shared" si="3"/>
        <v>-479437.25</v>
      </c>
      <c r="E1400" s="3">
        <f t="shared" si="1"/>
        <v>-0.1411117989</v>
      </c>
      <c r="H1400" s="1"/>
      <c r="I1400" s="1"/>
      <c r="J1400" s="1"/>
      <c r="K1400" s="1"/>
      <c r="L1400" s="1"/>
    </row>
    <row r="1401" ht="15.75" customHeight="1">
      <c r="A1401" s="15">
        <v>46082.0</v>
      </c>
      <c r="B1401" s="3">
        <v>2918133.0</v>
      </c>
      <c r="C1401" s="3">
        <v>-179091.6117707002</v>
      </c>
      <c r="D1401" s="3">
        <f t="shared" si="3"/>
        <v>-479437.25</v>
      </c>
      <c r="E1401" s="3">
        <f t="shared" si="1"/>
        <v>-0.1411117989</v>
      </c>
      <c r="H1401" s="1"/>
      <c r="I1401" s="1"/>
      <c r="J1401" s="1"/>
      <c r="K1401" s="1"/>
      <c r="L1401" s="1"/>
    </row>
    <row r="1402" ht="15.75" customHeight="1">
      <c r="A1402" s="15">
        <v>46083.0</v>
      </c>
      <c r="B1402" s="3">
        <v>2887285.5</v>
      </c>
      <c r="C1402" s="3">
        <v>-179091.6117707002</v>
      </c>
      <c r="D1402" s="3">
        <f t="shared" si="3"/>
        <v>-510284.75</v>
      </c>
      <c r="E1402" s="3">
        <f t="shared" si="1"/>
        <v>-0.1501910814</v>
      </c>
      <c r="H1402" s="1"/>
      <c r="I1402" s="1"/>
      <c r="J1402" s="1"/>
      <c r="K1402" s="1"/>
      <c r="L1402" s="1"/>
    </row>
    <row r="1403" ht="15.75" customHeight="1">
      <c r="A1403" s="15">
        <v>46089.0</v>
      </c>
      <c r="B1403" s="3">
        <v>2740333.0</v>
      </c>
      <c r="C1403" s="3">
        <v>-179091.6117707002</v>
      </c>
      <c r="D1403" s="3">
        <f t="shared" si="3"/>
        <v>-657237.25</v>
      </c>
      <c r="E1403" s="3">
        <f t="shared" si="1"/>
        <v>-0.1934433144</v>
      </c>
      <c r="H1403" s="1"/>
      <c r="I1403" s="1"/>
      <c r="J1403" s="1"/>
      <c r="K1403" s="1"/>
      <c r="L1403" s="1"/>
    </row>
    <row r="1404" ht="15.75" customHeight="1">
      <c r="A1404" s="15">
        <v>46090.0</v>
      </c>
      <c r="B1404" s="3">
        <v>2638117.0</v>
      </c>
      <c r="C1404" s="3">
        <v>-152244.4141107002</v>
      </c>
      <c r="D1404" s="3">
        <f t="shared" si="3"/>
        <v>-759453.25</v>
      </c>
      <c r="E1404" s="3">
        <f t="shared" si="1"/>
        <v>-0.2235283435</v>
      </c>
      <c r="H1404" s="1"/>
      <c r="I1404" s="1"/>
      <c r="J1404" s="1"/>
      <c r="K1404" s="1"/>
      <c r="L1404" s="1"/>
    </row>
    <row r="1405" ht="15.75" customHeight="1">
      <c r="A1405" s="15">
        <v>46096.0</v>
      </c>
      <c r="B1405" s="16">
        <v>1655017.8</v>
      </c>
      <c r="C1405" s="3">
        <v>-152244.4141107002</v>
      </c>
      <c r="D1405" s="3">
        <f t="shared" si="3"/>
        <v>-1742552.45</v>
      </c>
      <c r="E1405" s="3">
        <f t="shared" si="1"/>
        <v>-0.5128819485</v>
      </c>
      <c r="H1405" s="1"/>
      <c r="I1405" s="1"/>
      <c r="J1405" s="1"/>
      <c r="K1405" s="1"/>
      <c r="L1405" s="1"/>
    </row>
    <row r="1406" ht="15.75" customHeight="1">
      <c r="A1406" s="15">
        <v>46097.0</v>
      </c>
      <c r="B1406" s="16">
        <v>1634266.8</v>
      </c>
      <c r="C1406" s="5">
        <v>788957.8215093</v>
      </c>
      <c r="D1406" s="3">
        <f t="shared" si="3"/>
        <v>-1763303.45</v>
      </c>
      <c r="E1406" s="3">
        <f t="shared" si="1"/>
        <v>-0.5189895485</v>
      </c>
      <c r="H1406" s="1"/>
      <c r="I1406" s="1"/>
      <c r="J1406" s="1"/>
      <c r="K1406" s="1"/>
      <c r="L1406" s="1"/>
    </row>
    <row r="1407" ht="15.75" customHeight="1">
      <c r="A1407" s="1"/>
      <c r="B1407" s="1"/>
      <c r="C1407" s="1"/>
      <c r="D1407" s="1"/>
      <c r="E1407" s="1"/>
      <c r="H1407" s="1"/>
      <c r="I1407" s="1"/>
      <c r="J1407" s="1"/>
      <c r="K1407" s="1"/>
      <c r="L1407" s="1"/>
    </row>
    <row r="1408" ht="15.75" customHeight="1">
      <c r="A1408" s="1"/>
      <c r="B1408" s="1"/>
      <c r="C1408" s="1"/>
      <c r="D1408" s="1"/>
      <c r="E1408" s="1"/>
      <c r="H1408" s="1"/>
      <c r="I1408" s="1"/>
      <c r="J1408" s="1"/>
      <c r="K1408" s="1"/>
      <c r="L1408" s="1"/>
    </row>
    <row r="1409" ht="15.75" customHeight="1">
      <c r="A1409" s="1"/>
      <c r="B1409" s="1"/>
      <c r="C1409" s="1"/>
      <c r="D1409" s="1"/>
      <c r="E1409" s="1"/>
      <c r="H1409" s="1"/>
      <c r="I1409" s="1"/>
      <c r="J1409" s="1"/>
      <c r="K1409" s="1"/>
      <c r="L1409" s="1"/>
    </row>
    <row r="1410" ht="15.75" customHeight="1">
      <c r="A1410" s="1"/>
      <c r="B1410" s="1"/>
      <c r="C1410" s="5"/>
      <c r="D1410" s="1"/>
      <c r="E1410" s="1"/>
      <c r="H1410" s="1"/>
      <c r="I1410" s="1"/>
      <c r="J1410" s="1"/>
      <c r="K1410" s="1"/>
      <c r="L1410" s="1"/>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7" t="s">
        <v>16</v>
      </c>
      <c r="B1" s="17" t="s">
        <v>456</v>
      </c>
      <c r="C1" s="17" t="s">
        <v>457</v>
      </c>
      <c r="D1" s="17" t="s">
        <v>125</v>
      </c>
      <c r="E1" s="17" t="s">
        <v>458</v>
      </c>
      <c r="F1" s="17" t="s">
        <v>459</v>
      </c>
      <c r="G1" s="17" t="s">
        <v>460</v>
      </c>
      <c r="H1" s="17" t="s">
        <v>461</v>
      </c>
      <c r="I1" s="17" t="s">
        <v>462</v>
      </c>
      <c r="J1" s="17" t="s">
        <v>463</v>
      </c>
      <c r="K1" s="17" t="s">
        <v>464</v>
      </c>
    </row>
    <row r="2">
      <c r="A2" s="3" t="s">
        <v>182</v>
      </c>
      <c r="B2" s="3" t="s">
        <v>39</v>
      </c>
      <c r="C2" s="3" t="s">
        <v>465</v>
      </c>
      <c r="D2" s="18">
        <v>46090.0</v>
      </c>
      <c r="E2" s="3">
        <v>42.52</v>
      </c>
      <c r="F2" s="18">
        <v>46096.0</v>
      </c>
      <c r="G2" s="3">
        <v>42.23</v>
      </c>
      <c r="H2" s="3">
        <v>-0.006820319849482726</v>
      </c>
      <c r="I2" s="3">
        <v>-1553.415680000023</v>
      </c>
      <c r="J2" s="3">
        <v>-0.008820319849482726</v>
      </c>
      <c r="K2" s="3">
        <v>4142.0</v>
      </c>
    </row>
    <row r="3">
      <c r="A3" s="3" t="s">
        <v>186</v>
      </c>
      <c r="B3" s="3" t="s">
        <v>49</v>
      </c>
      <c r="C3" s="3" t="s">
        <v>465</v>
      </c>
      <c r="D3" s="18">
        <v>46069.0</v>
      </c>
      <c r="E3" s="3">
        <v>168.93</v>
      </c>
      <c r="F3" s="18">
        <v>46096.0</v>
      </c>
      <c r="G3" s="3">
        <v>157.89</v>
      </c>
      <c r="H3" s="3">
        <v>-0.06535251287515553</v>
      </c>
      <c r="I3" s="3">
        <v>-12834.22608000003</v>
      </c>
      <c r="J3" s="3">
        <v>-0.06735251287515553</v>
      </c>
      <c r="K3" s="3">
        <v>1128.0</v>
      </c>
    </row>
    <row r="4">
      <c r="A4" s="3" t="s">
        <v>187</v>
      </c>
      <c r="B4" s="3" t="s">
        <v>58</v>
      </c>
      <c r="C4" s="3" t="s">
        <v>465</v>
      </c>
      <c r="D4" s="18">
        <v>46069.0</v>
      </c>
      <c r="E4" s="3">
        <v>5.11</v>
      </c>
      <c r="F4" s="18">
        <v>46096.0</v>
      </c>
      <c r="G4" s="3">
        <v>4.93</v>
      </c>
      <c r="H4" s="3">
        <v>-0.03522504892367917</v>
      </c>
      <c r="I4" s="3">
        <v>-7170.533120000021</v>
      </c>
      <c r="J4" s="3">
        <v>-0.03722504892367917</v>
      </c>
      <c r="K4" s="3">
        <v>37696.0</v>
      </c>
    </row>
    <row r="5">
      <c r="A5" s="3" t="s">
        <v>188</v>
      </c>
      <c r="B5" s="3" t="s">
        <v>68</v>
      </c>
      <c r="C5" s="3" t="s">
        <v>465</v>
      </c>
      <c r="D5" s="18">
        <v>46069.0</v>
      </c>
      <c r="E5" s="3">
        <v>40.21</v>
      </c>
      <c r="F5" s="18">
        <v>46096.0</v>
      </c>
      <c r="G5" s="3">
        <v>37.2</v>
      </c>
      <c r="H5" s="3">
        <v>-0.07485700074608304</v>
      </c>
      <c r="I5" s="3">
        <v>-14472.43685999999</v>
      </c>
      <c r="J5" s="3">
        <v>-0.07685700074608304</v>
      </c>
      <c r="K5" s="3">
        <v>4683.0</v>
      </c>
    </row>
    <row r="6">
      <c r="A6" s="3" t="s">
        <v>189</v>
      </c>
      <c r="B6" s="3" t="s">
        <v>78</v>
      </c>
      <c r="C6" s="3" t="s">
        <v>465</v>
      </c>
      <c r="D6" s="18">
        <v>46069.0</v>
      </c>
      <c r="E6" s="3">
        <v>10.41</v>
      </c>
      <c r="F6" s="18">
        <v>46096.0</v>
      </c>
      <c r="G6" s="3">
        <v>8.93</v>
      </c>
      <c r="H6" s="3">
        <v>-0.1421709894332374</v>
      </c>
      <c r="I6" s="3">
        <v>-27580.56914000002</v>
      </c>
      <c r="J6" s="3">
        <v>-0.1441709894332374</v>
      </c>
      <c r="K6" s="3">
        <v>18377.0</v>
      </c>
    </row>
    <row r="7">
      <c r="A7" s="3" t="s">
        <v>190</v>
      </c>
      <c r="B7" s="3" t="s">
        <v>86</v>
      </c>
      <c r="C7" s="3" t="s">
        <v>465</v>
      </c>
      <c r="D7" s="18">
        <v>46069.0</v>
      </c>
      <c r="E7" s="3">
        <v>45.95</v>
      </c>
      <c r="F7" s="18">
        <v>46096.0</v>
      </c>
      <c r="G7" s="3">
        <v>47.11</v>
      </c>
      <c r="H7" s="3">
        <v>0.02524483133841127</v>
      </c>
      <c r="I7" s="3">
        <v>4445.43219999999</v>
      </c>
      <c r="J7" s="3">
        <v>0.02324483133841126</v>
      </c>
      <c r="K7" s="3">
        <v>4162.0</v>
      </c>
    </row>
    <row r="8">
      <c r="A8" s="3" t="s">
        <v>247</v>
      </c>
      <c r="B8" s="3" t="s">
        <v>95</v>
      </c>
      <c r="C8" s="3" t="s">
        <v>465</v>
      </c>
      <c r="D8" s="18">
        <v>46041.0</v>
      </c>
      <c r="E8" s="3">
        <v>89.22</v>
      </c>
      <c r="F8" s="18">
        <v>46096.0</v>
      </c>
      <c r="G8" s="3">
        <v>93.7</v>
      </c>
      <c r="H8" s="3">
        <v>0.05021295673615778</v>
      </c>
      <c r="I8" s="3">
        <v>9308.575839999992</v>
      </c>
      <c r="J8" s="3">
        <v>0.04821295673615777</v>
      </c>
      <c r="K8" s="3">
        <v>2164.0</v>
      </c>
    </row>
    <row r="9">
      <c r="A9" s="3" t="s">
        <v>248</v>
      </c>
      <c r="B9" s="3" t="s">
        <v>98</v>
      </c>
      <c r="C9" s="3" t="s">
        <v>465</v>
      </c>
      <c r="D9" s="18">
        <v>46041.0</v>
      </c>
      <c r="E9" s="3">
        <v>23.96</v>
      </c>
      <c r="F9" s="18">
        <v>46096.0</v>
      </c>
      <c r="G9" s="3">
        <v>18.6</v>
      </c>
      <c r="H9" s="3">
        <v>-0.2237061769616027</v>
      </c>
      <c r="I9" s="3">
        <v>-46535.1516</v>
      </c>
      <c r="J9" s="3">
        <v>-0.2257061769616027</v>
      </c>
      <c r="K9" s="3">
        <v>8605.0</v>
      </c>
    </row>
    <row r="10">
      <c r="A10" s="3" t="s">
        <v>249</v>
      </c>
      <c r="B10" s="3" t="s">
        <v>107</v>
      </c>
      <c r="C10" s="3" t="s">
        <v>465</v>
      </c>
      <c r="D10" s="18">
        <v>46041.0</v>
      </c>
      <c r="E10" s="3">
        <v>4.2</v>
      </c>
      <c r="F10" s="18">
        <v>46096.0</v>
      </c>
      <c r="G10" s="3">
        <v>4.41</v>
      </c>
      <c r="H10" s="3">
        <v>0.05000000000000004</v>
      </c>
      <c r="I10" s="3">
        <v>9996.537600000009</v>
      </c>
      <c r="J10" s="3">
        <v>0.04800000000000004</v>
      </c>
      <c r="K10" s="3">
        <v>49586.0</v>
      </c>
    </row>
    <row r="11">
      <c r="A11" s="3" t="s">
        <v>355</v>
      </c>
      <c r="B11" s="3" t="s">
        <v>466</v>
      </c>
      <c r="C11" s="3" t="s">
        <v>465</v>
      </c>
      <c r="D11" s="18">
        <v>45786.0</v>
      </c>
      <c r="E11" s="3">
        <v>3.64</v>
      </c>
      <c r="F11" s="18">
        <v>46096.0</v>
      </c>
      <c r="G11" s="3">
        <v>3.75</v>
      </c>
      <c r="H11" s="3">
        <v>0.03021978021978011</v>
      </c>
      <c r="I11" s="3">
        <v>5762.797439999978</v>
      </c>
      <c r="J11" s="3">
        <v>0.02821978021978011</v>
      </c>
      <c r="K11" s="3">
        <v>56102.0</v>
      </c>
    </row>
    <row r="12">
      <c r="A12" s="3" t="s">
        <v>131</v>
      </c>
      <c r="B12" s="3" t="s">
        <v>136</v>
      </c>
      <c r="C12" s="3" t="s">
        <v>467</v>
      </c>
      <c r="D12" s="18">
        <v>46069.0</v>
      </c>
      <c r="E12" s="3">
        <v>70.8</v>
      </c>
      <c r="F12" s="18">
        <v>46097.0</v>
      </c>
      <c r="G12" s="3">
        <v>57.94</v>
      </c>
      <c r="H12" s="3" t="s">
        <v>134</v>
      </c>
      <c r="I12" s="3" t="s">
        <v>134</v>
      </c>
      <c r="J12" s="3" t="s">
        <v>134</v>
      </c>
      <c r="K12" s="3">
        <v>2733.0</v>
      </c>
    </row>
    <row r="13">
      <c r="A13" s="3" t="s">
        <v>142</v>
      </c>
      <c r="B13" s="3" t="s">
        <v>144</v>
      </c>
      <c r="C13" s="3" t="s">
        <v>467</v>
      </c>
      <c r="D13" s="18">
        <v>46069.0</v>
      </c>
      <c r="E13" s="3">
        <v>36.34</v>
      </c>
      <c r="F13" s="18">
        <v>46097.0</v>
      </c>
      <c r="G13" s="3">
        <v>28.15</v>
      </c>
      <c r="H13" s="3" t="s">
        <v>134</v>
      </c>
      <c r="I13" s="3" t="s">
        <v>134</v>
      </c>
      <c r="J13" s="3" t="s">
        <v>134</v>
      </c>
      <c r="K13" s="3">
        <v>5240.0</v>
      </c>
    </row>
    <row r="14">
      <c r="A14" s="3" t="s">
        <v>152</v>
      </c>
      <c r="B14" s="3" t="s">
        <v>153</v>
      </c>
      <c r="C14" s="3" t="s">
        <v>467</v>
      </c>
      <c r="D14" s="18">
        <v>46041.0</v>
      </c>
      <c r="E14" s="3">
        <v>20.15</v>
      </c>
      <c r="F14" s="18">
        <v>46097.0</v>
      </c>
      <c r="G14" s="3">
        <v>18.16</v>
      </c>
      <c r="H14" s="3" t="s">
        <v>134</v>
      </c>
      <c r="I14" s="3" t="s">
        <v>134</v>
      </c>
      <c r="J14" s="3" t="s">
        <v>134</v>
      </c>
      <c r="K14" s="3">
        <v>10278.0</v>
      </c>
    </row>
    <row r="15">
      <c r="A15" s="3" t="s">
        <v>160</v>
      </c>
      <c r="B15" s="3" t="s">
        <v>161</v>
      </c>
      <c r="C15" s="3" t="s">
        <v>467</v>
      </c>
      <c r="D15" s="18">
        <v>45786.0</v>
      </c>
      <c r="E15" s="3">
        <v>7.23</v>
      </c>
      <c r="F15" s="18">
        <v>46097.0</v>
      </c>
      <c r="G15" s="3">
        <v>7.43</v>
      </c>
      <c r="H15" s="3" t="s">
        <v>134</v>
      </c>
      <c r="I15" s="3" t="s">
        <v>134</v>
      </c>
      <c r="J15" s="3" t="s">
        <v>134</v>
      </c>
      <c r="K15" s="3">
        <v>27498.0</v>
      </c>
    </row>
    <row r="16">
      <c r="A16" s="3" t="s">
        <v>168</v>
      </c>
      <c r="B16" s="3" t="s">
        <v>169</v>
      </c>
      <c r="C16" s="3" t="s">
        <v>467</v>
      </c>
      <c r="D16" s="18">
        <v>45128.0</v>
      </c>
      <c r="E16" s="3">
        <v>4.268218</v>
      </c>
      <c r="F16" s="18">
        <v>46097.0</v>
      </c>
      <c r="G16" s="3">
        <v>7.47</v>
      </c>
      <c r="H16" s="3" t="s">
        <v>134</v>
      </c>
      <c r="I16" s="3" t="s">
        <v>134</v>
      </c>
      <c r="J16" s="3" t="s">
        <v>134</v>
      </c>
      <c r="K16" s="3">
        <v>32842.0</v>
      </c>
    </row>
    <row r="17">
      <c r="A17" s="3" t="s">
        <v>176</v>
      </c>
      <c r="B17" s="3" t="s">
        <v>177</v>
      </c>
      <c r="C17" s="3" t="s">
        <v>467</v>
      </c>
      <c r="D17" s="18">
        <v>45786.0</v>
      </c>
      <c r="E17" s="3">
        <v>3.07</v>
      </c>
      <c r="F17" s="18">
        <v>46090.0</v>
      </c>
      <c r="G17" s="3">
        <v>3.1</v>
      </c>
      <c r="H17" s="3">
        <v>0.009771986970684043</v>
      </c>
      <c r="I17" s="3">
        <v>1565.096700000001</v>
      </c>
      <c r="J17" s="3">
        <v>0.007771986970684043</v>
      </c>
      <c r="K17" s="3">
        <v>65595.0</v>
      </c>
    </row>
    <row r="18">
      <c r="A18" s="3" t="s">
        <v>191</v>
      </c>
      <c r="B18" s="3" t="s">
        <v>192</v>
      </c>
      <c r="C18" s="3" t="s">
        <v>467</v>
      </c>
      <c r="D18" s="18">
        <v>46041.0</v>
      </c>
      <c r="E18" s="3">
        <v>2.09</v>
      </c>
      <c r="F18" s="18">
        <v>46062.0</v>
      </c>
      <c r="G18" s="3">
        <v>1.7</v>
      </c>
      <c r="H18" s="3">
        <v>-0.1866028708133971</v>
      </c>
      <c r="I18" s="3">
        <v>-37819.20591999999</v>
      </c>
      <c r="J18" s="3">
        <v>-0.1886028708133971</v>
      </c>
      <c r="K18" s="3">
        <v>95944.0</v>
      </c>
    </row>
    <row r="19">
      <c r="A19" s="3" t="s">
        <v>198</v>
      </c>
      <c r="B19" s="3" t="s">
        <v>199</v>
      </c>
      <c r="C19" s="3" t="s">
        <v>467</v>
      </c>
      <c r="D19" s="18">
        <v>46041.0</v>
      </c>
      <c r="E19" s="3">
        <v>12.7</v>
      </c>
      <c r="F19" s="18">
        <v>46062.0</v>
      </c>
      <c r="G19" s="3">
        <v>12.4</v>
      </c>
      <c r="H19" s="3">
        <v>-0.02362204724409445</v>
      </c>
      <c r="I19" s="3">
        <v>-5277.011799999991</v>
      </c>
      <c r="J19" s="3">
        <v>-0.02562204724409445</v>
      </c>
      <c r="K19" s="3">
        <v>16217.0</v>
      </c>
    </row>
    <row r="20">
      <c r="A20" s="3" t="s">
        <v>207</v>
      </c>
      <c r="B20" s="3" t="s">
        <v>208</v>
      </c>
      <c r="C20" s="3" t="s">
        <v>467</v>
      </c>
      <c r="D20" s="18">
        <v>46041.0</v>
      </c>
      <c r="E20" s="3">
        <v>60.1</v>
      </c>
      <c r="F20" s="18">
        <v>46062.0</v>
      </c>
      <c r="G20" s="3">
        <v>53.13</v>
      </c>
      <c r="H20" s="3">
        <v>-0.115973377703827</v>
      </c>
      <c r="I20" s="3">
        <v>-24461.19000000001</v>
      </c>
      <c r="J20" s="3">
        <v>-0.117973377703827</v>
      </c>
      <c r="K20" s="3">
        <v>3450.0</v>
      </c>
    </row>
    <row r="21" ht="15.75" customHeight="1">
      <c r="A21" s="3" t="s">
        <v>214</v>
      </c>
      <c r="B21" s="3" t="s">
        <v>215</v>
      </c>
      <c r="C21" s="3" t="s">
        <v>467</v>
      </c>
      <c r="D21" s="18">
        <v>46041.0</v>
      </c>
      <c r="E21" s="3">
        <v>3.4</v>
      </c>
      <c r="F21" s="18">
        <v>46062.0</v>
      </c>
      <c r="G21" s="3">
        <v>3.33</v>
      </c>
      <c r="H21" s="3">
        <v>-0.02058823529411757</v>
      </c>
      <c r="I21" s="3">
        <v>-4632.268799999985</v>
      </c>
      <c r="J21" s="3">
        <v>-0.02258823529411758</v>
      </c>
      <c r="K21" s="3">
        <v>60316.0</v>
      </c>
    </row>
    <row r="22" ht="15.75" customHeight="1">
      <c r="A22" s="3" t="s">
        <v>222</v>
      </c>
      <c r="B22" s="3" t="s">
        <v>223</v>
      </c>
      <c r="C22" s="3" t="s">
        <v>467</v>
      </c>
      <c r="D22" s="18">
        <v>46041.0</v>
      </c>
      <c r="E22" s="3">
        <v>6.84</v>
      </c>
      <c r="F22" s="18">
        <v>46062.0</v>
      </c>
      <c r="G22" s="3">
        <v>6.58</v>
      </c>
      <c r="H22" s="3">
        <v>-0.03801169590643272</v>
      </c>
      <c r="I22" s="3">
        <v>-8253.641439999994</v>
      </c>
      <c r="J22" s="3">
        <v>-0.04001169590643272</v>
      </c>
      <c r="K22" s="3">
        <v>30158.0</v>
      </c>
    </row>
    <row r="23" ht="15.75" customHeight="1">
      <c r="A23" s="3" t="s">
        <v>231</v>
      </c>
      <c r="B23" s="3" t="s">
        <v>232</v>
      </c>
      <c r="C23" s="3" t="s">
        <v>467</v>
      </c>
      <c r="D23" s="18">
        <v>45786.0</v>
      </c>
      <c r="E23" s="3">
        <v>5.18</v>
      </c>
      <c r="F23" s="18">
        <v>46062.0</v>
      </c>
      <c r="G23" s="3">
        <v>4.62</v>
      </c>
      <c r="H23" s="3">
        <v>-0.108108108108108</v>
      </c>
      <c r="I23" s="3">
        <v>-21896.12039999998</v>
      </c>
      <c r="J23" s="3">
        <v>-0.110108108108108</v>
      </c>
      <c r="K23" s="3">
        <v>38390.0</v>
      </c>
    </row>
    <row r="24" ht="15.75" customHeight="1">
      <c r="A24" s="3" t="s">
        <v>239</v>
      </c>
      <c r="B24" s="3" t="s">
        <v>240</v>
      </c>
      <c r="C24" s="3" t="s">
        <v>467</v>
      </c>
      <c r="D24" s="18">
        <v>45786.0</v>
      </c>
      <c r="E24" s="3">
        <v>4.35</v>
      </c>
      <c r="F24" s="18">
        <v>46062.0</v>
      </c>
      <c r="G24" s="3">
        <v>5.2</v>
      </c>
      <c r="H24" s="3">
        <v>0.1954022988505748</v>
      </c>
      <c r="I24" s="3">
        <v>38474.33160000001</v>
      </c>
      <c r="J24" s="3">
        <v>0.1934022988505748</v>
      </c>
      <c r="K24" s="3">
        <v>45732.0</v>
      </c>
    </row>
    <row r="25" ht="15.75" customHeight="1">
      <c r="A25" s="3" t="s">
        <v>250</v>
      </c>
      <c r="B25" s="3" t="s">
        <v>251</v>
      </c>
      <c r="C25" s="3" t="s">
        <v>467</v>
      </c>
      <c r="D25" s="18">
        <v>45709.0</v>
      </c>
      <c r="E25" s="3">
        <v>12.2315</v>
      </c>
      <c r="F25" s="18">
        <v>46020.0</v>
      </c>
      <c r="G25" s="3">
        <v>12.9</v>
      </c>
      <c r="H25" s="3">
        <v>0.0546539672157953</v>
      </c>
      <c r="I25" s="3">
        <v>10584.748095</v>
      </c>
      <c r="J25" s="3">
        <v>0.05265396721579529</v>
      </c>
      <c r="K25" s="3">
        <v>16435.0</v>
      </c>
    </row>
    <row r="26" ht="15.75" customHeight="1">
      <c r="A26" s="3" t="s">
        <v>259</v>
      </c>
      <c r="B26" s="3" t="s">
        <v>468</v>
      </c>
      <c r="C26" s="3" t="s">
        <v>467</v>
      </c>
      <c r="D26" s="18">
        <v>44876.0</v>
      </c>
      <c r="E26" s="3">
        <v>25.92189</v>
      </c>
      <c r="F26" s="18">
        <v>46006.0</v>
      </c>
      <c r="G26" s="3">
        <v>35.37</v>
      </c>
      <c r="H26" s="3">
        <v>0.3644838397200203</v>
      </c>
      <c r="I26" s="3">
        <v>51998.93726147999</v>
      </c>
      <c r="J26" s="3">
        <v>0.3624838397200203</v>
      </c>
      <c r="K26" s="3">
        <v>5534.0</v>
      </c>
    </row>
    <row r="27" ht="15.75" customHeight="1">
      <c r="A27" s="3" t="s">
        <v>267</v>
      </c>
      <c r="B27" s="3" t="s">
        <v>268</v>
      </c>
      <c r="C27" s="3" t="s">
        <v>467</v>
      </c>
      <c r="D27" s="18">
        <v>45786.0</v>
      </c>
      <c r="E27" s="3">
        <v>2.3</v>
      </c>
      <c r="F27" s="18">
        <v>45999.0</v>
      </c>
      <c r="G27" s="3">
        <v>2.03</v>
      </c>
      <c r="H27" s="3">
        <v>-0.1173913043478261</v>
      </c>
      <c r="I27" s="3">
        <v>-24237.569</v>
      </c>
      <c r="J27" s="3">
        <v>-0.1193913043478261</v>
      </c>
      <c r="K27" s="3">
        <v>88265.0</v>
      </c>
    </row>
    <row r="28" ht="15.75" customHeight="1">
      <c r="A28" s="3" t="s">
        <v>275</v>
      </c>
      <c r="B28" s="3" t="s">
        <v>276</v>
      </c>
      <c r="C28" s="3" t="s">
        <v>467</v>
      </c>
      <c r="D28" s="18">
        <v>45037.0</v>
      </c>
      <c r="E28" s="3">
        <v>3.214968</v>
      </c>
      <c r="F28" s="18">
        <v>45999.0</v>
      </c>
      <c r="G28" s="3">
        <v>4.49</v>
      </c>
      <c r="H28" s="3">
        <v>0.3965924388671989</v>
      </c>
      <c r="I28" s="3">
        <v>56365.25830558402</v>
      </c>
      <c r="J28" s="3">
        <v>0.3945924388671989</v>
      </c>
      <c r="K28" s="3">
        <v>44431.0</v>
      </c>
    </row>
    <row r="29" ht="15.75" customHeight="1">
      <c r="A29" s="3" t="s">
        <v>291</v>
      </c>
      <c r="B29" s="3" t="s">
        <v>292</v>
      </c>
      <c r="C29" s="3" t="s">
        <v>467</v>
      </c>
      <c r="D29" s="18">
        <v>45894.0</v>
      </c>
      <c r="E29" s="3">
        <v>46.0</v>
      </c>
      <c r="F29" s="18">
        <v>45975.0</v>
      </c>
      <c r="G29" s="3">
        <v>36.3</v>
      </c>
      <c r="H29" s="3">
        <v>-0.2108695652173914</v>
      </c>
      <c r="I29" s="3">
        <v>-48930.62400000003</v>
      </c>
      <c r="J29" s="3">
        <v>-0.2128695652173914</v>
      </c>
      <c r="K29" s="3">
        <v>4997.0</v>
      </c>
    </row>
    <row r="30" ht="15.75" customHeight="1">
      <c r="A30" s="3" t="s">
        <v>283</v>
      </c>
      <c r="B30" s="3" t="s">
        <v>284</v>
      </c>
      <c r="C30" s="3" t="s">
        <v>467</v>
      </c>
      <c r="D30" s="18">
        <v>45786.0</v>
      </c>
      <c r="E30" s="3">
        <v>169.28</v>
      </c>
      <c r="F30" s="18">
        <v>45975.0</v>
      </c>
      <c r="G30" s="3">
        <v>156.88</v>
      </c>
      <c r="H30" s="3">
        <v>-0.07325141776937616</v>
      </c>
      <c r="I30" s="3">
        <v>-14955.06944</v>
      </c>
      <c r="J30" s="3">
        <v>-0.07525141776937616</v>
      </c>
      <c r="K30" s="3">
        <v>1174.0</v>
      </c>
    </row>
    <row r="31" ht="15.75" customHeight="1">
      <c r="A31" s="3" t="s">
        <v>314</v>
      </c>
      <c r="B31" s="3" t="s">
        <v>315</v>
      </c>
      <c r="C31" s="3" t="s">
        <v>467</v>
      </c>
      <c r="D31" s="18">
        <v>44785.0</v>
      </c>
      <c r="E31" s="3">
        <v>4.98117</v>
      </c>
      <c r="F31" s="18">
        <v>45971.0</v>
      </c>
      <c r="G31" s="3">
        <v>5.31</v>
      </c>
      <c r="H31" s="3">
        <v>0.06601461102512052</v>
      </c>
      <c r="I31" s="3">
        <v>9561.565652759986</v>
      </c>
      <c r="J31" s="3">
        <v>0.06401461102512052</v>
      </c>
      <c r="K31" s="3">
        <v>29986.0</v>
      </c>
    </row>
    <row r="32" ht="15.75" customHeight="1">
      <c r="A32" s="3" t="s">
        <v>308</v>
      </c>
      <c r="B32" s="3" t="s">
        <v>309</v>
      </c>
      <c r="C32" s="3" t="s">
        <v>467</v>
      </c>
      <c r="D32" s="18">
        <v>45929.0</v>
      </c>
      <c r="E32" s="3">
        <v>7.63</v>
      </c>
      <c r="F32" s="18">
        <v>45971.0</v>
      </c>
      <c r="G32" s="3">
        <v>5.69</v>
      </c>
      <c r="H32" s="3">
        <v>-0.254259501965924</v>
      </c>
      <c r="I32" s="3">
        <v>-55468.77093999999</v>
      </c>
      <c r="J32" s="3">
        <v>-0.256259501965924</v>
      </c>
      <c r="K32" s="3">
        <v>28369.0</v>
      </c>
    </row>
    <row r="33" ht="15.75" customHeight="1">
      <c r="A33" s="3" t="s">
        <v>301</v>
      </c>
      <c r="B33" s="3" t="s">
        <v>302</v>
      </c>
      <c r="C33" s="3" t="s">
        <v>467</v>
      </c>
      <c r="D33" s="18">
        <v>45880.0</v>
      </c>
      <c r="E33" s="3">
        <v>3.28</v>
      </c>
      <c r="F33" s="18">
        <v>45971.0</v>
      </c>
      <c r="G33" s="3">
        <v>3.41</v>
      </c>
      <c r="H33" s="3">
        <v>0.03963414634146356</v>
      </c>
      <c r="I33" s="3">
        <v>8059.64448000003</v>
      </c>
      <c r="J33" s="3">
        <v>0.03763414634146356</v>
      </c>
      <c r="K33" s="3">
        <v>65292.0</v>
      </c>
    </row>
    <row r="34" ht="15.75" customHeight="1">
      <c r="A34" s="3" t="s">
        <v>323</v>
      </c>
      <c r="B34" s="3" t="s">
        <v>324</v>
      </c>
      <c r="C34" s="3" t="s">
        <v>467</v>
      </c>
      <c r="D34" s="18">
        <v>45786.0</v>
      </c>
      <c r="E34" s="3">
        <v>32.71</v>
      </c>
      <c r="F34" s="18">
        <v>45929.0</v>
      </c>
      <c r="G34" s="3">
        <v>26.85</v>
      </c>
      <c r="H34" s="3">
        <v>-0.1791501070009172</v>
      </c>
      <c r="I34" s="3">
        <v>-36002.85192</v>
      </c>
      <c r="J34" s="3">
        <v>-0.1811501070009172</v>
      </c>
      <c r="K34" s="3">
        <v>6076.0</v>
      </c>
    </row>
    <row r="35" ht="15.75" customHeight="1">
      <c r="A35" s="3" t="s">
        <v>336</v>
      </c>
      <c r="B35" s="3" t="s">
        <v>337</v>
      </c>
      <c r="C35" s="3" t="s">
        <v>467</v>
      </c>
      <c r="D35" s="18">
        <v>45786.0</v>
      </c>
      <c r="E35" s="3">
        <v>3.5</v>
      </c>
      <c r="F35" s="18">
        <v>45884.0</v>
      </c>
      <c r="G35" s="3">
        <v>2.86</v>
      </c>
      <c r="H35" s="3">
        <v>-0.1828571428571429</v>
      </c>
      <c r="I35" s="3">
        <v>-36765.77500000002</v>
      </c>
      <c r="J35" s="3">
        <v>-0.1848571428571429</v>
      </c>
      <c r="K35" s="3">
        <v>56825.0</v>
      </c>
    </row>
    <row r="36" ht="15.75" customHeight="1">
      <c r="A36" s="3" t="s">
        <v>344</v>
      </c>
      <c r="B36" s="3" t="s">
        <v>345</v>
      </c>
      <c r="C36" s="3" t="s">
        <v>467</v>
      </c>
      <c r="D36" s="18">
        <v>45786.0</v>
      </c>
      <c r="E36" s="3">
        <v>3.57</v>
      </c>
      <c r="F36" s="18">
        <v>45873.0</v>
      </c>
      <c r="G36" s="3">
        <v>1.685</v>
      </c>
      <c r="H36" s="3">
        <v>-0.5280112044817926</v>
      </c>
      <c r="I36" s="3">
        <v>-105215.37381</v>
      </c>
      <c r="J36" s="3">
        <v>-0.5300112044817926</v>
      </c>
      <c r="K36" s="3">
        <v>55662.0</v>
      </c>
    </row>
    <row r="37" ht="15.75" customHeight="1">
      <c r="A37" s="3" t="s">
        <v>356</v>
      </c>
      <c r="B37" s="3" t="s">
        <v>358</v>
      </c>
      <c r="C37" s="3" t="s">
        <v>467</v>
      </c>
      <c r="D37" s="18">
        <v>45681.0</v>
      </c>
      <c r="E37" s="3">
        <v>2.03</v>
      </c>
      <c r="F37" s="18">
        <v>45770.0</v>
      </c>
      <c r="G37" s="3">
        <v>2.68</v>
      </c>
      <c r="H37" s="3">
        <v>0.3202</v>
      </c>
      <c r="I37" s="3">
        <v>61491.62</v>
      </c>
      <c r="J37" s="3">
        <v>0.3179</v>
      </c>
      <c r="K37" s="3">
        <v>95293.0</v>
      </c>
    </row>
    <row r="38" ht="15.75" customHeight="1">
      <c r="A38" s="3" t="s">
        <v>363</v>
      </c>
      <c r="B38" s="3" t="s">
        <v>364</v>
      </c>
      <c r="C38" s="3" t="s">
        <v>467</v>
      </c>
      <c r="D38" s="18">
        <v>45674.0</v>
      </c>
      <c r="E38" s="3">
        <v>1.404468</v>
      </c>
      <c r="F38" s="18">
        <v>45758.0</v>
      </c>
      <c r="G38" s="3">
        <v>1.165</v>
      </c>
      <c r="H38" s="3">
        <v>-0.1705</v>
      </c>
      <c r="I38" s="3">
        <v>-33021.9</v>
      </c>
      <c r="J38" s="3">
        <v>-0.1723</v>
      </c>
      <c r="K38" s="3">
        <v>136433.0</v>
      </c>
    </row>
    <row r="39" ht="15.75" customHeight="1">
      <c r="A39" s="3" t="s">
        <v>370</v>
      </c>
      <c r="B39" s="3" t="s">
        <v>371</v>
      </c>
      <c r="C39" s="3" t="s">
        <v>467</v>
      </c>
      <c r="D39" s="18">
        <v>45268.0</v>
      </c>
      <c r="E39" s="3">
        <v>32.16671</v>
      </c>
      <c r="F39" s="18">
        <v>45758.0</v>
      </c>
      <c r="G39" s="3">
        <v>41.93</v>
      </c>
      <c r="H39" s="3">
        <v>0.3035</v>
      </c>
      <c r="I39" s="3">
        <v>42428.98</v>
      </c>
      <c r="J39" s="3">
        <v>0.3012</v>
      </c>
      <c r="K39" s="3">
        <v>4379.0</v>
      </c>
    </row>
    <row r="40" ht="15.75" customHeight="1">
      <c r="A40" s="3" t="s">
        <v>377</v>
      </c>
      <c r="B40" s="3" t="s">
        <v>378</v>
      </c>
      <c r="C40" s="3" t="s">
        <v>467</v>
      </c>
      <c r="D40" s="18">
        <v>45177.0</v>
      </c>
      <c r="E40" s="3">
        <v>24.51428</v>
      </c>
      <c r="F40" s="18">
        <v>45737.0</v>
      </c>
      <c r="G40" s="3">
        <v>37.3</v>
      </c>
      <c r="H40" s="3">
        <v>0.5216</v>
      </c>
      <c r="I40" s="3">
        <v>74320.33</v>
      </c>
      <c r="J40" s="3">
        <v>0.519</v>
      </c>
      <c r="K40" s="3">
        <v>5841.0</v>
      </c>
    </row>
    <row r="41" ht="15.75" customHeight="1">
      <c r="A41" s="3" t="s">
        <v>385</v>
      </c>
      <c r="B41" s="3" t="s">
        <v>386</v>
      </c>
      <c r="C41" s="3" t="s">
        <v>467</v>
      </c>
      <c r="D41" s="18">
        <v>44876.0</v>
      </c>
      <c r="E41" s="3">
        <v>10.24905</v>
      </c>
      <c r="F41" s="18">
        <v>45730.0</v>
      </c>
      <c r="G41" s="3">
        <v>18.83</v>
      </c>
      <c r="H41" s="3">
        <v>0.8372</v>
      </c>
      <c r="I41" s="3">
        <v>119691.99</v>
      </c>
      <c r="J41" s="3">
        <v>0.8344</v>
      </c>
      <c r="K41" s="3">
        <v>13996.0</v>
      </c>
    </row>
    <row r="42" ht="15.75" customHeight="1">
      <c r="A42" s="3" t="s">
        <v>393</v>
      </c>
      <c r="B42" s="3" t="s">
        <v>394</v>
      </c>
      <c r="C42" s="3" t="s">
        <v>467</v>
      </c>
      <c r="D42" s="18">
        <v>45527.0</v>
      </c>
      <c r="E42" s="3">
        <v>149.6061</v>
      </c>
      <c r="F42" s="18">
        <v>45723.0</v>
      </c>
      <c r="G42" s="3">
        <v>261.91</v>
      </c>
      <c r="H42" s="3">
        <v>0.7507</v>
      </c>
      <c r="I42" s="3">
        <v>126438.39</v>
      </c>
      <c r="J42" s="3">
        <v>0.7479</v>
      </c>
      <c r="K42" s="3">
        <v>1130.0</v>
      </c>
    </row>
    <row r="43" ht="15.75" customHeight="1">
      <c r="A43" s="3" t="s">
        <v>402</v>
      </c>
      <c r="B43" s="3" t="s">
        <v>403</v>
      </c>
      <c r="C43" s="3" t="s">
        <v>467</v>
      </c>
      <c r="D43" s="18">
        <v>45429.0</v>
      </c>
      <c r="E43" s="3">
        <v>12.11786</v>
      </c>
      <c r="F43" s="18">
        <v>45723.0</v>
      </c>
      <c r="G43" s="3">
        <v>22.49093</v>
      </c>
      <c r="H43" s="3">
        <v>0.856</v>
      </c>
      <c r="I43" s="3">
        <v>132425.35</v>
      </c>
      <c r="J43" s="3">
        <v>0.8532</v>
      </c>
      <c r="K43" s="3">
        <v>12809.0</v>
      </c>
    </row>
    <row r="44" ht="15.75" customHeight="1">
      <c r="A44" s="3" t="s">
        <v>411</v>
      </c>
      <c r="B44" s="3" t="s">
        <v>412</v>
      </c>
      <c r="C44" s="3" t="s">
        <v>467</v>
      </c>
      <c r="D44" s="18">
        <v>45471.0</v>
      </c>
      <c r="E44" s="3">
        <v>1.123341</v>
      </c>
      <c r="F44" s="18">
        <v>45716.0</v>
      </c>
      <c r="G44" s="3">
        <v>0.9294091</v>
      </c>
      <c r="H44" s="3">
        <v>-0.1726</v>
      </c>
      <c r="I44" s="3">
        <v>-28245.11</v>
      </c>
      <c r="J44" s="3">
        <v>-0.1745</v>
      </c>
      <c r="K44" s="3">
        <v>144119.0</v>
      </c>
    </row>
    <row r="45" ht="15.75" customHeight="1">
      <c r="A45" s="3" t="s">
        <v>189</v>
      </c>
      <c r="B45" s="3" t="s">
        <v>78</v>
      </c>
      <c r="C45" s="3" t="s">
        <v>467</v>
      </c>
      <c r="D45" s="18">
        <v>45429.0</v>
      </c>
      <c r="E45" s="3">
        <v>9.780805</v>
      </c>
      <c r="F45" s="18">
        <v>45716.0</v>
      </c>
      <c r="G45" s="3">
        <v>10.35343</v>
      </c>
      <c r="H45" s="3">
        <v>0.0585</v>
      </c>
      <c r="I45" s="3">
        <v>8767.0</v>
      </c>
      <c r="J45" s="3">
        <v>0.0565</v>
      </c>
      <c r="K45" s="3">
        <v>15868.0</v>
      </c>
    </row>
    <row r="46" ht="15.75" customHeight="1">
      <c r="A46" s="3" t="s">
        <v>423</v>
      </c>
      <c r="B46" s="3" t="s">
        <v>424</v>
      </c>
      <c r="C46" s="3" t="s">
        <v>467</v>
      </c>
      <c r="D46" s="18">
        <v>45268.0</v>
      </c>
      <c r="E46" s="3">
        <v>12.95567</v>
      </c>
      <c r="F46" s="18">
        <v>45716.0</v>
      </c>
      <c r="G46" s="3">
        <v>13.58675</v>
      </c>
      <c r="H46" s="3">
        <v>0.0487</v>
      </c>
      <c r="I46" s="3">
        <v>6573.14</v>
      </c>
      <c r="J46" s="3">
        <v>0.0467</v>
      </c>
      <c r="K46" s="3">
        <v>10873.0</v>
      </c>
    </row>
    <row r="47" ht="15.75" customHeight="1">
      <c r="A47" s="3" t="s">
        <v>430</v>
      </c>
      <c r="B47" s="3" t="s">
        <v>431</v>
      </c>
      <c r="C47" s="3" t="s">
        <v>467</v>
      </c>
      <c r="D47" s="18">
        <v>45527.0</v>
      </c>
      <c r="E47" s="3">
        <v>33.57828</v>
      </c>
      <c r="F47" s="18">
        <v>45709.0</v>
      </c>
      <c r="G47" s="3">
        <v>28.76415</v>
      </c>
      <c r="H47" s="3">
        <v>-0.1434</v>
      </c>
      <c r="I47" s="3">
        <v>-24557.92</v>
      </c>
      <c r="J47" s="3">
        <v>-0.1452</v>
      </c>
      <c r="K47" s="3">
        <v>5036.0</v>
      </c>
    </row>
    <row r="48" ht="15.75" customHeight="1">
      <c r="A48" s="3" t="s">
        <v>301</v>
      </c>
      <c r="B48" s="3" t="s">
        <v>302</v>
      </c>
      <c r="C48" s="3" t="s">
        <v>467</v>
      </c>
      <c r="D48" s="18">
        <v>45527.0</v>
      </c>
      <c r="E48" s="3">
        <v>2.2</v>
      </c>
      <c r="F48" s="18">
        <v>45653.0</v>
      </c>
      <c r="G48" s="3">
        <v>2.89</v>
      </c>
      <c r="H48" s="3">
        <v>0.3136</v>
      </c>
      <c r="I48" s="3">
        <v>52661.36</v>
      </c>
      <c r="J48" s="3">
        <v>0.3113</v>
      </c>
      <c r="K48" s="3">
        <v>76888.0</v>
      </c>
    </row>
    <row r="49" ht="15.75" customHeight="1">
      <c r="A49" s="3" t="s">
        <v>291</v>
      </c>
      <c r="B49" s="3" t="s">
        <v>292</v>
      </c>
      <c r="C49" s="3" t="s">
        <v>467</v>
      </c>
      <c r="D49" s="18">
        <v>45429.0</v>
      </c>
      <c r="E49" s="3">
        <v>15.35</v>
      </c>
      <c r="F49" s="18">
        <v>45653.0</v>
      </c>
      <c r="G49" s="3">
        <v>22.17</v>
      </c>
      <c r="H49" s="3">
        <v>0.4443</v>
      </c>
      <c r="I49" s="3">
        <v>68598.0</v>
      </c>
      <c r="J49" s="3">
        <v>0.4419</v>
      </c>
      <c r="K49" s="3">
        <v>10114.0</v>
      </c>
    </row>
    <row r="50" ht="15.75" customHeight="1">
      <c r="A50" s="3" t="s">
        <v>469</v>
      </c>
      <c r="B50" s="3" t="s">
        <v>470</v>
      </c>
      <c r="C50" s="3" t="s">
        <v>467</v>
      </c>
      <c r="D50" s="18">
        <v>44659.0</v>
      </c>
      <c r="E50" s="3">
        <v>3.186753</v>
      </c>
      <c r="F50" s="18">
        <v>45527.0</v>
      </c>
      <c r="G50" s="3">
        <v>3.250987</v>
      </c>
      <c r="H50" s="3">
        <v>0.0202</v>
      </c>
      <c r="I50" s="3">
        <v>2972.46</v>
      </c>
      <c r="J50" s="3">
        <v>0.0181</v>
      </c>
      <c r="K50" s="3">
        <v>51429.0</v>
      </c>
    </row>
    <row r="51" ht="15.75" customHeight="1">
      <c r="A51" s="3" t="s">
        <v>393</v>
      </c>
      <c r="B51" s="3" t="s">
        <v>394</v>
      </c>
      <c r="C51" s="3" t="s">
        <v>467</v>
      </c>
      <c r="D51" s="18">
        <v>44785.0</v>
      </c>
      <c r="E51" s="3">
        <v>52.91396</v>
      </c>
      <c r="F51" s="18">
        <v>45520.0</v>
      </c>
      <c r="G51" s="3">
        <v>129.1145</v>
      </c>
      <c r="H51" s="3">
        <v>1.4401</v>
      </c>
      <c r="I51" s="3">
        <v>214372.2</v>
      </c>
      <c r="J51" s="3">
        <v>1.4366</v>
      </c>
      <c r="K51" s="3">
        <v>2820.0</v>
      </c>
    </row>
    <row r="52" ht="15.75" customHeight="1">
      <c r="A52" s="3" t="s">
        <v>471</v>
      </c>
      <c r="B52" s="3" t="s">
        <v>472</v>
      </c>
      <c r="C52" s="3" t="s">
        <v>467</v>
      </c>
      <c r="D52" s="18">
        <v>45429.0</v>
      </c>
      <c r="E52" s="3">
        <v>16.25</v>
      </c>
      <c r="F52" s="18">
        <v>45450.0</v>
      </c>
      <c r="G52" s="3">
        <v>16.07</v>
      </c>
      <c r="H52" s="3">
        <v>-0.0111</v>
      </c>
      <c r="I52" s="3">
        <v>-2028.29</v>
      </c>
      <c r="J52" s="3">
        <v>-0.0131</v>
      </c>
      <c r="K52" s="3">
        <v>9553.0</v>
      </c>
    </row>
    <row r="53" ht="15.75" customHeight="1">
      <c r="A53" s="3" t="s">
        <v>473</v>
      </c>
      <c r="B53" s="3" t="s">
        <v>474</v>
      </c>
      <c r="C53" s="3" t="s">
        <v>467</v>
      </c>
      <c r="D53" s="18">
        <v>44211.0</v>
      </c>
      <c r="E53" s="3">
        <v>3.444477</v>
      </c>
      <c r="F53" s="18">
        <v>45429.0</v>
      </c>
      <c r="G53" s="3">
        <v>3.618726</v>
      </c>
      <c r="H53" s="3">
        <v>0.0506</v>
      </c>
      <c r="I53" s="3">
        <v>6743.94</v>
      </c>
      <c r="J53" s="3">
        <v>0.0485</v>
      </c>
      <c r="K53" s="3">
        <v>40338.0</v>
      </c>
    </row>
    <row r="54" ht="15.75" customHeight="1">
      <c r="A54" s="3" t="s">
        <v>475</v>
      </c>
      <c r="B54" s="3" t="s">
        <v>476</v>
      </c>
      <c r="C54" s="3" t="s">
        <v>467</v>
      </c>
      <c r="D54" s="18">
        <v>45268.0</v>
      </c>
      <c r="E54" s="3">
        <v>1.83</v>
      </c>
      <c r="F54" s="18">
        <v>45415.0</v>
      </c>
      <c r="G54" s="3">
        <v>1.765</v>
      </c>
      <c r="H54" s="3">
        <v>-0.0355</v>
      </c>
      <c r="I54" s="3">
        <v>-5279.21</v>
      </c>
      <c r="J54" s="3">
        <v>-0.0375</v>
      </c>
      <c r="K54" s="3">
        <v>76962.0</v>
      </c>
    </row>
    <row r="55" ht="15.75" customHeight="1">
      <c r="A55" s="3" t="s">
        <v>477</v>
      </c>
      <c r="B55" s="3" t="s">
        <v>478</v>
      </c>
      <c r="C55" s="3" t="s">
        <v>467</v>
      </c>
      <c r="D55" s="18">
        <v>45268.0</v>
      </c>
      <c r="E55" s="3">
        <v>16.3</v>
      </c>
      <c r="F55" s="18">
        <v>45408.0</v>
      </c>
      <c r="G55" s="3">
        <v>19.29</v>
      </c>
      <c r="H55" s="3">
        <v>0.1834</v>
      </c>
      <c r="I55" s="3">
        <v>25523.15</v>
      </c>
      <c r="J55" s="3">
        <v>0.1813</v>
      </c>
      <c r="K55" s="3">
        <v>8639.0</v>
      </c>
    </row>
    <row r="56" ht="15.75" customHeight="1">
      <c r="A56" s="3" t="s">
        <v>479</v>
      </c>
      <c r="B56" s="3" t="s">
        <v>480</v>
      </c>
      <c r="C56" s="3" t="s">
        <v>467</v>
      </c>
      <c r="D56" s="18">
        <v>45037.0</v>
      </c>
      <c r="E56" s="3">
        <v>3.839792</v>
      </c>
      <c r="F56" s="18">
        <v>45408.0</v>
      </c>
      <c r="G56" s="3">
        <v>5.082048</v>
      </c>
      <c r="H56" s="3">
        <v>0.3235</v>
      </c>
      <c r="I56" s="3">
        <v>45887.43</v>
      </c>
      <c r="J56" s="3">
        <v>0.3212</v>
      </c>
      <c r="K56" s="3">
        <v>37206.0</v>
      </c>
    </row>
    <row r="57" ht="15.75" customHeight="1">
      <c r="A57" s="3" t="s">
        <v>481</v>
      </c>
      <c r="B57" s="3" t="s">
        <v>482</v>
      </c>
      <c r="C57" s="3" t="s">
        <v>467</v>
      </c>
      <c r="D57" s="18">
        <v>45128.0</v>
      </c>
      <c r="E57" s="3">
        <v>9.56</v>
      </c>
      <c r="F57" s="18">
        <v>45233.0</v>
      </c>
      <c r="G57" s="3">
        <v>9.35</v>
      </c>
      <c r="H57" s="3">
        <v>-0.022</v>
      </c>
      <c r="I57" s="3">
        <v>-3356.74</v>
      </c>
      <c r="J57" s="3">
        <v>-0.0239</v>
      </c>
      <c r="K57" s="3">
        <v>14664.0</v>
      </c>
    </row>
    <row r="58" ht="15.75" customHeight="1">
      <c r="A58" s="3" t="s">
        <v>483</v>
      </c>
      <c r="B58" s="3" t="s">
        <v>484</v>
      </c>
      <c r="C58" s="3" t="s">
        <v>467</v>
      </c>
      <c r="D58" s="18">
        <v>45037.0</v>
      </c>
      <c r="E58" s="3">
        <v>142.0361</v>
      </c>
      <c r="F58" s="18">
        <v>45233.0</v>
      </c>
      <c r="G58" s="3">
        <v>139.3167</v>
      </c>
      <c r="H58" s="3">
        <v>-0.0191</v>
      </c>
      <c r="I58" s="3">
        <v>-3015.76</v>
      </c>
      <c r="J58" s="3">
        <v>-0.0211</v>
      </c>
      <c r="K58" s="3">
        <v>1005.0</v>
      </c>
    </row>
    <row r="59" ht="15.75" customHeight="1">
      <c r="A59" s="3" t="s">
        <v>485</v>
      </c>
      <c r="B59" s="3" t="s">
        <v>486</v>
      </c>
      <c r="C59" s="3" t="s">
        <v>467</v>
      </c>
      <c r="D59" s="18">
        <v>44799.0</v>
      </c>
      <c r="E59" s="3">
        <v>11.85766</v>
      </c>
      <c r="F59" s="18">
        <v>45233.0</v>
      </c>
      <c r="G59" s="3">
        <v>12.39839</v>
      </c>
      <c r="H59" s="3">
        <v>0.0456</v>
      </c>
      <c r="I59" s="3">
        <v>6416.16</v>
      </c>
      <c r="J59" s="3">
        <v>0.0436</v>
      </c>
      <c r="K59" s="3">
        <v>12423.0</v>
      </c>
    </row>
    <row r="60" ht="15.75" customHeight="1">
      <c r="A60" s="3" t="s">
        <v>487</v>
      </c>
      <c r="B60" s="3" t="s">
        <v>488</v>
      </c>
      <c r="C60" s="3" t="s">
        <v>467</v>
      </c>
      <c r="D60" s="18">
        <v>45177.0</v>
      </c>
      <c r="E60" s="3">
        <v>2.390586</v>
      </c>
      <c r="F60" s="18">
        <v>45212.0</v>
      </c>
      <c r="G60" s="3">
        <v>2.4186</v>
      </c>
      <c r="H60" s="3">
        <v>0.0117</v>
      </c>
      <c r="I60" s="3">
        <v>1389.88</v>
      </c>
      <c r="J60" s="3">
        <v>0.0097</v>
      </c>
      <c r="K60" s="3">
        <v>59896.0</v>
      </c>
    </row>
    <row r="61" ht="15.75" customHeight="1">
      <c r="A61" s="3" t="s">
        <v>489</v>
      </c>
      <c r="B61" s="3" t="s">
        <v>490</v>
      </c>
      <c r="C61" s="3" t="s">
        <v>467</v>
      </c>
      <c r="D61" s="18">
        <v>45100.0</v>
      </c>
      <c r="E61" s="3">
        <v>79.89801</v>
      </c>
      <c r="F61" s="18">
        <v>45170.0</v>
      </c>
      <c r="G61" s="3">
        <v>71.5118</v>
      </c>
      <c r="H61" s="3">
        <v>-0.105</v>
      </c>
      <c r="I61" s="3">
        <v>-15342.08</v>
      </c>
      <c r="J61" s="3">
        <v>-0.1069</v>
      </c>
      <c r="K61" s="3">
        <v>1797.0</v>
      </c>
    </row>
    <row r="62" ht="15.75" customHeight="1">
      <c r="A62" s="3" t="s">
        <v>491</v>
      </c>
      <c r="B62" s="3" t="s">
        <v>492</v>
      </c>
      <c r="C62" s="3" t="s">
        <v>467</v>
      </c>
      <c r="D62" s="18">
        <v>45128.0</v>
      </c>
      <c r="E62" s="3">
        <v>13.76401</v>
      </c>
      <c r="F62" s="18">
        <v>45163.0</v>
      </c>
      <c r="G62" s="3">
        <v>10.9844</v>
      </c>
      <c r="H62" s="3">
        <v>-0.2019</v>
      </c>
      <c r="I62" s="3">
        <v>-28556.78</v>
      </c>
      <c r="J62" s="3">
        <v>-0.2037</v>
      </c>
      <c r="K62" s="3">
        <v>10183.0</v>
      </c>
    </row>
    <row r="63" ht="15.75" customHeight="1">
      <c r="A63" s="3" t="s">
        <v>493</v>
      </c>
      <c r="B63" s="3" t="s">
        <v>494</v>
      </c>
      <c r="C63" s="3" t="s">
        <v>467</v>
      </c>
      <c r="D63" s="18">
        <v>44876.0</v>
      </c>
      <c r="E63" s="3">
        <v>1.170632</v>
      </c>
      <c r="F63" s="18">
        <v>45121.0</v>
      </c>
      <c r="G63" s="3">
        <v>0.9455732</v>
      </c>
      <c r="H63" s="3">
        <v>-0.1923</v>
      </c>
      <c r="I63" s="3">
        <v>-27844.39</v>
      </c>
      <c r="J63" s="3">
        <v>-0.1941</v>
      </c>
      <c r="K63" s="3">
        <v>122568.0</v>
      </c>
    </row>
    <row r="64" ht="15.75" customHeight="1">
      <c r="A64" s="3" t="s">
        <v>191</v>
      </c>
      <c r="B64" s="3" t="s">
        <v>495</v>
      </c>
      <c r="C64" s="3" t="s">
        <v>467</v>
      </c>
      <c r="D64" s="18">
        <v>45100.0</v>
      </c>
      <c r="E64" s="3">
        <v>3.13</v>
      </c>
      <c r="F64" s="18">
        <v>45107.0</v>
      </c>
      <c r="G64" s="3">
        <v>2.83</v>
      </c>
      <c r="H64" s="3">
        <v>-0.0958</v>
      </c>
      <c r="I64" s="3">
        <v>-14038.06</v>
      </c>
      <c r="J64" s="3">
        <v>-0.0978</v>
      </c>
      <c r="K64" s="3">
        <v>45882.0</v>
      </c>
    </row>
    <row r="65" ht="15.75" customHeight="1">
      <c r="A65" s="3" t="s">
        <v>496</v>
      </c>
      <c r="B65" s="3" t="s">
        <v>497</v>
      </c>
      <c r="C65" s="3" t="s">
        <v>467</v>
      </c>
      <c r="D65" s="18">
        <v>45037.0</v>
      </c>
      <c r="E65" s="3">
        <v>20.96614</v>
      </c>
      <c r="F65" s="18">
        <v>45107.0</v>
      </c>
      <c r="G65" s="3">
        <v>17.2634</v>
      </c>
      <c r="H65" s="3">
        <v>-0.1766</v>
      </c>
      <c r="I65" s="3">
        <v>-25490.97</v>
      </c>
      <c r="J65" s="3">
        <v>-0.1784</v>
      </c>
      <c r="K65" s="3">
        <v>6814.0</v>
      </c>
    </row>
    <row r="66" ht="15.75" customHeight="1">
      <c r="A66" s="3" t="s">
        <v>191</v>
      </c>
      <c r="B66" s="3" t="s">
        <v>495</v>
      </c>
      <c r="C66" s="3" t="s">
        <v>467</v>
      </c>
      <c r="D66" s="18">
        <v>45037.0</v>
      </c>
      <c r="E66" s="3">
        <v>2.72</v>
      </c>
      <c r="F66" s="18">
        <v>45079.0</v>
      </c>
      <c r="G66" s="3">
        <v>2.72</v>
      </c>
      <c r="H66" s="3">
        <v>0.0</v>
      </c>
      <c r="I66" s="3">
        <v>-285.62</v>
      </c>
      <c r="J66" s="3">
        <v>-0.002</v>
      </c>
      <c r="K66" s="3">
        <v>52504.0</v>
      </c>
    </row>
    <row r="67" ht="15.75" customHeight="1">
      <c r="A67" s="3" t="s">
        <v>498</v>
      </c>
      <c r="B67" s="3" t="s">
        <v>499</v>
      </c>
      <c r="C67" s="3" t="s">
        <v>467</v>
      </c>
      <c r="D67" s="18">
        <v>44785.0</v>
      </c>
      <c r="E67" s="3">
        <v>11.05894</v>
      </c>
      <c r="F67" s="18">
        <v>45079.0</v>
      </c>
      <c r="G67" s="3">
        <v>11.05359</v>
      </c>
      <c r="H67" s="3">
        <v>-5.0E-4</v>
      </c>
      <c r="I67" s="3">
        <v>-370.83</v>
      </c>
      <c r="J67" s="3">
        <v>-0.0025</v>
      </c>
      <c r="K67" s="3">
        <v>13503.0</v>
      </c>
    </row>
    <row r="68" ht="15.75" customHeight="1">
      <c r="A68" s="3" t="s">
        <v>500</v>
      </c>
      <c r="B68" s="3" t="s">
        <v>501</v>
      </c>
      <c r="C68" s="3" t="s">
        <v>467</v>
      </c>
      <c r="D68" s="18">
        <v>44883.0</v>
      </c>
      <c r="E68" s="3">
        <v>16.34</v>
      </c>
      <c r="F68" s="18">
        <v>45009.0</v>
      </c>
      <c r="G68" s="3">
        <v>10.44</v>
      </c>
      <c r="H68" s="3">
        <v>-0.3611</v>
      </c>
      <c r="I68" s="3">
        <v>-52612.03</v>
      </c>
      <c r="J68" s="3">
        <v>-0.3627</v>
      </c>
      <c r="K68" s="3">
        <v>8877.0</v>
      </c>
    </row>
    <row r="69" ht="15.75" customHeight="1">
      <c r="A69" s="3" t="s">
        <v>207</v>
      </c>
      <c r="B69" s="3" t="s">
        <v>208</v>
      </c>
      <c r="C69" s="3" t="s">
        <v>467</v>
      </c>
      <c r="D69" s="18">
        <v>44883.0</v>
      </c>
      <c r="E69" s="3">
        <v>80.90588</v>
      </c>
      <c r="F69" s="18">
        <v>45009.0</v>
      </c>
      <c r="G69" s="3">
        <v>78.48852</v>
      </c>
      <c r="H69" s="3">
        <v>-0.0299</v>
      </c>
      <c r="I69" s="3">
        <v>-4620.19</v>
      </c>
      <c r="J69" s="3">
        <v>-0.0318</v>
      </c>
      <c r="K69" s="3">
        <v>1793.0</v>
      </c>
    </row>
    <row r="70" ht="15.75" customHeight="1">
      <c r="A70" s="3" t="s">
        <v>502</v>
      </c>
      <c r="B70" s="3" t="s">
        <v>503</v>
      </c>
      <c r="C70" s="3" t="s">
        <v>467</v>
      </c>
      <c r="D70" s="18">
        <v>44806.0</v>
      </c>
      <c r="E70" s="3">
        <v>27.90669</v>
      </c>
      <c r="F70" s="18">
        <v>45009.0</v>
      </c>
      <c r="G70" s="3">
        <v>27.20552</v>
      </c>
      <c r="H70" s="3">
        <v>-0.0251</v>
      </c>
      <c r="I70" s="3">
        <v>-3926.62</v>
      </c>
      <c r="J70" s="3">
        <v>-0.0271</v>
      </c>
      <c r="K70" s="3">
        <v>5192.0</v>
      </c>
    </row>
    <row r="71" ht="15.75" customHeight="1">
      <c r="A71" s="3" t="s">
        <v>487</v>
      </c>
      <c r="B71" s="3" t="s">
        <v>488</v>
      </c>
      <c r="C71" s="3" t="s">
        <v>467</v>
      </c>
      <c r="D71" s="18">
        <v>44883.0</v>
      </c>
      <c r="E71" s="3">
        <v>2.166468</v>
      </c>
      <c r="F71" s="18">
        <v>45002.0</v>
      </c>
      <c r="G71" s="3">
        <v>1.942351</v>
      </c>
      <c r="H71" s="3">
        <v>-0.1034</v>
      </c>
      <c r="I71" s="3">
        <v>-15279.03</v>
      </c>
      <c r="J71" s="3">
        <v>-0.1053</v>
      </c>
      <c r="K71" s="3">
        <v>66947.0</v>
      </c>
    </row>
    <row r="72" ht="15.75" customHeight="1">
      <c r="A72" s="3" t="s">
        <v>191</v>
      </c>
      <c r="B72" s="3" t="s">
        <v>495</v>
      </c>
      <c r="C72" s="3" t="s">
        <v>467</v>
      </c>
      <c r="D72" s="18">
        <v>44883.0</v>
      </c>
      <c r="E72" s="3">
        <v>2.1</v>
      </c>
      <c r="F72" s="18">
        <v>45002.0</v>
      </c>
      <c r="G72" s="3">
        <v>1.52</v>
      </c>
      <c r="H72" s="3">
        <v>-0.2762</v>
      </c>
      <c r="I72" s="3">
        <v>-40318.22</v>
      </c>
      <c r="J72" s="3">
        <v>-0.2779</v>
      </c>
      <c r="K72" s="3">
        <v>69083.0</v>
      </c>
    </row>
    <row r="73" ht="15.75" customHeight="1">
      <c r="A73" s="3" t="s">
        <v>504</v>
      </c>
      <c r="B73" s="3" t="s">
        <v>505</v>
      </c>
      <c r="C73" s="3" t="s">
        <v>467</v>
      </c>
      <c r="D73" s="18">
        <v>44876.0</v>
      </c>
      <c r="E73" s="3">
        <v>1.897201</v>
      </c>
      <c r="F73" s="18">
        <v>44995.0</v>
      </c>
      <c r="G73" s="3">
        <v>1.882422</v>
      </c>
      <c r="H73" s="3">
        <v>-0.0078</v>
      </c>
      <c r="I73" s="3">
        <v>-1403.74</v>
      </c>
      <c r="J73" s="3">
        <v>-0.0098</v>
      </c>
      <c r="K73" s="3">
        <v>75638.0</v>
      </c>
    </row>
    <row r="74" ht="15.75" customHeight="1">
      <c r="A74" s="3" t="s">
        <v>275</v>
      </c>
      <c r="B74" s="3" t="s">
        <v>276</v>
      </c>
      <c r="C74" s="3" t="s">
        <v>467</v>
      </c>
      <c r="D74" s="18">
        <v>44799.0</v>
      </c>
      <c r="E74" s="3">
        <v>3.232004</v>
      </c>
      <c r="F74" s="18">
        <v>44869.0</v>
      </c>
      <c r="G74" s="3">
        <v>2.523315</v>
      </c>
      <c r="H74" s="3">
        <v>-0.2193</v>
      </c>
      <c r="I74" s="3">
        <v>-32560.09</v>
      </c>
      <c r="J74" s="3">
        <v>-0.2211</v>
      </c>
      <c r="K74" s="3">
        <v>45574.0</v>
      </c>
    </row>
    <row r="75" ht="15.75" customHeight="1">
      <c r="A75" s="3" t="s">
        <v>506</v>
      </c>
      <c r="B75" s="3" t="s">
        <v>507</v>
      </c>
      <c r="C75" s="3" t="s">
        <v>467</v>
      </c>
      <c r="D75" s="18">
        <v>44799.0</v>
      </c>
      <c r="E75" s="3">
        <v>3.545772</v>
      </c>
      <c r="F75" s="18">
        <v>44869.0</v>
      </c>
      <c r="G75" s="3">
        <v>4.398766</v>
      </c>
      <c r="H75" s="3">
        <v>0.2406</v>
      </c>
      <c r="I75" s="3">
        <v>35113.5</v>
      </c>
      <c r="J75" s="3">
        <v>0.2383</v>
      </c>
      <c r="K75" s="3">
        <v>41552.0</v>
      </c>
    </row>
    <row r="76" ht="15.75" customHeight="1">
      <c r="A76" s="3" t="s">
        <v>508</v>
      </c>
      <c r="B76" s="3" t="s">
        <v>509</v>
      </c>
      <c r="C76" s="3" t="s">
        <v>467</v>
      </c>
      <c r="D76" s="18">
        <v>44792.0</v>
      </c>
      <c r="E76" s="3">
        <v>5.478709</v>
      </c>
      <c r="F76" s="18">
        <v>44869.0</v>
      </c>
      <c r="G76" s="3">
        <v>8.014309</v>
      </c>
      <c r="H76" s="3">
        <v>0.4628</v>
      </c>
      <c r="I76" s="3">
        <v>68828.33</v>
      </c>
      <c r="J76" s="3">
        <v>0.4603</v>
      </c>
      <c r="K76" s="3">
        <v>27290.0</v>
      </c>
    </row>
    <row r="77" ht="15.75" customHeight="1">
      <c r="A77" s="3" t="s">
        <v>510</v>
      </c>
      <c r="B77" s="3" t="s">
        <v>511</v>
      </c>
      <c r="C77" s="3" t="s">
        <v>467</v>
      </c>
      <c r="D77" s="18">
        <v>44820.0</v>
      </c>
      <c r="E77" s="3">
        <v>21.2708</v>
      </c>
      <c r="F77" s="18">
        <v>44834.0</v>
      </c>
      <c r="G77" s="3">
        <v>17.4838</v>
      </c>
      <c r="H77" s="3">
        <v>-0.178</v>
      </c>
      <c r="I77" s="3">
        <v>-26994.52</v>
      </c>
      <c r="J77" s="3">
        <v>-0.1799</v>
      </c>
      <c r="K77" s="3">
        <v>7056.0</v>
      </c>
    </row>
    <row r="78" ht="15.75" customHeight="1">
      <c r="A78" s="3" t="s">
        <v>512</v>
      </c>
      <c r="B78" s="3" t="s">
        <v>513</v>
      </c>
      <c r="C78" s="3" t="s">
        <v>467</v>
      </c>
      <c r="D78" s="18">
        <v>44785.0</v>
      </c>
      <c r="E78" s="3">
        <v>19.68436</v>
      </c>
      <c r="F78" s="18">
        <v>44834.0</v>
      </c>
      <c r="G78" s="3">
        <v>18.13722</v>
      </c>
      <c r="H78" s="3">
        <v>-0.0786</v>
      </c>
      <c r="I78" s="3">
        <v>-12018.76</v>
      </c>
      <c r="J78" s="3">
        <v>-0.0805</v>
      </c>
      <c r="K78" s="3">
        <v>7583.0</v>
      </c>
    </row>
    <row r="79" ht="15.75" customHeight="1">
      <c r="A79" s="3" t="s">
        <v>402</v>
      </c>
      <c r="B79" s="3" t="s">
        <v>403</v>
      </c>
      <c r="C79" s="3" t="s">
        <v>467</v>
      </c>
      <c r="D79" s="18">
        <v>44785.0</v>
      </c>
      <c r="E79" s="3">
        <v>9.891912</v>
      </c>
      <c r="F79" s="18">
        <v>44834.0</v>
      </c>
      <c r="G79" s="3">
        <v>7.820386</v>
      </c>
      <c r="H79" s="3">
        <v>-0.2094</v>
      </c>
      <c r="I79" s="3">
        <v>-31530.75</v>
      </c>
      <c r="J79" s="3">
        <v>-0.2112</v>
      </c>
      <c r="K79" s="3">
        <v>15092.0</v>
      </c>
    </row>
    <row r="80" ht="15.75" customHeight="1">
      <c r="A80" s="3" t="s">
        <v>514</v>
      </c>
      <c r="B80" s="3" t="s">
        <v>515</v>
      </c>
      <c r="C80" s="3" t="s">
        <v>467</v>
      </c>
      <c r="D80" s="18">
        <v>44785.0</v>
      </c>
      <c r="E80" s="3">
        <v>11.84326</v>
      </c>
      <c r="F80" s="18">
        <v>44834.0</v>
      </c>
      <c r="G80" s="3">
        <v>10.23312</v>
      </c>
      <c r="H80" s="3">
        <v>-0.136</v>
      </c>
      <c r="I80" s="3">
        <v>-20582.25</v>
      </c>
      <c r="J80" s="3">
        <v>-0.1378</v>
      </c>
      <c r="K80" s="3">
        <v>12610.0</v>
      </c>
    </row>
    <row r="81" ht="15.75" customHeight="1">
      <c r="A81" s="3" t="s">
        <v>489</v>
      </c>
      <c r="B81" s="3" t="s">
        <v>490</v>
      </c>
      <c r="C81" s="3" t="s">
        <v>467</v>
      </c>
      <c r="D81" s="18">
        <v>44806.0</v>
      </c>
      <c r="E81" s="3">
        <v>56.39325</v>
      </c>
      <c r="F81" s="18">
        <v>44827.0</v>
      </c>
      <c r="G81" s="3">
        <v>54.84264</v>
      </c>
      <c r="H81" s="3">
        <v>-0.0275</v>
      </c>
      <c r="I81" s="3">
        <v>-4269.28</v>
      </c>
      <c r="J81" s="3">
        <v>-0.0295</v>
      </c>
      <c r="K81" s="3">
        <v>2569.0</v>
      </c>
    </row>
    <row r="82" ht="15.75" customHeight="1">
      <c r="A82" s="3" t="s">
        <v>516</v>
      </c>
      <c r="B82" s="3" t="s">
        <v>517</v>
      </c>
      <c r="C82" s="3" t="s">
        <v>467</v>
      </c>
      <c r="D82" s="18">
        <v>44785.0</v>
      </c>
      <c r="E82" s="3">
        <v>7.97</v>
      </c>
      <c r="F82" s="18">
        <v>44813.0</v>
      </c>
      <c r="G82" s="3">
        <v>5.88</v>
      </c>
      <c r="H82" s="3">
        <v>-0.2622</v>
      </c>
      <c r="I82" s="3">
        <v>-39432.46</v>
      </c>
      <c r="J82" s="3">
        <v>-0.264</v>
      </c>
      <c r="K82" s="3">
        <v>18743.0</v>
      </c>
    </row>
    <row r="83" ht="15.75" customHeight="1">
      <c r="A83" s="3" t="s">
        <v>518</v>
      </c>
      <c r="B83" s="3" t="s">
        <v>519</v>
      </c>
      <c r="C83" s="3" t="s">
        <v>467</v>
      </c>
      <c r="D83" s="18">
        <v>44785.0</v>
      </c>
      <c r="E83" s="3">
        <v>5.80278</v>
      </c>
      <c r="F83" s="18">
        <v>44806.0</v>
      </c>
      <c r="G83" s="3">
        <v>4.701326</v>
      </c>
      <c r="H83" s="3">
        <v>-0.1898</v>
      </c>
      <c r="I83" s="3">
        <v>-28611.79</v>
      </c>
      <c r="J83" s="3">
        <v>-0.1916</v>
      </c>
      <c r="K83" s="3">
        <v>25731.0</v>
      </c>
    </row>
    <row r="84" ht="15.75" customHeight="1">
      <c r="A84" s="3" t="s">
        <v>520</v>
      </c>
      <c r="B84" s="3" t="s">
        <v>521</v>
      </c>
      <c r="C84" s="3" t="s">
        <v>467</v>
      </c>
      <c r="D84" s="18">
        <v>44652.0</v>
      </c>
      <c r="E84" s="3">
        <v>4.75</v>
      </c>
      <c r="F84" s="18">
        <v>44763.0</v>
      </c>
      <c r="G84" s="3">
        <v>4.99</v>
      </c>
      <c r="H84" s="3">
        <v>0.0505</v>
      </c>
      <c r="I84" s="3">
        <v>7874.43</v>
      </c>
      <c r="J84" s="3">
        <v>0.0485</v>
      </c>
      <c r="K84" s="3">
        <v>34198.0</v>
      </c>
    </row>
    <row r="85" ht="15.75" customHeight="1">
      <c r="A85" s="3" t="s">
        <v>508</v>
      </c>
      <c r="B85" s="3" t="s">
        <v>509</v>
      </c>
      <c r="C85" s="3" t="s">
        <v>467</v>
      </c>
      <c r="D85" s="18">
        <v>44652.0</v>
      </c>
      <c r="E85" s="3">
        <v>3.663327</v>
      </c>
      <c r="F85" s="18">
        <v>44743.0</v>
      </c>
      <c r="G85" s="3">
        <v>3.793579</v>
      </c>
      <c r="H85" s="3">
        <v>0.0356</v>
      </c>
      <c r="I85" s="3">
        <v>5449.16</v>
      </c>
      <c r="J85" s="3">
        <v>0.0335</v>
      </c>
      <c r="K85" s="3">
        <v>44376.0</v>
      </c>
    </row>
    <row r="86" ht="15.75" customHeight="1">
      <c r="A86" s="3" t="s">
        <v>493</v>
      </c>
      <c r="B86" s="3" t="s">
        <v>494</v>
      </c>
      <c r="C86" s="3" t="s">
        <v>467</v>
      </c>
      <c r="D86" s="18">
        <v>44687.0</v>
      </c>
      <c r="E86" s="3">
        <v>1.042092</v>
      </c>
      <c r="F86" s="18">
        <v>44736.0</v>
      </c>
      <c r="G86" s="3">
        <v>0.8997797</v>
      </c>
      <c r="H86" s="3">
        <v>-0.1366</v>
      </c>
      <c r="I86" s="3">
        <v>-22139.26</v>
      </c>
      <c r="J86" s="3">
        <v>-0.1384</v>
      </c>
      <c r="K86" s="3">
        <v>153474.0</v>
      </c>
    </row>
    <row r="87" ht="15.75" customHeight="1">
      <c r="A87" s="3" t="s">
        <v>522</v>
      </c>
      <c r="B87" s="3" t="s">
        <v>523</v>
      </c>
      <c r="C87" s="3" t="s">
        <v>467</v>
      </c>
      <c r="D87" s="18">
        <v>44652.0</v>
      </c>
      <c r="E87" s="3">
        <v>45.20444</v>
      </c>
      <c r="F87" s="18">
        <v>44729.0</v>
      </c>
      <c r="G87" s="3">
        <v>32.82925</v>
      </c>
      <c r="H87" s="3">
        <v>-0.2738</v>
      </c>
      <c r="I87" s="3">
        <v>-44744.43</v>
      </c>
      <c r="J87" s="3">
        <v>-0.2755</v>
      </c>
      <c r="K87" s="3">
        <v>3593.0</v>
      </c>
    </row>
    <row r="88" ht="15.75" customHeight="1">
      <c r="A88" s="3" t="s">
        <v>524</v>
      </c>
      <c r="B88" s="3" t="s">
        <v>525</v>
      </c>
      <c r="C88" s="3" t="s">
        <v>467</v>
      </c>
      <c r="D88" s="18">
        <v>44561.0</v>
      </c>
      <c r="E88" s="3">
        <v>11.86</v>
      </c>
      <c r="F88" s="18">
        <v>44727.0</v>
      </c>
      <c r="G88" s="3">
        <v>13.05</v>
      </c>
      <c r="H88" s="3">
        <v>0.1003</v>
      </c>
      <c r="I88" s="3">
        <v>16363.69</v>
      </c>
      <c r="J88" s="3">
        <v>0.0982</v>
      </c>
      <c r="K88" s="3">
        <v>14045.0</v>
      </c>
    </row>
    <row r="89" ht="15.75" customHeight="1">
      <c r="A89" s="3" t="s">
        <v>526</v>
      </c>
      <c r="B89" s="3" t="s">
        <v>527</v>
      </c>
      <c r="C89" s="3" t="s">
        <v>467</v>
      </c>
      <c r="D89" s="18">
        <v>44652.0</v>
      </c>
      <c r="E89" s="3">
        <v>5.468838</v>
      </c>
      <c r="F89" s="18">
        <v>44722.0</v>
      </c>
      <c r="G89" s="3">
        <v>5.204355</v>
      </c>
      <c r="H89" s="3">
        <v>-0.0484</v>
      </c>
      <c r="I89" s="3">
        <v>-8175.99</v>
      </c>
      <c r="J89" s="3">
        <v>-0.0503</v>
      </c>
      <c r="K89" s="3">
        <v>29714.0</v>
      </c>
    </row>
    <row r="90" ht="15.75" customHeight="1">
      <c r="A90" s="3" t="s">
        <v>528</v>
      </c>
      <c r="B90" s="3" t="s">
        <v>529</v>
      </c>
      <c r="C90" s="3" t="s">
        <v>467</v>
      </c>
      <c r="D90" s="18">
        <v>44652.0</v>
      </c>
      <c r="E90" s="3">
        <v>3.122525</v>
      </c>
      <c r="F90" s="18">
        <v>44715.0</v>
      </c>
      <c r="G90" s="3">
        <v>2.749687</v>
      </c>
      <c r="H90" s="3">
        <v>-0.1194</v>
      </c>
      <c r="I90" s="3">
        <v>-19706.56</v>
      </c>
      <c r="J90" s="3">
        <v>-0.1213</v>
      </c>
      <c r="K90" s="3">
        <v>52036.0</v>
      </c>
    </row>
    <row r="91" ht="15.75" customHeight="1">
      <c r="A91" s="3" t="s">
        <v>530</v>
      </c>
      <c r="B91" s="3" t="s">
        <v>531</v>
      </c>
      <c r="C91" s="3" t="s">
        <v>467</v>
      </c>
      <c r="D91" s="18">
        <v>44645.0</v>
      </c>
      <c r="E91" s="3">
        <v>5.728204</v>
      </c>
      <c r="F91" s="18">
        <v>44708.0</v>
      </c>
      <c r="G91" s="3">
        <v>5.537264</v>
      </c>
      <c r="H91" s="3">
        <v>-0.0333</v>
      </c>
      <c r="I91" s="3">
        <v>-5707.65</v>
      </c>
      <c r="J91" s="3">
        <v>-0.0353</v>
      </c>
      <c r="K91" s="3">
        <v>28227.0</v>
      </c>
    </row>
    <row r="92" ht="15.75" customHeight="1">
      <c r="A92" s="3" t="s">
        <v>532</v>
      </c>
      <c r="B92" s="3" t="s">
        <v>533</v>
      </c>
      <c r="C92" s="3" t="s">
        <v>467</v>
      </c>
      <c r="D92" s="18">
        <v>44652.0</v>
      </c>
      <c r="E92" s="3">
        <v>6.656162</v>
      </c>
      <c r="F92" s="18">
        <v>44701.0</v>
      </c>
      <c r="G92" s="3">
        <v>6.133757</v>
      </c>
      <c r="H92" s="3">
        <v>-0.0785</v>
      </c>
      <c r="I92" s="3">
        <v>-13072.67</v>
      </c>
      <c r="J92" s="3">
        <v>-0.0804</v>
      </c>
      <c r="K92" s="3">
        <v>24426.0</v>
      </c>
    </row>
    <row r="93" ht="15.75" customHeight="1">
      <c r="A93" s="3" t="s">
        <v>534</v>
      </c>
      <c r="B93" s="3" t="s">
        <v>535</v>
      </c>
      <c r="C93" s="3" t="s">
        <v>467</v>
      </c>
      <c r="D93" s="18">
        <v>44120.0</v>
      </c>
      <c r="E93" s="3">
        <v>1.538698</v>
      </c>
      <c r="F93" s="18">
        <v>44694.0</v>
      </c>
      <c r="G93" s="3">
        <v>2.037215</v>
      </c>
      <c r="H93" s="3">
        <v>0.324</v>
      </c>
      <c r="I93" s="3">
        <v>42798.55</v>
      </c>
      <c r="J93" s="3">
        <v>0.3217</v>
      </c>
      <c r="K93" s="3">
        <v>86472.0</v>
      </c>
    </row>
    <row r="94" ht="15.75" customHeight="1">
      <c r="A94" s="3" t="s">
        <v>491</v>
      </c>
      <c r="B94" s="3" t="s">
        <v>492</v>
      </c>
      <c r="C94" s="3" t="s">
        <v>467</v>
      </c>
      <c r="D94" s="18">
        <v>44659.0</v>
      </c>
      <c r="E94" s="3">
        <v>12.89307</v>
      </c>
      <c r="F94" s="18">
        <v>44694.0</v>
      </c>
      <c r="G94" s="3">
        <v>10.41837</v>
      </c>
      <c r="H94" s="3">
        <v>-0.1919</v>
      </c>
      <c r="I94" s="3">
        <v>-31757.22</v>
      </c>
      <c r="J94" s="3">
        <v>-0.1937</v>
      </c>
      <c r="K94" s="3">
        <v>12713.0</v>
      </c>
    </row>
    <row r="95" ht="15.75" customHeight="1">
      <c r="A95" s="3" t="s">
        <v>152</v>
      </c>
      <c r="B95" s="3" t="s">
        <v>153</v>
      </c>
      <c r="C95" s="3" t="s">
        <v>467</v>
      </c>
      <c r="D95" s="18">
        <v>44652.0</v>
      </c>
      <c r="E95" s="3">
        <v>19.84331</v>
      </c>
      <c r="F95" s="18">
        <v>44694.0</v>
      </c>
      <c r="G95" s="3">
        <v>17.29929</v>
      </c>
      <c r="H95" s="3">
        <v>-0.1282</v>
      </c>
      <c r="I95" s="3">
        <v>-21139.72</v>
      </c>
      <c r="J95" s="3">
        <v>-0.1301</v>
      </c>
      <c r="K95" s="3">
        <v>8190.0</v>
      </c>
    </row>
    <row r="96" ht="15.75" customHeight="1">
      <c r="A96" s="3" t="s">
        <v>536</v>
      </c>
      <c r="B96" s="3" t="s">
        <v>537</v>
      </c>
      <c r="C96" s="3" t="s">
        <v>467</v>
      </c>
      <c r="D96" s="18">
        <v>44645.0</v>
      </c>
      <c r="E96" s="3">
        <v>2.2</v>
      </c>
      <c r="F96" s="18">
        <v>44694.0</v>
      </c>
      <c r="G96" s="3">
        <v>1.59</v>
      </c>
      <c r="H96" s="3">
        <v>-0.2773</v>
      </c>
      <c r="I96" s="3">
        <v>-45106.2</v>
      </c>
      <c r="J96" s="3">
        <v>-0.279</v>
      </c>
      <c r="K96" s="3">
        <v>73488.0</v>
      </c>
    </row>
    <row r="97" ht="15.75" customHeight="1">
      <c r="A97" s="3" t="s">
        <v>538</v>
      </c>
      <c r="B97" s="3" t="s">
        <v>539</v>
      </c>
      <c r="C97" s="3" t="s">
        <v>467</v>
      </c>
      <c r="D97" s="18">
        <v>44652.0</v>
      </c>
      <c r="E97" s="3">
        <v>1.145</v>
      </c>
      <c r="F97" s="18">
        <v>44687.0</v>
      </c>
      <c r="G97" s="3">
        <v>1.15</v>
      </c>
      <c r="H97" s="3">
        <v>0.0044</v>
      </c>
      <c r="I97" s="3">
        <v>384.0</v>
      </c>
      <c r="J97" s="3">
        <v>0.0024</v>
      </c>
      <c r="K97" s="3">
        <v>141960.0</v>
      </c>
    </row>
    <row r="98" ht="15.75" customHeight="1">
      <c r="A98" s="3" t="s">
        <v>540</v>
      </c>
      <c r="B98" s="3" t="s">
        <v>541</v>
      </c>
      <c r="C98" s="3" t="s">
        <v>467</v>
      </c>
      <c r="D98" s="18">
        <v>44274.0</v>
      </c>
      <c r="E98" s="3">
        <v>12.137</v>
      </c>
      <c r="F98" s="18">
        <v>44638.0</v>
      </c>
      <c r="G98" s="3">
        <v>10.31175</v>
      </c>
      <c r="H98" s="3">
        <v>-0.1504</v>
      </c>
      <c r="I98" s="3">
        <v>-21551.56</v>
      </c>
      <c r="J98" s="3">
        <v>-0.1522</v>
      </c>
      <c r="K98" s="3">
        <v>11664.0</v>
      </c>
    </row>
    <row r="99" ht="15.75" customHeight="1">
      <c r="A99" s="3" t="s">
        <v>542</v>
      </c>
      <c r="B99" s="3" t="s">
        <v>543</v>
      </c>
      <c r="C99" s="3" t="s">
        <v>467</v>
      </c>
      <c r="D99" s="18">
        <v>44498.0</v>
      </c>
      <c r="E99" s="3">
        <v>25.64195</v>
      </c>
      <c r="F99" s="18">
        <v>44624.0</v>
      </c>
      <c r="G99" s="3">
        <v>23.87155</v>
      </c>
      <c r="H99" s="3">
        <v>-0.069</v>
      </c>
      <c r="I99" s="3">
        <v>-11805.78</v>
      </c>
      <c r="J99" s="3">
        <v>-0.071</v>
      </c>
      <c r="K99" s="3">
        <v>6487.0</v>
      </c>
    </row>
    <row r="100" ht="15.75" customHeight="1">
      <c r="A100" s="3" t="s">
        <v>430</v>
      </c>
      <c r="B100" s="3" t="s">
        <v>431</v>
      </c>
      <c r="C100" s="3" t="s">
        <v>467</v>
      </c>
      <c r="D100" s="18">
        <v>44120.0</v>
      </c>
      <c r="E100" s="3">
        <v>15.53369</v>
      </c>
      <c r="F100" s="18">
        <v>44624.0</v>
      </c>
      <c r="G100" s="3">
        <v>19.69113</v>
      </c>
      <c r="H100" s="3">
        <v>0.2676</v>
      </c>
      <c r="I100" s="3">
        <v>35294.41</v>
      </c>
      <c r="J100" s="3">
        <v>0.2654</v>
      </c>
      <c r="K100" s="3">
        <v>8562.0</v>
      </c>
    </row>
    <row r="101" ht="15.75" customHeight="1">
      <c r="A101" s="3" t="s">
        <v>526</v>
      </c>
      <c r="B101" s="3" t="s">
        <v>527</v>
      </c>
      <c r="C101" s="3" t="s">
        <v>467</v>
      </c>
      <c r="D101" s="18">
        <v>44498.0</v>
      </c>
      <c r="E101" s="3">
        <v>4.372586</v>
      </c>
      <c r="F101" s="18">
        <v>44617.0</v>
      </c>
      <c r="G101" s="3">
        <v>4.647959</v>
      </c>
      <c r="H101" s="3">
        <v>0.063</v>
      </c>
      <c r="I101" s="3">
        <v>10133.65</v>
      </c>
      <c r="J101" s="3">
        <v>0.0609</v>
      </c>
      <c r="K101" s="3">
        <v>38046.0</v>
      </c>
    </row>
    <row r="102" ht="15.75" customHeight="1">
      <c r="A102" s="3" t="s">
        <v>544</v>
      </c>
      <c r="B102" s="3" t="s">
        <v>545</v>
      </c>
      <c r="C102" s="3" t="s">
        <v>467</v>
      </c>
      <c r="D102" s="18">
        <v>44120.0</v>
      </c>
      <c r="E102" s="3">
        <v>2.779515</v>
      </c>
      <c r="F102" s="18">
        <v>44617.0</v>
      </c>
      <c r="G102" s="3">
        <v>3.520267</v>
      </c>
      <c r="H102" s="3">
        <v>0.2665</v>
      </c>
      <c r="I102" s="3">
        <v>35161.9</v>
      </c>
      <c r="J102" s="3">
        <v>0.2642</v>
      </c>
      <c r="K102" s="3">
        <v>47875.0</v>
      </c>
    </row>
    <row r="103" ht="15.75" customHeight="1">
      <c r="A103" s="3" t="s">
        <v>546</v>
      </c>
      <c r="B103" s="3" t="s">
        <v>547</v>
      </c>
      <c r="C103" s="3" t="s">
        <v>467</v>
      </c>
      <c r="D103" s="18">
        <v>44561.0</v>
      </c>
      <c r="E103" s="3">
        <v>2.873677</v>
      </c>
      <c r="F103" s="18">
        <v>44596.0</v>
      </c>
      <c r="G103" s="3">
        <v>3.119452</v>
      </c>
      <c r="H103" s="3">
        <v>0.0855</v>
      </c>
      <c r="I103" s="3">
        <v>13897.52</v>
      </c>
      <c r="J103" s="3">
        <v>0.0834</v>
      </c>
      <c r="K103" s="3">
        <v>57959.0</v>
      </c>
    </row>
    <row r="104" ht="15.75" customHeight="1">
      <c r="A104" s="3" t="s">
        <v>548</v>
      </c>
      <c r="B104" s="3" t="s">
        <v>549</v>
      </c>
      <c r="C104" s="3" t="s">
        <v>467</v>
      </c>
      <c r="D104" s="18">
        <v>44561.0</v>
      </c>
      <c r="E104" s="3">
        <v>1.235326</v>
      </c>
      <c r="F104" s="18">
        <v>44596.0</v>
      </c>
      <c r="G104" s="3">
        <v>1.18863</v>
      </c>
      <c r="H104" s="3">
        <v>-0.0378</v>
      </c>
      <c r="I104" s="3">
        <v>-6624.37</v>
      </c>
      <c r="J104" s="3">
        <v>-0.0398</v>
      </c>
      <c r="K104" s="3">
        <v>134861.0</v>
      </c>
    </row>
    <row r="105" ht="15.75" customHeight="1">
      <c r="A105" s="3" t="s">
        <v>522</v>
      </c>
      <c r="B105" s="3" t="s">
        <v>523</v>
      </c>
      <c r="C105" s="3" t="s">
        <v>467</v>
      </c>
      <c r="D105" s="18">
        <v>44287.0</v>
      </c>
      <c r="E105" s="3">
        <v>43.18198</v>
      </c>
      <c r="F105" s="18">
        <v>44596.0</v>
      </c>
      <c r="G105" s="3">
        <v>36.84755</v>
      </c>
      <c r="H105" s="3">
        <v>-0.1467</v>
      </c>
      <c r="I105" s="3">
        <v>-21174.13</v>
      </c>
      <c r="J105" s="3">
        <v>-0.1485</v>
      </c>
      <c r="K105" s="3">
        <v>3301.0</v>
      </c>
    </row>
    <row r="106" ht="15.75" customHeight="1">
      <c r="A106" s="3" t="s">
        <v>550</v>
      </c>
      <c r="B106" s="3" t="s">
        <v>551</v>
      </c>
      <c r="C106" s="3" t="s">
        <v>467</v>
      </c>
      <c r="D106" s="18">
        <v>44120.0</v>
      </c>
      <c r="E106" s="3">
        <v>1.837551</v>
      </c>
      <c r="F106" s="18">
        <v>44596.0</v>
      </c>
      <c r="G106" s="3">
        <v>2.59</v>
      </c>
      <c r="H106" s="3">
        <v>0.4095</v>
      </c>
      <c r="I106" s="3">
        <v>54129.08</v>
      </c>
      <c r="J106" s="3">
        <v>0.4071</v>
      </c>
      <c r="K106" s="3">
        <v>72363.0</v>
      </c>
    </row>
    <row r="107" ht="15.75" customHeight="1">
      <c r="A107" s="3" t="s">
        <v>552</v>
      </c>
      <c r="B107" s="3" t="s">
        <v>553</v>
      </c>
      <c r="C107" s="3" t="s">
        <v>467</v>
      </c>
      <c r="D107" s="18">
        <v>44015.0</v>
      </c>
      <c r="E107" s="3">
        <v>26.29653</v>
      </c>
      <c r="F107" s="18">
        <v>44596.0</v>
      </c>
      <c r="G107" s="3">
        <v>31.77464</v>
      </c>
      <c r="H107" s="3">
        <v>0.2083</v>
      </c>
      <c r="I107" s="3">
        <v>23533.81</v>
      </c>
      <c r="J107" s="3">
        <v>0.2061</v>
      </c>
      <c r="K107" s="3">
        <v>4342.0</v>
      </c>
    </row>
    <row r="108" ht="15.75" customHeight="1">
      <c r="A108" s="3" t="s">
        <v>554</v>
      </c>
      <c r="B108" s="3" t="s">
        <v>555</v>
      </c>
      <c r="C108" s="3" t="s">
        <v>467</v>
      </c>
      <c r="D108" s="18">
        <v>44015.0</v>
      </c>
      <c r="E108" s="3">
        <v>9.817721</v>
      </c>
      <c r="F108" s="18">
        <v>44596.0</v>
      </c>
      <c r="G108" s="3">
        <v>22.83706</v>
      </c>
      <c r="H108" s="3">
        <v>1.3261</v>
      </c>
      <c r="I108" s="3">
        <v>151074.11</v>
      </c>
      <c r="J108" s="3">
        <v>1.3228</v>
      </c>
      <c r="K108" s="3">
        <v>11633.0</v>
      </c>
    </row>
    <row r="109" ht="15.75" customHeight="1">
      <c r="A109" s="3" t="s">
        <v>556</v>
      </c>
      <c r="B109" s="3" t="s">
        <v>557</v>
      </c>
      <c r="C109" s="3" t="s">
        <v>467</v>
      </c>
      <c r="D109" s="18">
        <v>44287.0</v>
      </c>
      <c r="E109" s="3">
        <v>4.188775</v>
      </c>
      <c r="F109" s="18">
        <v>44589.0</v>
      </c>
      <c r="G109" s="3">
        <v>6.078569</v>
      </c>
      <c r="H109" s="3">
        <v>0.4512</v>
      </c>
      <c r="I109" s="3">
        <v>63960.29</v>
      </c>
      <c r="J109" s="3">
        <v>0.4487</v>
      </c>
      <c r="K109" s="3">
        <v>34030.0</v>
      </c>
    </row>
    <row r="110" ht="15.75" customHeight="1">
      <c r="A110" s="3" t="s">
        <v>558</v>
      </c>
      <c r="B110" s="3" t="s">
        <v>559</v>
      </c>
      <c r="C110" s="3" t="s">
        <v>467</v>
      </c>
      <c r="D110" s="18">
        <v>44498.0</v>
      </c>
      <c r="E110" s="3">
        <v>16.64627</v>
      </c>
      <c r="F110" s="18">
        <v>44540.0</v>
      </c>
      <c r="G110" s="3">
        <v>14.44071</v>
      </c>
      <c r="H110" s="3">
        <v>-0.1325</v>
      </c>
      <c r="I110" s="3">
        <v>-22346.34</v>
      </c>
      <c r="J110" s="3">
        <v>-0.1344</v>
      </c>
      <c r="K110" s="3">
        <v>9991.0</v>
      </c>
    </row>
    <row r="111" ht="15.75" customHeight="1">
      <c r="A111" s="3" t="s">
        <v>514</v>
      </c>
      <c r="B111" s="3" t="s">
        <v>515</v>
      </c>
      <c r="C111" s="3" t="s">
        <v>467</v>
      </c>
      <c r="D111" s="18">
        <v>44287.0</v>
      </c>
      <c r="E111" s="3">
        <v>9.16762</v>
      </c>
      <c r="F111" s="18">
        <v>44533.0</v>
      </c>
      <c r="G111" s="3">
        <v>10.96053</v>
      </c>
      <c r="H111" s="3">
        <v>0.1956</v>
      </c>
      <c r="I111" s="3">
        <v>27559.67</v>
      </c>
      <c r="J111" s="3">
        <v>0.1934</v>
      </c>
      <c r="K111" s="3">
        <v>15546.0</v>
      </c>
    </row>
    <row r="112" ht="15.75" customHeight="1">
      <c r="A112" s="3" t="s">
        <v>510</v>
      </c>
      <c r="B112" s="3" t="s">
        <v>511</v>
      </c>
      <c r="C112" s="3" t="s">
        <v>467</v>
      </c>
      <c r="D112" s="18">
        <v>44274.0</v>
      </c>
      <c r="E112" s="3">
        <v>25.32674</v>
      </c>
      <c r="F112" s="18">
        <v>44526.0</v>
      </c>
      <c r="G112" s="3">
        <v>31.25607</v>
      </c>
      <c r="H112" s="3">
        <v>0.2341</v>
      </c>
      <c r="I112" s="3">
        <v>32822.78</v>
      </c>
      <c r="J112" s="3">
        <v>0.2319</v>
      </c>
      <c r="K112" s="3">
        <v>5589.0</v>
      </c>
    </row>
    <row r="113" ht="15.75" customHeight="1">
      <c r="A113" s="3" t="s">
        <v>259</v>
      </c>
      <c r="B113" s="3" t="s">
        <v>468</v>
      </c>
      <c r="C113" s="3" t="s">
        <v>467</v>
      </c>
      <c r="D113" s="18">
        <v>44120.0</v>
      </c>
      <c r="E113" s="3">
        <v>22.64801</v>
      </c>
      <c r="F113" s="18">
        <v>44484.0</v>
      </c>
      <c r="G113" s="3">
        <v>32.30751</v>
      </c>
      <c r="H113" s="3">
        <v>0.4265</v>
      </c>
      <c r="I113" s="3">
        <v>56407.49</v>
      </c>
      <c r="J113" s="3">
        <v>0.4241</v>
      </c>
      <c r="K113" s="3">
        <v>5873.0</v>
      </c>
    </row>
    <row r="114" ht="15.75" customHeight="1">
      <c r="A114" s="3" t="s">
        <v>207</v>
      </c>
      <c r="B114" s="3" t="s">
        <v>208</v>
      </c>
      <c r="C114" s="3" t="s">
        <v>467</v>
      </c>
      <c r="D114" s="18">
        <v>44169.0</v>
      </c>
      <c r="E114" s="3">
        <v>29.23884</v>
      </c>
      <c r="F114" s="18">
        <v>44463.0</v>
      </c>
      <c r="G114" s="3">
        <v>45.02612</v>
      </c>
      <c r="H114" s="3">
        <v>0.5399</v>
      </c>
      <c r="I114" s="3">
        <v>72405.57</v>
      </c>
      <c r="J114" s="3">
        <v>0.5374</v>
      </c>
      <c r="K114" s="3">
        <v>4608.0</v>
      </c>
    </row>
    <row r="115" ht="15.75" customHeight="1">
      <c r="A115" s="3" t="s">
        <v>540</v>
      </c>
      <c r="B115" s="3" t="s">
        <v>541</v>
      </c>
      <c r="C115" s="3" t="s">
        <v>467</v>
      </c>
      <c r="D115" s="18">
        <v>44148.0</v>
      </c>
      <c r="E115" s="3">
        <v>10.29007</v>
      </c>
      <c r="F115" s="18">
        <v>44260.0</v>
      </c>
      <c r="G115" s="3">
        <v>10.67385</v>
      </c>
      <c r="H115" s="3">
        <v>0.0373</v>
      </c>
      <c r="I115" s="3">
        <v>4879.15</v>
      </c>
      <c r="J115" s="3">
        <v>0.0353</v>
      </c>
      <c r="K115" s="3">
        <v>13448.0</v>
      </c>
    </row>
    <row r="116" ht="15.75" customHeight="1">
      <c r="A116" s="3" t="s">
        <v>560</v>
      </c>
      <c r="B116" s="3" t="s">
        <v>561</v>
      </c>
      <c r="C116" s="3" t="s">
        <v>467</v>
      </c>
      <c r="D116" s="18">
        <v>44120.0</v>
      </c>
      <c r="E116" s="3">
        <v>114.0</v>
      </c>
      <c r="F116" s="18">
        <v>44260.0</v>
      </c>
      <c r="G116" s="3">
        <v>120.75</v>
      </c>
      <c r="H116" s="3">
        <v>0.0592</v>
      </c>
      <c r="I116" s="3">
        <v>7596.78</v>
      </c>
      <c r="J116" s="3">
        <v>0.0572</v>
      </c>
      <c r="K116" s="3">
        <v>1166.0</v>
      </c>
    </row>
    <row r="117" ht="15.75" customHeight="1">
      <c r="A117" s="3" t="s">
        <v>562</v>
      </c>
      <c r="B117" s="3" t="s">
        <v>563</v>
      </c>
      <c r="C117" s="3" t="s">
        <v>467</v>
      </c>
      <c r="D117" s="18">
        <v>44120.0</v>
      </c>
      <c r="E117" s="3">
        <v>3.713091</v>
      </c>
      <c r="F117" s="18">
        <v>44260.0</v>
      </c>
      <c r="G117" s="3">
        <v>4.197003</v>
      </c>
      <c r="H117" s="3">
        <v>0.1303</v>
      </c>
      <c r="I117" s="3">
        <v>17054.67</v>
      </c>
      <c r="J117" s="3">
        <v>0.1282</v>
      </c>
      <c r="K117" s="3">
        <v>35829.0</v>
      </c>
    </row>
    <row r="118" ht="15.75" customHeight="1">
      <c r="A118" s="3" t="s">
        <v>564</v>
      </c>
      <c r="B118" s="3" t="s">
        <v>565</v>
      </c>
      <c r="C118" s="3" t="s">
        <v>467</v>
      </c>
      <c r="D118" s="18">
        <v>44120.0</v>
      </c>
      <c r="E118" s="3">
        <v>12.65776</v>
      </c>
      <c r="F118" s="18">
        <v>44260.0</v>
      </c>
      <c r="G118" s="3">
        <v>10.93349</v>
      </c>
      <c r="H118" s="3">
        <v>-0.1362</v>
      </c>
      <c r="I118" s="3">
        <v>-18377.01</v>
      </c>
      <c r="J118" s="3">
        <v>-0.1381</v>
      </c>
      <c r="K118" s="3">
        <v>10514.0</v>
      </c>
    </row>
    <row r="119" ht="15.75" customHeight="1">
      <c r="A119" s="3" t="s">
        <v>558</v>
      </c>
      <c r="B119" s="3" t="s">
        <v>559</v>
      </c>
      <c r="C119" s="3" t="s">
        <v>467</v>
      </c>
      <c r="D119" s="18">
        <v>44008.0</v>
      </c>
      <c r="E119" s="3">
        <v>8.585172</v>
      </c>
      <c r="F119" s="18">
        <v>44260.0</v>
      </c>
      <c r="G119" s="3">
        <v>13.17373</v>
      </c>
      <c r="H119" s="3">
        <v>0.5345</v>
      </c>
      <c r="I119" s="3">
        <v>60756.72</v>
      </c>
      <c r="J119" s="3">
        <v>0.5319</v>
      </c>
      <c r="K119" s="3">
        <v>13304.0</v>
      </c>
    </row>
    <row r="120" ht="15.75" customHeight="1">
      <c r="A120" s="3" t="s">
        <v>566</v>
      </c>
      <c r="B120" s="3" t="s">
        <v>567</v>
      </c>
      <c r="C120" s="3" t="s">
        <v>467</v>
      </c>
      <c r="D120" s="18">
        <v>44022.0</v>
      </c>
      <c r="E120" s="3">
        <v>5.784788</v>
      </c>
      <c r="F120" s="18">
        <v>44230.0</v>
      </c>
      <c r="G120" s="3">
        <v>4.792543</v>
      </c>
      <c r="H120" s="3">
        <v>-0.1715</v>
      </c>
      <c r="I120" s="3">
        <v>-20645.1</v>
      </c>
      <c r="J120" s="3">
        <v>-0.1734</v>
      </c>
      <c r="K120" s="3">
        <v>20587.0</v>
      </c>
    </row>
    <row r="121" ht="15.75" customHeight="1">
      <c r="A121" s="3" t="s">
        <v>568</v>
      </c>
      <c r="B121" s="3" t="s">
        <v>569</v>
      </c>
      <c r="C121" s="3" t="s">
        <v>467</v>
      </c>
      <c r="D121" s="18">
        <v>44022.0</v>
      </c>
      <c r="E121" s="3">
        <v>27.71538</v>
      </c>
      <c r="F121" s="18">
        <v>44204.0</v>
      </c>
      <c r="G121" s="3">
        <v>22.47868</v>
      </c>
      <c r="H121" s="3">
        <v>-0.1889</v>
      </c>
      <c r="I121" s="3">
        <v>-22712.5</v>
      </c>
      <c r="J121" s="3">
        <v>-0.1908</v>
      </c>
      <c r="K121" s="3">
        <v>4296.0</v>
      </c>
    </row>
    <row r="122" ht="15.75" customHeight="1">
      <c r="A122" s="3" t="s">
        <v>570</v>
      </c>
      <c r="B122" s="3" t="s">
        <v>571</v>
      </c>
      <c r="C122" s="3" t="s">
        <v>467</v>
      </c>
      <c r="D122" s="18">
        <v>43987.0</v>
      </c>
      <c r="E122" s="3">
        <v>74.73531</v>
      </c>
      <c r="F122" s="18">
        <v>44169.0</v>
      </c>
      <c r="G122" s="3">
        <v>66.85473</v>
      </c>
      <c r="H122" s="3">
        <v>-0.1054</v>
      </c>
      <c r="I122" s="3">
        <v>-12249.88</v>
      </c>
      <c r="J122" s="3">
        <v>-0.1073</v>
      </c>
      <c r="K122" s="3">
        <v>1527.0</v>
      </c>
    </row>
    <row r="123" ht="15.75" customHeight="1">
      <c r="A123" s="3" t="s">
        <v>248</v>
      </c>
      <c r="B123" s="3" t="s">
        <v>98</v>
      </c>
      <c r="C123" s="3" t="s">
        <v>467</v>
      </c>
      <c r="D123" s="18">
        <v>44008.0</v>
      </c>
      <c r="E123" s="3">
        <v>60.5911</v>
      </c>
      <c r="F123" s="18">
        <v>44141.0</v>
      </c>
      <c r="G123" s="3">
        <v>75.80659</v>
      </c>
      <c r="H123" s="3">
        <v>0.2511</v>
      </c>
      <c r="I123" s="3">
        <v>28424.11</v>
      </c>
      <c r="J123" s="3">
        <v>0.2489</v>
      </c>
      <c r="K123" s="3">
        <v>1885.0</v>
      </c>
    </row>
    <row r="124" ht="15.75" customHeight="1">
      <c r="A124" s="3" t="s">
        <v>572</v>
      </c>
      <c r="B124" s="3" t="s">
        <v>573</v>
      </c>
      <c r="C124" s="3" t="s">
        <v>467</v>
      </c>
      <c r="D124" s="18">
        <v>43994.0</v>
      </c>
      <c r="E124" s="3">
        <v>6.010513</v>
      </c>
      <c r="F124" s="18">
        <v>44106.0</v>
      </c>
      <c r="G124" s="3">
        <v>6.392845</v>
      </c>
      <c r="H124" s="3">
        <v>0.0636</v>
      </c>
      <c r="I124" s="3">
        <v>7078.21</v>
      </c>
      <c r="J124" s="3">
        <v>0.0615</v>
      </c>
      <c r="K124" s="3">
        <v>19134.0</v>
      </c>
    </row>
    <row r="125" ht="15.75" customHeight="1">
      <c r="A125" s="3" t="s">
        <v>574</v>
      </c>
      <c r="B125" s="3" t="s">
        <v>575</v>
      </c>
      <c r="C125" s="3" t="s">
        <v>467</v>
      </c>
      <c r="D125" s="18">
        <v>43994.0</v>
      </c>
      <c r="E125" s="3">
        <v>8.752375</v>
      </c>
      <c r="F125" s="18">
        <v>44099.0</v>
      </c>
      <c r="G125" s="3">
        <v>9.968106</v>
      </c>
      <c r="H125" s="3">
        <v>0.1389</v>
      </c>
      <c r="I125" s="3">
        <v>15731.23</v>
      </c>
      <c r="J125" s="3">
        <v>0.1368</v>
      </c>
      <c r="K125" s="3">
        <v>13142.0</v>
      </c>
    </row>
    <row r="126" ht="15.75" customHeight="1">
      <c r="A126" s="3" t="s">
        <v>207</v>
      </c>
      <c r="B126" s="3" t="s">
        <v>208</v>
      </c>
      <c r="C126" s="3" t="s">
        <v>467</v>
      </c>
      <c r="D126" s="18">
        <v>44001.0</v>
      </c>
      <c r="E126" s="3">
        <v>17.74579</v>
      </c>
      <c r="F126" s="18">
        <v>44092.0</v>
      </c>
      <c r="G126" s="3">
        <v>24.75797</v>
      </c>
      <c r="H126" s="3">
        <v>0.3951</v>
      </c>
      <c r="I126" s="3">
        <v>44717.44</v>
      </c>
      <c r="J126" s="3">
        <v>0.3928</v>
      </c>
      <c r="K126" s="3">
        <v>6416.0</v>
      </c>
    </row>
    <row r="127" ht="15.75" customHeight="1">
      <c r="A127" s="3" t="s">
        <v>576</v>
      </c>
      <c r="B127" s="3" t="s">
        <v>577</v>
      </c>
      <c r="C127" s="3" t="s">
        <v>467</v>
      </c>
      <c r="D127" s="18">
        <v>44022.0</v>
      </c>
      <c r="E127" s="3">
        <v>2.48</v>
      </c>
      <c r="F127" s="18">
        <v>44092.0</v>
      </c>
      <c r="G127" s="3">
        <v>2.52</v>
      </c>
      <c r="H127" s="3">
        <v>0.0161</v>
      </c>
      <c r="I127" s="3">
        <v>1680.98</v>
      </c>
      <c r="J127" s="3">
        <v>0.0141</v>
      </c>
      <c r="K127" s="3">
        <v>48028.0</v>
      </c>
    </row>
    <row r="128" ht="15.75" customHeight="1">
      <c r="A128" s="3" t="s">
        <v>578</v>
      </c>
      <c r="B128" s="3" t="s">
        <v>579</v>
      </c>
      <c r="C128" s="3" t="s">
        <v>467</v>
      </c>
      <c r="D128" s="18">
        <v>43987.0</v>
      </c>
      <c r="E128" s="3">
        <v>30.62832</v>
      </c>
      <c r="F128" s="18">
        <v>44085.0</v>
      </c>
      <c r="G128" s="3">
        <v>32.45008</v>
      </c>
      <c r="H128" s="3">
        <v>0.0595</v>
      </c>
      <c r="I128" s="3">
        <v>6551.09</v>
      </c>
      <c r="J128" s="3">
        <v>0.0574</v>
      </c>
      <c r="K128" s="3">
        <v>3725.0</v>
      </c>
    </row>
    <row r="129" ht="15.75" customHeight="1">
      <c r="A129" s="3" t="s">
        <v>564</v>
      </c>
      <c r="B129" s="3" t="s">
        <v>565</v>
      </c>
      <c r="C129" s="3" t="s">
        <v>467</v>
      </c>
      <c r="D129" s="18">
        <v>44022.0</v>
      </c>
      <c r="E129" s="3">
        <v>10.8943</v>
      </c>
      <c r="F129" s="18">
        <v>44085.0</v>
      </c>
      <c r="G129" s="3">
        <v>10.91389</v>
      </c>
      <c r="H129" s="3">
        <v>0.0018</v>
      </c>
      <c r="I129" s="3">
        <v>-24.24</v>
      </c>
      <c r="J129" s="3">
        <v>-2.0E-4</v>
      </c>
      <c r="K129" s="3">
        <v>10930.0</v>
      </c>
    </row>
    <row r="130" ht="15.75" customHeight="1">
      <c r="A130" s="3" t="s">
        <v>580</v>
      </c>
      <c r="B130" s="3" t="s">
        <v>581</v>
      </c>
      <c r="C130" s="3" t="s">
        <v>467</v>
      </c>
      <c r="D130" s="18">
        <v>44008.0</v>
      </c>
      <c r="E130" s="3">
        <v>29.47292</v>
      </c>
      <c r="F130" s="18">
        <v>44085.0</v>
      </c>
      <c r="G130" s="3">
        <v>27.7184</v>
      </c>
      <c r="H130" s="3">
        <v>-0.0595</v>
      </c>
      <c r="I130" s="3">
        <v>-7022.19</v>
      </c>
      <c r="J130" s="3">
        <v>-0.0615</v>
      </c>
      <c r="K130" s="3">
        <v>3876.0</v>
      </c>
    </row>
    <row r="131" ht="15.75" customHeight="1">
      <c r="A131" s="3" t="s">
        <v>582</v>
      </c>
      <c r="B131" s="3" t="s">
        <v>583</v>
      </c>
      <c r="C131" s="3" t="s">
        <v>467</v>
      </c>
      <c r="D131" s="18">
        <v>43987.0</v>
      </c>
      <c r="E131" s="3">
        <v>46.53</v>
      </c>
      <c r="F131" s="18">
        <v>44085.0</v>
      </c>
      <c r="G131" s="3">
        <v>76.55</v>
      </c>
      <c r="H131" s="3">
        <v>0.6452</v>
      </c>
      <c r="I131" s="3">
        <v>73307.25</v>
      </c>
      <c r="J131" s="3">
        <v>0.6425</v>
      </c>
      <c r="K131" s="3">
        <v>2452.0</v>
      </c>
    </row>
    <row r="132" ht="15.75" customHeight="1">
      <c r="A132" s="3" t="s">
        <v>584</v>
      </c>
      <c r="B132" s="3" t="s">
        <v>519</v>
      </c>
      <c r="C132" s="3" t="s">
        <v>467</v>
      </c>
      <c r="D132" s="18">
        <v>44008.0</v>
      </c>
      <c r="E132" s="3">
        <v>8.46111</v>
      </c>
      <c r="F132" s="18">
        <v>44011.0</v>
      </c>
      <c r="G132" s="3">
        <v>8.291512</v>
      </c>
      <c r="H132" s="3">
        <v>-0.02</v>
      </c>
      <c r="I132" s="3">
        <v>-2515.2</v>
      </c>
      <c r="J132" s="3">
        <v>-0.022</v>
      </c>
      <c r="K132" s="3">
        <v>13497.0</v>
      </c>
    </row>
    <row r="133" ht="15.75" customHeight="1">
      <c r="A133" s="3" t="s">
        <v>473</v>
      </c>
      <c r="B133" s="3" t="s">
        <v>474</v>
      </c>
      <c r="C133" s="3" t="s">
        <v>467</v>
      </c>
      <c r="D133" s="18">
        <v>42307.0</v>
      </c>
      <c r="E133" s="3">
        <v>1.725831</v>
      </c>
      <c r="F133" s="18">
        <v>43917.0</v>
      </c>
      <c r="G133" s="3">
        <v>2.482676</v>
      </c>
      <c r="H133" s="3">
        <v>0.4385</v>
      </c>
      <c r="I133" s="3">
        <v>28893.71</v>
      </c>
      <c r="J133" s="3">
        <v>0.4361</v>
      </c>
      <c r="K133" s="3">
        <v>38390.0</v>
      </c>
    </row>
    <row r="134" ht="15.75" customHeight="1">
      <c r="A134" s="3" t="s">
        <v>564</v>
      </c>
      <c r="B134" s="3" t="s">
        <v>565</v>
      </c>
      <c r="C134" s="3" t="s">
        <v>467</v>
      </c>
      <c r="D134" s="18">
        <v>43504.0</v>
      </c>
      <c r="E134" s="3">
        <v>6.661981</v>
      </c>
      <c r="F134" s="18">
        <v>43910.0</v>
      </c>
      <c r="G134" s="3">
        <v>6.661981</v>
      </c>
      <c r="H134" s="3">
        <v>0.0</v>
      </c>
      <c r="I134" s="3">
        <v>-224.99</v>
      </c>
      <c r="J134" s="3">
        <v>-0.002</v>
      </c>
      <c r="K134" s="3">
        <v>16886.0</v>
      </c>
    </row>
    <row r="135" ht="15.75" customHeight="1">
      <c r="A135" s="3" t="s">
        <v>585</v>
      </c>
      <c r="B135" s="3" t="s">
        <v>586</v>
      </c>
      <c r="C135" s="3" t="s">
        <v>467</v>
      </c>
      <c r="D135" s="18">
        <v>42650.0</v>
      </c>
      <c r="E135" s="3">
        <v>1.993241</v>
      </c>
      <c r="F135" s="18">
        <v>43910.0</v>
      </c>
      <c r="G135" s="3">
        <v>2.485484</v>
      </c>
      <c r="H135" s="3">
        <v>0.247</v>
      </c>
      <c r="I135" s="3">
        <v>18898.91</v>
      </c>
      <c r="J135" s="3">
        <v>0.2447</v>
      </c>
      <c r="K135" s="3">
        <v>38746.0</v>
      </c>
    </row>
    <row r="136" ht="15.75" customHeight="1">
      <c r="A136" s="3" t="s">
        <v>587</v>
      </c>
      <c r="B136" s="3" t="s">
        <v>588</v>
      </c>
      <c r="C136" s="3" t="s">
        <v>467</v>
      </c>
      <c r="D136" s="18">
        <v>43819.0</v>
      </c>
      <c r="E136" s="3">
        <v>3.704627</v>
      </c>
      <c r="F136" s="18">
        <v>43896.0</v>
      </c>
      <c r="G136" s="3">
        <v>2.652585</v>
      </c>
      <c r="H136" s="3">
        <v>-0.284</v>
      </c>
      <c r="I136" s="3">
        <v>-36908.5</v>
      </c>
      <c r="J136" s="3">
        <v>-0.2857</v>
      </c>
      <c r="K136" s="3">
        <v>34872.0</v>
      </c>
    </row>
    <row r="137" ht="15.75" customHeight="1">
      <c r="A137" s="3" t="s">
        <v>479</v>
      </c>
      <c r="B137" s="3" t="s">
        <v>480</v>
      </c>
      <c r="C137" s="3" t="s">
        <v>467</v>
      </c>
      <c r="D137" s="18">
        <v>43763.0</v>
      </c>
      <c r="E137" s="3">
        <v>3.569427</v>
      </c>
      <c r="F137" s="18">
        <v>43896.0</v>
      </c>
      <c r="G137" s="3">
        <v>2.928316</v>
      </c>
      <c r="H137" s="3">
        <v>-0.1796</v>
      </c>
      <c r="I137" s="3">
        <v>-22943.48</v>
      </c>
      <c r="J137" s="3">
        <v>-0.1814</v>
      </c>
      <c r="K137" s="3">
        <v>35428.0</v>
      </c>
    </row>
    <row r="138" ht="15.75" customHeight="1">
      <c r="A138" s="3" t="s">
        <v>589</v>
      </c>
      <c r="B138" s="3" t="s">
        <v>590</v>
      </c>
      <c r="C138" s="3" t="s">
        <v>467</v>
      </c>
      <c r="D138" s="18">
        <v>43721.0</v>
      </c>
      <c r="E138" s="3">
        <v>5.780077</v>
      </c>
      <c r="F138" s="18">
        <v>43896.0</v>
      </c>
      <c r="G138" s="3">
        <v>4.919689</v>
      </c>
      <c r="H138" s="3">
        <v>-0.1489</v>
      </c>
      <c r="I138" s="3">
        <v>-19919.16</v>
      </c>
      <c r="J138" s="3">
        <v>-0.1507</v>
      </c>
      <c r="K138" s="3">
        <v>22867.0</v>
      </c>
    </row>
    <row r="139" ht="15.75" customHeight="1">
      <c r="A139" s="3" t="s">
        <v>491</v>
      </c>
      <c r="B139" s="3" t="s">
        <v>492</v>
      </c>
      <c r="C139" s="3" t="s">
        <v>467</v>
      </c>
      <c r="D139" s="18">
        <v>43721.0</v>
      </c>
      <c r="E139" s="3">
        <v>5.064734</v>
      </c>
      <c r="F139" s="18">
        <v>43896.0</v>
      </c>
      <c r="G139" s="3">
        <v>4.382425</v>
      </c>
      <c r="H139" s="3">
        <v>-0.1347</v>
      </c>
      <c r="I139" s="3">
        <v>-18054.84</v>
      </c>
      <c r="J139" s="3">
        <v>-0.1366</v>
      </c>
      <c r="K139" s="3">
        <v>26100.0</v>
      </c>
    </row>
    <row r="140" ht="15.75" customHeight="1">
      <c r="A140" s="3" t="s">
        <v>363</v>
      </c>
      <c r="B140" s="3" t="s">
        <v>364</v>
      </c>
      <c r="C140" s="3" t="s">
        <v>467</v>
      </c>
      <c r="D140" s="18">
        <v>43714.0</v>
      </c>
      <c r="E140" s="3">
        <v>2.137599</v>
      </c>
      <c r="F140" s="18">
        <v>43896.0</v>
      </c>
      <c r="G140" s="3">
        <v>1.513148</v>
      </c>
      <c r="H140" s="3">
        <v>-0.2921</v>
      </c>
      <c r="I140" s="3">
        <v>-38152.78</v>
      </c>
      <c r="J140" s="3">
        <v>-0.2938</v>
      </c>
      <c r="K140" s="3">
        <v>60743.0</v>
      </c>
    </row>
    <row r="141" ht="15.75" customHeight="1">
      <c r="A141" s="3" t="s">
        <v>582</v>
      </c>
      <c r="B141" s="3" t="s">
        <v>583</v>
      </c>
      <c r="C141" s="3" t="s">
        <v>467</v>
      </c>
      <c r="D141" s="18">
        <v>43714.0</v>
      </c>
      <c r="E141" s="3">
        <v>30.9</v>
      </c>
      <c r="F141" s="18">
        <v>43896.0</v>
      </c>
      <c r="G141" s="3">
        <v>32.18</v>
      </c>
      <c r="H141" s="3">
        <v>0.0414</v>
      </c>
      <c r="I141" s="3">
        <v>5113.5</v>
      </c>
      <c r="J141" s="3">
        <v>0.0394</v>
      </c>
      <c r="K141" s="3">
        <v>4202.0</v>
      </c>
    </row>
    <row r="142" ht="15.75" customHeight="1">
      <c r="A142" s="3" t="s">
        <v>591</v>
      </c>
      <c r="B142" s="3" t="s">
        <v>592</v>
      </c>
      <c r="C142" s="3" t="s">
        <v>467</v>
      </c>
      <c r="D142" s="18">
        <v>43714.0</v>
      </c>
      <c r="E142" s="3">
        <v>6.69</v>
      </c>
      <c r="F142" s="18">
        <v>43896.0</v>
      </c>
      <c r="G142" s="3">
        <v>6.65</v>
      </c>
      <c r="H142" s="3">
        <v>-0.006</v>
      </c>
      <c r="I142" s="3">
        <v>-1035.49</v>
      </c>
      <c r="J142" s="3">
        <v>-0.008</v>
      </c>
      <c r="K142" s="3">
        <v>19413.0</v>
      </c>
    </row>
    <row r="143" ht="15.75" customHeight="1">
      <c r="A143" s="3" t="s">
        <v>393</v>
      </c>
      <c r="B143" s="3" t="s">
        <v>394</v>
      </c>
      <c r="C143" s="3" t="s">
        <v>467</v>
      </c>
      <c r="D143" s="18">
        <v>43714.0</v>
      </c>
      <c r="E143" s="3">
        <v>36.00381</v>
      </c>
      <c r="F143" s="18">
        <v>43896.0</v>
      </c>
      <c r="G143" s="3">
        <v>19.30615</v>
      </c>
      <c r="H143" s="3">
        <v>-0.4638</v>
      </c>
      <c r="I143" s="3">
        <v>-60444.72</v>
      </c>
      <c r="J143" s="3">
        <v>-0.4653</v>
      </c>
      <c r="K143" s="3">
        <v>3608.0</v>
      </c>
    </row>
    <row r="144" ht="15.75" customHeight="1">
      <c r="A144" s="3" t="s">
        <v>593</v>
      </c>
      <c r="B144" s="3" t="s">
        <v>594</v>
      </c>
      <c r="C144" s="3" t="s">
        <v>467</v>
      </c>
      <c r="D144" s="18">
        <v>43609.0</v>
      </c>
      <c r="E144" s="3">
        <v>25.52162</v>
      </c>
      <c r="F144" s="18">
        <v>43896.0</v>
      </c>
      <c r="G144" s="3">
        <v>30.32648</v>
      </c>
      <c r="H144" s="3">
        <v>0.1883</v>
      </c>
      <c r="I144" s="3">
        <v>24215.21</v>
      </c>
      <c r="J144" s="3">
        <v>0.1861</v>
      </c>
      <c r="K144" s="3">
        <v>5099.0</v>
      </c>
    </row>
    <row r="145" ht="15.75" customHeight="1">
      <c r="A145" s="3" t="s">
        <v>595</v>
      </c>
      <c r="B145" s="3" t="s">
        <v>596</v>
      </c>
      <c r="C145" s="3" t="s">
        <v>467</v>
      </c>
      <c r="D145" s="18">
        <v>43497.0</v>
      </c>
      <c r="E145" s="3">
        <v>2.340436</v>
      </c>
      <c r="F145" s="18">
        <v>43896.0</v>
      </c>
      <c r="G145" s="3">
        <v>2.596925</v>
      </c>
      <c r="H145" s="3">
        <v>0.1096</v>
      </c>
      <c r="I145" s="3">
        <v>11877.51</v>
      </c>
      <c r="J145" s="3">
        <v>0.1075</v>
      </c>
      <c r="K145" s="3">
        <v>47217.0</v>
      </c>
    </row>
    <row r="146" ht="15.75" customHeight="1">
      <c r="A146" s="3" t="s">
        <v>574</v>
      </c>
      <c r="B146" s="3" t="s">
        <v>575</v>
      </c>
      <c r="C146" s="3" t="s">
        <v>467</v>
      </c>
      <c r="D146" s="18">
        <v>43483.0</v>
      </c>
      <c r="E146" s="3">
        <v>2.110858</v>
      </c>
      <c r="F146" s="18">
        <v>43896.0</v>
      </c>
      <c r="G146" s="3">
        <v>5.245648</v>
      </c>
      <c r="H146" s="3">
        <v>1.4851</v>
      </c>
      <c r="I146" s="3">
        <v>161791.47</v>
      </c>
      <c r="J146" s="3">
        <v>1.4816</v>
      </c>
      <c r="K146" s="3">
        <v>51733.0</v>
      </c>
    </row>
    <row r="147" ht="15.75" customHeight="1">
      <c r="A147" s="3" t="s">
        <v>568</v>
      </c>
      <c r="B147" s="3" t="s">
        <v>569</v>
      </c>
      <c r="C147" s="3" t="s">
        <v>467</v>
      </c>
      <c r="D147" s="18">
        <v>43483.0</v>
      </c>
      <c r="E147" s="3">
        <v>20.13663</v>
      </c>
      <c r="F147" s="18">
        <v>43896.0</v>
      </c>
      <c r="G147" s="3">
        <v>21.46065</v>
      </c>
      <c r="H147" s="3">
        <v>0.0658</v>
      </c>
      <c r="I147" s="3">
        <v>6954.58</v>
      </c>
      <c r="J147" s="3">
        <v>0.0637</v>
      </c>
      <c r="K147" s="3">
        <v>5423.0</v>
      </c>
    </row>
    <row r="148" ht="15.75" customHeight="1">
      <c r="A148" s="3" t="s">
        <v>550</v>
      </c>
      <c r="B148" s="3" t="s">
        <v>551</v>
      </c>
      <c r="C148" s="3" t="s">
        <v>467</v>
      </c>
      <c r="D148" s="18">
        <v>41250.0</v>
      </c>
      <c r="E148" s="3">
        <v>0.6356159</v>
      </c>
      <c r="F148" s="18">
        <v>43812.0</v>
      </c>
      <c r="G148" s="3">
        <v>1.516236</v>
      </c>
      <c r="H148" s="3">
        <v>1.3855</v>
      </c>
      <c r="I148" s="3">
        <v>67347.77</v>
      </c>
      <c r="J148" s="3">
        <v>1.3821</v>
      </c>
      <c r="K148" s="3">
        <v>76665.0</v>
      </c>
    </row>
    <row r="149" ht="15.75" customHeight="1">
      <c r="A149" s="3" t="s">
        <v>489</v>
      </c>
      <c r="B149" s="3" t="s">
        <v>490</v>
      </c>
      <c r="C149" s="3" t="s">
        <v>467</v>
      </c>
      <c r="D149" s="18">
        <v>43714.0</v>
      </c>
      <c r="E149" s="3">
        <v>36.29581</v>
      </c>
      <c r="F149" s="18">
        <v>43763.0</v>
      </c>
      <c r="G149" s="3">
        <v>26.51852</v>
      </c>
      <c r="H149" s="3">
        <v>-0.2694</v>
      </c>
      <c r="I149" s="3">
        <v>-35207.89</v>
      </c>
      <c r="J149" s="3">
        <v>-0.2711</v>
      </c>
      <c r="K149" s="3">
        <v>3578.0</v>
      </c>
    </row>
    <row r="150" ht="15.75" customHeight="1">
      <c r="A150" s="3" t="s">
        <v>336</v>
      </c>
      <c r="B150" s="3" t="s">
        <v>337</v>
      </c>
      <c r="C150" s="3" t="s">
        <v>467</v>
      </c>
      <c r="D150" s="18">
        <v>43497.0</v>
      </c>
      <c r="E150" s="3">
        <v>3.40184</v>
      </c>
      <c r="F150" s="18">
        <v>43714.0</v>
      </c>
      <c r="G150" s="3">
        <v>2.400929</v>
      </c>
      <c r="H150" s="3">
        <v>-0.2942</v>
      </c>
      <c r="I150" s="3">
        <v>-32711.15</v>
      </c>
      <c r="J150" s="3">
        <v>-0.2959</v>
      </c>
      <c r="K150" s="3">
        <v>32493.0</v>
      </c>
    </row>
    <row r="151" ht="15.75" customHeight="1">
      <c r="A151" s="3" t="s">
        <v>597</v>
      </c>
      <c r="B151" s="3" t="s">
        <v>598</v>
      </c>
      <c r="C151" s="3" t="s">
        <v>467</v>
      </c>
      <c r="D151" s="18">
        <v>43497.0</v>
      </c>
      <c r="E151" s="3">
        <v>2.240127</v>
      </c>
      <c r="F151" s="18">
        <v>43714.0</v>
      </c>
      <c r="G151" s="3">
        <v>1.938933</v>
      </c>
      <c r="H151" s="3">
        <v>-0.1345</v>
      </c>
      <c r="I151" s="3">
        <v>-15069.86</v>
      </c>
      <c r="J151" s="3">
        <v>-0.1363</v>
      </c>
      <c r="K151" s="3">
        <v>49349.0</v>
      </c>
    </row>
    <row r="152" ht="15.75" customHeight="1">
      <c r="A152" s="3" t="s">
        <v>599</v>
      </c>
      <c r="B152" s="3" t="s">
        <v>600</v>
      </c>
      <c r="C152" s="3" t="s">
        <v>467</v>
      </c>
      <c r="D152" s="18">
        <v>43644.0</v>
      </c>
      <c r="E152" s="3">
        <v>2.208281</v>
      </c>
      <c r="F152" s="18">
        <v>43707.0</v>
      </c>
      <c r="G152" s="3">
        <v>2.142502</v>
      </c>
      <c r="H152" s="3">
        <v>-0.0298</v>
      </c>
      <c r="I152" s="3">
        <v>-4281.56</v>
      </c>
      <c r="J152" s="3">
        <v>-0.0318</v>
      </c>
      <c r="K152" s="3">
        <v>61052.0</v>
      </c>
    </row>
    <row r="153" ht="15.75" customHeight="1">
      <c r="A153" s="3" t="s">
        <v>601</v>
      </c>
      <c r="B153" s="3" t="s">
        <v>602</v>
      </c>
      <c r="C153" s="3" t="s">
        <v>467</v>
      </c>
      <c r="D153" s="18">
        <v>43504.0</v>
      </c>
      <c r="E153" s="3">
        <v>4.58667</v>
      </c>
      <c r="F153" s="18">
        <v>43707.0</v>
      </c>
      <c r="G153" s="3">
        <v>4.758821</v>
      </c>
      <c r="H153" s="3">
        <v>0.0375</v>
      </c>
      <c r="I153" s="3">
        <v>3994.11</v>
      </c>
      <c r="J153" s="3">
        <v>0.0355</v>
      </c>
      <c r="K153" s="3">
        <v>24533.0</v>
      </c>
    </row>
    <row r="154" ht="15.75" customHeight="1">
      <c r="A154" s="3" t="s">
        <v>603</v>
      </c>
      <c r="B154" s="3" t="s">
        <v>604</v>
      </c>
      <c r="C154" s="3" t="s">
        <v>467</v>
      </c>
      <c r="D154" s="18">
        <v>43252.0</v>
      </c>
      <c r="E154" s="3">
        <v>8.170507</v>
      </c>
      <c r="F154" s="18">
        <v>43707.0</v>
      </c>
      <c r="G154" s="3">
        <v>14.82586</v>
      </c>
      <c r="H154" s="3">
        <v>0.8146</v>
      </c>
      <c r="I154" s="3">
        <v>84012.15</v>
      </c>
      <c r="J154" s="3">
        <v>0.8117</v>
      </c>
      <c r="K154" s="3">
        <v>12667.0</v>
      </c>
    </row>
    <row r="155" ht="15.75" customHeight="1">
      <c r="A155" s="3" t="s">
        <v>605</v>
      </c>
      <c r="B155" s="3" t="s">
        <v>606</v>
      </c>
      <c r="C155" s="3" t="s">
        <v>467</v>
      </c>
      <c r="D155" s="18">
        <v>43504.0</v>
      </c>
      <c r="E155" s="3">
        <v>12.09375</v>
      </c>
      <c r="F155" s="18">
        <v>43700.0</v>
      </c>
      <c r="G155" s="3">
        <v>14.93118</v>
      </c>
      <c r="H155" s="3">
        <v>0.2346</v>
      </c>
      <c r="I155" s="3">
        <v>26145.11</v>
      </c>
      <c r="J155" s="3">
        <v>0.2324</v>
      </c>
      <c r="K155" s="3">
        <v>9303.0</v>
      </c>
    </row>
    <row r="156" ht="15.75" customHeight="1">
      <c r="A156" s="3" t="s">
        <v>580</v>
      </c>
      <c r="B156" s="3" t="s">
        <v>581</v>
      </c>
      <c r="C156" s="3" t="s">
        <v>467</v>
      </c>
      <c r="D156" s="18">
        <v>43497.0</v>
      </c>
      <c r="E156" s="3">
        <v>14.00183</v>
      </c>
      <c r="F156" s="18">
        <v>43700.0</v>
      </c>
      <c r="G156" s="3">
        <v>20.11231</v>
      </c>
      <c r="H156" s="3">
        <v>0.4364</v>
      </c>
      <c r="I156" s="3">
        <v>47960.76</v>
      </c>
      <c r="J156" s="3">
        <v>0.434</v>
      </c>
      <c r="K156" s="3">
        <v>7893.0</v>
      </c>
    </row>
    <row r="157" ht="15.75" customHeight="1">
      <c r="A157" s="3" t="s">
        <v>607</v>
      </c>
      <c r="B157" s="3" t="s">
        <v>608</v>
      </c>
      <c r="C157" s="3" t="s">
        <v>467</v>
      </c>
      <c r="D157" s="18">
        <v>43490.0</v>
      </c>
      <c r="E157" s="3">
        <v>5.66</v>
      </c>
      <c r="F157" s="18">
        <v>43640.0</v>
      </c>
      <c r="G157" s="3">
        <v>5.82</v>
      </c>
      <c r="H157" s="3">
        <v>0.0283</v>
      </c>
      <c r="I157" s="3">
        <v>2880.4</v>
      </c>
      <c r="J157" s="3">
        <v>0.0262</v>
      </c>
      <c r="K157" s="3">
        <v>19394.0</v>
      </c>
    </row>
    <row r="158" ht="15.75" customHeight="1">
      <c r="A158" s="3" t="s">
        <v>609</v>
      </c>
      <c r="B158" s="3" t="s">
        <v>610</v>
      </c>
      <c r="C158" s="3" t="s">
        <v>467</v>
      </c>
      <c r="D158" s="18">
        <v>43490.0</v>
      </c>
      <c r="E158" s="3">
        <v>2.346411</v>
      </c>
      <c r="F158" s="18">
        <v>43609.0</v>
      </c>
      <c r="G158" s="3">
        <v>2.46</v>
      </c>
      <c r="H158" s="3">
        <v>0.0484</v>
      </c>
      <c r="I158" s="3">
        <v>5088.52</v>
      </c>
      <c r="J158" s="3">
        <v>0.0464</v>
      </c>
      <c r="K158" s="3">
        <v>46777.0</v>
      </c>
    </row>
    <row r="159" ht="15.75" customHeight="1">
      <c r="A159" s="3" t="s">
        <v>611</v>
      </c>
      <c r="B159" s="3" t="s">
        <v>612</v>
      </c>
      <c r="C159" s="3" t="s">
        <v>467</v>
      </c>
      <c r="D159" s="18">
        <v>43224.0</v>
      </c>
      <c r="E159" s="3">
        <v>6.491221</v>
      </c>
      <c r="F159" s="18">
        <v>43434.0</v>
      </c>
      <c r="G159" s="3">
        <v>6.055468</v>
      </c>
      <c r="H159" s="3">
        <v>-0.0671</v>
      </c>
      <c r="I159" s="3">
        <v>-7218.97</v>
      </c>
      <c r="J159" s="3">
        <v>-0.0691</v>
      </c>
      <c r="K159" s="3">
        <v>16103.0</v>
      </c>
    </row>
    <row r="160" ht="15.75" customHeight="1">
      <c r="A160" s="3" t="s">
        <v>613</v>
      </c>
      <c r="B160" s="3" t="s">
        <v>614</v>
      </c>
      <c r="C160" s="3" t="s">
        <v>467</v>
      </c>
      <c r="D160" s="18">
        <v>43224.0</v>
      </c>
      <c r="E160" s="3">
        <v>4.875105</v>
      </c>
      <c r="F160" s="18">
        <v>43413.0</v>
      </c>
      <c r="G160" s="3">
        <v>5.052276</v>
      </c>
      <c r="H160" s="3">
        <v>0.0363</v>
      </c>
      <c r="I160" s="3">
        <v>3585.03</v>
      </c>
      <c r="J160" s="3">
        <v>0.0343</v>
      </c>
      <c r="K160" s="3">
        <v>21436.0</v>
      </c>
    </row>
    <row r="161" ht="15.75" customHeight="1">
      <c r="A161" s="3" t="s">
        <v>423</v>
      </c>
      <c r="B161" s="3" t="s">
        <v>424</v>
      </c>
      <c r="C161" s="3" t="s">
        <v>467</v>
      </c>
      <c r="D161" s="18">
        <v>43315.0</v>
      </c>
      <c r="E161" s="3">
        <v>6.008564</v>
      </c>
      <c r="F161" s="18">
        <v>43406.0</v>
      </c>
      <c r="G161" s="3">
        <v>5.021717</v>
      </c>
      <c r="H161" s="3">
        <v>-0.1642</v>
      </c>
      <c r="I161" s="3">
        <v>-18292.09</v>
      </c>
      <c r="J161" s="3">
        <v>-0.1661</v>
      </c>
      <c r="K161" s="3">
        <v>18331.0</v>
      </c>
    </row>
    <row r="162" ht="15.75" customHeight="1">
      <c r="A162" s="3" t="s">
        <v>259</v>
      </c>
      <c r="B162" s="3" t="s">
        <v>468</v>
      </c>
      <c r="C162" s="3" t="s">
        <v>467</v>
      </c>
      <c r="D162" s="18">
        <v>43224.0</v>
      </c>
      <c r="E162" s="3">
        <v>16.21316</v>
      </c>
      <c r="F162" s="18">
        <v>43406.0</v>
      </c>
      <c r="G162" s="3">
        <v>22.11646</v>
      </c>
      <c r="H162" s="3">
        <v>0.3641</v>
      </c>
      <c r="I162" s="3">
        <v>37805.6</v>
      </c>
      <c r="J162" s="3">
        <v>0.3617</v>
      </c>
      <c r="K162" s="3">
        <v>6446.0</v>
      </c>
    </row>
    <row r="163" ht="15.75" customHeight="1">
      <c r="A163" s="3" t="s">
        <v>498</v>
      </c>
      <c r="B163" s="3" t="s">
        <v>499</v>
      </c>
      <c r="C163" s="3" t="s">
        <v>467</v>
      </c>
      <c r="D163" s="18">
        <v>42307.0</v>
      </c>
      <c r="E163" s="3">
        <v>5.627447</v>
      </c>
      <c r="F163" s="18">
        <v>43406.0</v>
      </c>
      <c r="G163" s="3">
        <v>12.46698</v>
      </c>
      <c r="H163" s="3">
        <v>1.2154</v>
      </c>
      <c r="I163" s="3">
        <v>80329.26</v>
      </c>
      <c r="J163" s="3">
        <v>1.2122</v>
      </c>
      <c r="K163" s="3">
        <v>11776.0</v>
      </c>
    </row>
    <row r="164" ht="15.75" customHeight="1">
      <c r="A164" s="3" t="s">
        <v>363</v>
      </c>
      <c r="B164" s="3" t="s">
        <v>364</v>
      </c>
      <c r="C164" s="3" t="s">
        <v>467</v>
      </c>
      <c r="D164" s="18">
        <v>43224.0</v>
      </c>
      <c r="E164" s="3">
        <v>1.38681</v>
      </c>
      <c r="F164" s="18">
        <v>43392.0</v>
      </c>
      <c r="G164" s="3">
        <v>1.588404</v>
      </c>
      <c r="H164" s="3">
        <v>0.1454</v>
      </c>
      <c r="I164" s="3">
        <v>14972.48</v>
      </c>
      <c r="J164" s="3">
        <v>0.1432</v>
      </c>
      <c r="K164" s="3">
        <v>75383.0</v>
      </c>
    </row>
    <row r="165" ht="15.75" customHeight="1">
      <c r="A165" s="3" t="s">
        <v>615</v>
      </c>
      <c r="B165" s="3" t="s">
        <v>616</v>
      </c>
      <c r="C165" s="3" t="s">
        <v>467</v>
      </c>
      <c r="D165" s="18">
        <v>42706.0</v>
      </c>
      <c r="E165" s="3">
        <v>1.153175</v>
      </c>
      <c r="F165" s="18">
        <v>43392.0</v>
      </c>
      <c r="G165" s="3">
        <v>1.998278</v>
      </c>
      <c r="H165" s="3">
        <v>0.7328</v>
      </c>
      <c r="I165" s="3">
        <v>53762.82</v>
      </c>
      <c r="J165" s="3">
        <v>0.7301</v>
      </c>
      <c r="K165" s="3">
        <v>63855.0</v>
      </c>
    </row>
    <row r="166" ht="15.75" customHeight="1">
      <c r="A166" s="3" t="s">
        <v>617</v>
      </c>
      <c r="B166" s="3" t="s">
        <v>618</v>
      </c>
      <c r="C166" s="3" t="s">
        <v>467</v>
      </c>
      <c r="D166" s="18">
        <v>43224.0</v>
      </c>
      <c r="E166" s="3">
        <v>5.122944</v>
      </c>
      <c r="F166" s="18">
        <v>43391.0</v>
      </c>
      <c r="G166" s="3">
        <v>6.39</v>
      </c>
      <c r="H166" s="3">
        <v>0.2473</v>
      </c>
      <c r="I166" s="3">
        <v>25608.06</v>
      </c>
      <c r="J166" s="3">
        <v>0.2451</v>
      </c>
      <c r="K166" s="3">
        <v>20396.0</v>
      </c>
    </row>
    <row r="167" ht="15.75" customHeight="1">
      <c r="A167" s="3" t="s">
        <v>479</v>
      </c>
      <c r="B167" s="3" t="s">
        <v>480</v>
      </c>
      <c r="C167" s="3" t="s">
        <v>467</v>
      </c>
      <c r="D167" s="18">
        <v>43224.0</v>
      </c>
      <c r="E167" s="3">
        <v>3.892031</v>
      </c>
      <c r="F167" s="18">
        <v>43357.0</v>
      </c>
      <c r="G167" s="3">
        <v>4.494194</v>
      </c>
      <c r="H167" s="3">
        <v>0.1547</v>
      </c>
      <c r="I167" s="3">
        <v>15951.22</v>
      </c>
      <c r="J167" s="3">
        <v>0.1526</v>
      </c>
      <c r="K167" s="3">
        <v>26864.0</v>
      </c>
    </row>
    <row r="168" ht="15.75" customHeight="1">
      <c r="A168" s="3" t="s">
        <v>560</v>
      </c>
      <c r="B168" s="3" t="s">
        <v>561</v>
      </c>
      <c r="C168" s="3" t="s">
        <v>467</v>
      </c>
      <c r="D168" s="18">
        <v>43224.0</v>
      </c>
      <c r="E168" s="3">
        <v>38.5</v>
      </c>
      <c r="F168" s="18">
        <v>43357.0</v>
      </c>
      <c r="G168" s="3">
        <v>47.3</v>
      </c>
      <c r="H168" s="3">
        <v>0.2286</v>
      </c>
      <c r="I168" s="3">
        <v>23667.77</v>
      </c>
      <c r="J168" s="3">
        <v>0.2263</v>
      </c>
      <c r="K168" s="3">
        <v>2716.0</v>
      </c>
    </row>
    <row r="169" ht="15.75" customHeight="1">
      <c r="A169" s="3" t="s">
        <v>619</v>
      </c>
      <c r="B169" s="3" t="s">
        <v>620</v>
      </c>
      <c r="C169" s="3" t="s">
        <v>467</v>
      </c>
      <c r="D169" s="18">
        <v>43224.0</v>
      </c>
      <c r="E169" s="3">
        <v>16.62419</v>
      </c>
      <c r="F169" s="18">
        <v>43329.0</v>
      </c>
      <c r="G169" s="3">
        <v>14.44931</v>
      </c>
      <c r="H169" s="3">
        <v>-0.1308</v>
      </c>
      <c r="I169" s="3">
        <v>-13860.01</v>
      </c>
      <c r="J169" s="3">
        <v>-0.1327</v>
      </c>
      <c r="K169" s="3">
        <v>6283.0</v>
      </c>
    </row>
    <row r="170" ht="15.75" customHeight="1">
      <c r="A170" s="3" t="s">
        <v>530</v>
      </c>
      <c r="B170" s="3" t="s">
        <v>531</v>
      </c>
      <c r="C170" s="3" t="s">
        <v>467</v>
      </c>
      <c r="D170" s="18">
        <v>43224.0</v>
      </c>
      <c r="E170" s="3">
        <v>8.502828</v>
      </c>
      <c r="F170" s="18">
        <v>43315.0</v>
      </c>
      <c r="G170" s="3">
        <v>6.704507</v>
      </c>
      <c r="H170" s="3">
        <v>-0.2115</v>
      </c>
      <c r="I170" s="3">
        <v>-22282.85</v>
      </c>
      <c r="J170" s="3">
        <v>-0.2133</v>
      </c>
      <c r="K170" s="3">
        <v>12287.0</v>
      </c>
    </row>
    <row r="171" ht="15.75" customHeight="1">
      <c r="A171" s="3" t="s">
        <v>190</v>
      </c>
      <c r="B171" s="3" t="s">
        <v>86</v>
      </c>
      <c r="C171" s="3" t="s">
        <v>467</v>
      </c>
      <c r="D171" s="18">
        <v>42706.0</v>
      </c>
      <c r="E171" s="3">
        <v>18.39866</v>
      </c>
      <c r="F171" s="18">
        <v>43252.0</v>
      </c>
      <c r="G171" s="3">
        <v>18.80854</v>
      </c>
      <c r="H171" s="3">
        <v>0.0223</v>
      </c>
      <c r="I171" s="3">
        <v>1491.06</v>
      </c>
      <c r="J171" s="3">
        <v>0.0203</v>
      </c>
      <c r="K171" s="3">
        <v>4001.0</v>
      </c>
    </row>
    <row r="172" ht="15.75" customHeight="1">
      <c r="A172" s="3" t="s">
        <v>207</v>
      </c>
      <c r="B172" s="3" t="s">
        <v>208</v>
      </c>
      <c r="C172" s="3" t="s">
        <v>467</v>
      </c>
      <c r="D172" s="18">
        <v>42972.0</v>
      </c>
      <c r="E172" s="3">
        <v>11.66482</v>
      </c>
      <c r="F172" s="18">
        <v>43168.0</v>
      </c>
      <c r="G172" s="3">
        <v>14.44498</v>
      </c>
      <c r="H172" s="3">
        <v>0.2383</v>
      </c>
      <c r="I172" s="3">
        <v>19267.34</v>
      </c>
      <c r="J172" s="3">
        <v>0.2361</v>
      </c>
      <c r="K172" s="3">
        <v>6996.0</v>
      </c>
    </row>
    <row r="173" ht="15.75" customHeight="1">
      <c r="A173" s="3" t="s">
        <v>605</v>
      </c>
      <c r="B173" s="3" t="s">
        <v>606</v>
      </c>
      <c r="C173" s="3" t="s">
        <v>467</v>
      </c>
      <c r="D173" s="18">
        <v>42706.0</v>
      </c>
      <c r="E173" s="3">
        <v>2.271919</v>
      </c>
      <c r="F173" s="18">
        <v>43161.0</v>
      </c>
      <c r="G173" s="3">
        <v>11.65723</v>
      </c>
      <c r="H173" s="3">
        <v>4.131</v>
      </c>
      <c r="I173" s="3">
        <v>303623.4</v>
      </c>
      <c r="J173" s="3">
        <v>4.1249</v>
      </c>
      <c r="K173" s="3">
        <v>32399.0</v>
      </c>
    </row>
    <row r="174" ht="15.75" customHeight="1">
      <c r="A174" s="3" t="s">
        <v>160</v>
      </c>
      <c r="B174" s="3" t="s">
        <v>161</v>
      </c>
      <c r="C174" s="3" t="s">
        <v>467</v>
      </c>
      <c r="D174" s="18">
        <v>42804.0</v>
      </c>
      <c r="E174" s="3">
        <v>9.010967</v>
      </c>
      <c r="F174" s="18">
        <v>43154.0</v>
      </c>
      <c r="G174" s="3">
        <v>9.454949</v>
      </c>
      <c r="H174" s="3">
        <v>0.0493</v>
      </c>
      <c r="I174" s="3">
        <v>3556.87</v>
      </c>
      <c r="J174" s="3">
        <v>0.0472</v>
      </c>
      <c r="K174" s="3">
        <v>8359.0</v>
      </c>
    </row>
    <row r="175" ht="15.75" customHeight="1">
      <c r="A175" s="3" t="s">
        <v>621</v>
      </c>
      <c r="B175" s="3" t="s">
        <v>622</v>
      </c>
      <c r="C175" s="3" t="s">
        <v>467</v>
      </c>
      <c r="D175" s="18">
        <v>43028.0</v>
      </c>
      <c r="E175" s="3">
        <v>10.73649</v>
      </c>
      <c r="F175" s="18">
        <v>43147.0</v>
      </c>
      <c r="G175" s="3">
        <v>13.05039</v>
      </c>
      <c r="H175" s="3">
        <v>0.2155</v>
      </c>
      <c r="I175" s="3">
        <v>19438.48</v>
      </c>
      <c r="J175" s="3">
        <v>0.2133</v>
      </c>
      <c r="K175" s="3">
        <v>8488.0</v>
      </c>
    </row>
    <row r="176" ht="15.75" customHeight="1">
      <c r="A176" s="3" t="s">
        <v>623</v>
      </c>
      <c r="B176" s="3" t="s">
        <v>624</v>
      </c>
      <c r="C176" s="3" t="s">
        <v>467</v>
      </c>
      <c r="D176" s="18">
        <v>43028.0</v>
      </c>
      <c r="E176" s="3">
        <v>3.3165</v>
      </c>
      <c r="F176" s="18">
        <v>43147.0</v>
      </c>
      <c r="G176" s="3">
        <v>3.0987</v>
      </c>
      <c r="H176" s="3">
        <v>-0.0657</v>
      </c>
      <c r="I176" s="3">
        <v>-6162.33</v>
      </c>
      <c r="J176" s="3">
        <v>-0.0676</v>
      </c>
      <c r="K176" s="3">
        <v>27484.0</v>
      </c>
    </row>
    <row r="177" ht="15.75" customHeight="1">
      <c r="A177" s="3" t="s">
        <v>625</v>
      </c>
      <c r="B177" s="3" t="s">
        <v>626</v>
      </c>
      <c r="C177" s="3" t="s">
        <v>467</v>
      </c>
      <c r="D177" s="18">
        <v>42979.0</v>
      </c>
      <c r="E177" s="3">
        <v>2.658633</v>
      </c>
      <c r="F177" s="18">
        <v>43147.0</v>
      </c>
      <c r="G177" s="3">
        <v>3.441257</v>
      </c>
      <c r="H177" s="3">
        <v>0.2944</v>
      </c>
      <c r="I177" s="3">
        <v>24435.66</v>
      </c>
      <c r="J177" s="3">
        <v>0.2921</v>
      </c>
      <c r="K177" s="3">
        <v>31468.0</v>
      </c>
    </row>
    <row r="178" ht="15.75" customHeight="1">
      <c r="A178" s="3" t="s">
        <v>275</v>
      </c>
      <c r="B178" s="3" t="s">
        <v>276</v>
      </c>
      <c r="C178" s="3" t="s">
        <v>467</v>
      </c>
      <c r="D178" s="18">
        <v>42440.0</v>
      </c>
      <c r="E178" s="3">
        <v>1.892495</v>
      </c>
      <c r="F178" s="18">
        <v>43147.0</v>
      </c>
      <c r="G178" s="3">
        <v>2.183437</v>
      </c>
      <c r="H178" s="3">
        <v>0.1537</v>
      </c>
      <c r="I178" s="3">
        <v>10371.64</v>
      </c>
      <c r="J178" s="3">
        <v>0.1516</v>
      </c>
      <c r="K178" s="3">
        <v>36155.0</v>
      </c>
    </row>
    <row r="179" ht="15.75" customHeight="1">
      <c r="A179" s="3" t="s">
        <v>627</v>
      </c>
      <c r="B179" s="3" t="s">
        <v>628</v>
      </c>
      <c r="C179" s="3" t="s">
        <v>467</v>
      </c>
      <c r="D179" s="18">
        <v>42979.0</v>
      </c>
      <c r="E179" s="3">
        <v>5.326696</v>
      </c>
      <c r="F179" s="18">
        <v>43112.0</v>
      </c>
      <c r="G179" s="3">
        <v>4.459851</v>
      </c>
      <c r="H179" s="3">
        <v>-0.1627</v>
      </c>
      <c r="I179" s="3">
        <v>-13770.13</v>
      </c>
      <c r="J179" s="3">
        <v>-0.1646</v>
      </c>
      <c r="K179" s="3">
        <v>15708.0</v>
      </c>
    </row>
    <row r="180" ht="15.75" customHeight="1">
      <c r="A180" s="3" t="s">
        <v>530</v>
      </c>
      <c r="B180" s="3" t="s">
        <v>531</v>
      </c>
      <c r="C180" s="3" t="s">
        <v>467</v>
      </c>
      <c r="D180" s="18">
        <v>42643.0</v>
      </c>
      <c r="E180" s="3">
        <v>7.887481</v>
      </c>
      <c r="F180" s="18">
        <v>43014.0</v>
      </c>
      <c r="G180" s="3">
        <v>7.431809</v>
      </c>
      <c r="H180" s="3">
        <v>-0.0578</v>
      </c>
      <c r="I180" s="3">
        <v>-4533.76</v>
      </c>
      <c r="J180" s="3">
        <v>-0.0597</v>
      </c>
      <c r="K180" s="3">
        <v>9626.0</v>
      </c>
    </row>
    <row r="181" ht="15.75" customHeight="1">
      <c r="A181" s="3" t="s">
        <v>629</v>
      </c>
      <c r="B181" s="3" t="s">
        <v>630</v>
      </c>
      <c r="C181" s="3" t="s">
        <v>467</v>
      </c>
      <c r="D181" s="18">
        <v>42706.0</v>
      </c>
      <c r="E181" s="3">
        <v>8.114194</v>
      </c>
      <c r="F181" s="18">
        <v>42986.0</v>
      </c>
      <c r="G181" s="3">
        <v>9.424123</v>
      </c>
      <c r="H181" s="3">
        <v>0.1614</v>
      </c>
      <c r="I181" s="3">
        <v>11721.99</v>
      </c>
      <c r="J181" s="3">
        <v>0.1593</v>
      </c>
      <c r="K181" s="3">
        <v>9070.0</v>
      </c>
    </row>
    <row r="182" ht="15.75" customHeight="1">
      <c r="A182" s="3" t="s">
        <v>631</v>
      </c>
      <c r="B182" s="3" t="s">
        <v>632</v>
      </c>
      <c r="C182" s="3" t="s">
        <v>467</v>
      </c>
      <c r="D182" s="18">
        <v>42566.0</v>
      </c>
      <c r="E182" s="3">
        <v>3.391871</v>
      </c>
      <c r="F182" s="18">
        <v>42909.0</v>
      </c>
      <c r="G182" s="3">
        <v>3.231197</v>
      </c>
      <c r="H182" s="3">
        <v>-0.0474</v>
      </c>
      <c r="I182" s="3">
        <v>-3612.11</v>
      </c>
      <c r="J182" s="3">
        <v>-0.0493</v>
      </c>
      <c r="K182" s="3">
        <v>21591.0</v>
      </c>
    </row>
    <row r="183" ht="15.75" customHeight="1">
      <c r="A183" s="3" t="s">
        <v>142</v>
      </c>
      <c r="B183" s="3" t="s">
        <v>144</v>
      </c>
      <c r="C183" s="3" t="s">
        <v>467</v>
      </c>
      <c r="D183" s="18">
        <v>42482.0</v>
      </c>
      <c r="E183" s="3">
        <v>16.76388</v>
      </c>
      <c r="F183" s="18">
        <v>42881.0</v>
      </c>
      <c r="G183" s="3">
        <v>18.47192</v>
      </c>
      <c r="H183" s="3">
        <v>0.1019</v>
      </c>
      <c r="I183" s="3">
        <v>6855.15</v>
      </c>
      <c r="J183" s="3">
        <v>0.0998</v>
      </c>
      <c r="K183" s="3">
        <v>4098.0</v>
      </c>
    </row>
    <row r="184" ht="15.75" customHeight="1">
      <c r="A184" s="3" t="s">
        <v>611</v>
      </c>
      <c r="B184" s="3" t="s">
        <v>612</v>
      </c>
      <c r="C184" s="3" t="s">
        <v>467</v>
      </c>
      <c r="D184" s="18">
        <v>42706.0</v>
      </c>
      <c r="E184" s="3">
        <v>5.266917</v>
      </c>
      <c r="F184" s="18">
        <v>42881.0</v>
      </c>
      <c r="G184" s="3">
        <v>4.753186</v>
      </c>
      <c r="H184" s="3">
        <v>-0.0975</v>
      </c>
      <c r="I184" s="3">
        <v>-7321.52</v>
      </c>
      <c r="J184" s="3">
        <v>-0.0994</v>
      </c>
      <c r="K184" s="3">
        <v>13979.0</v>
      </c>
    </row>
    <row r="185" ht="15.75" customHeight="1">
      <c r="A185" s="3" t="s">
        <v>363</v>
      </c>
      <c r="B185" s="3" t="s">
        <v>364</v>
      </c>
      <c r="C185" s="3" t="s">
        <v>467</v>
      </c>
      <c r="D185" s="18">
        <v>42706.0</v>
      </c>
      <c r="E185" s="3">
        <v>0.7244155</v>
      </c>
      <c r="F185" s="18">
        <v>42881.0</v>
      </c>
      <c r="G185" s="3">
        <v>0.5574638</v>
      </c>
      <c r="H185" s="3">
        <v>-0.2305</v>
      </c>
      <c r="I185" s="3">
        <v>-17102.79</v>
      </c>
      <c r="J185" s="3">
        <v>-0.2322</v>
      </c>
      <c r="K185" s="3">
        <v>101661.0</v>
      </c>
    </row>
    <row r="186" ht="15.75" customHeight="1">
      <c r="A186" s="3" t="s">
        <v>500</v>
      </c>
      <c r="B186" s="3" t="s">
        <v>501</v>
      </c>
      <c r="C186" s="3" t="s">
        <v>467</v>
      </c>
      <c r="D186" s="18">
        <v>42769.0</v>
      </c>
      <c r="E186" s="3">
        <v>4.571181</v>
      </c>
      <c r="F186" s="18">
        <v>42804.0</v>
      </c>
      <c r="G186" s="3">
        <v>3.027536</v>
      </c>
      <c r="H186" s="3">
        <v>-0.3377</v>
      </c>
      <c r="I186" s="3">
        <v>-25818.9</v>
      </c>
      <c r="J186" s="3">
        <v>-0.3394</v>
      </c>
      <c r="K186" s="3">
        <v>16644.0</v>
      </c>
    </row>
    <row r="187" ht="15.75" customHeight="1">
      <c r="A187" s="3" t="s">
        <v>485</v>
      </c>
      <c r="B187" s="3" t="s">
        <v>486</v>
      </c>
      <c r="C187" s="3" t="s">
        <v>467</v>
      </c>
      <c r="D187" s="18">
        <v>42440.0</v>
      </c>
      <c r="E187" s="3">
        <v>9.290822</v>
      </c>
      <c r="F187" s="18">
        <v>42769.0</v>
      </c>
      <c r="G187" s="3">
        <v>8.18814</v>
      </c>
      <c r="H187" s="3">
        <v>-0.1187</v>
      </c>
      <c r="I187" s="3">
        <v>-8251.09</v>
      </c>
      <c r="J187" s="3">
        <v>-0.1206</v>
      </c>
      <c r="K187" s="3">
        <v>7366.0</v>
      </c>
    </row>
    <row r="188" ht="15.75" customHeight="1">
      <c r="A188" s="3" t="s">
        <v>508</v>
      </c>
      <c r="B188" s="3" t="s">
        <v>509</v>
      </c>
      <c r="C188" s="3" t="s">
        <v>467</v>
      </c>
      <c r="D188" s="18">
        <v>42524.0</v>
      </c>
      <c r="E188" s="3">
        <v>0.5090991</v>
      </c>
      <c r="F188" s="18">
        <v>42699.0</v>
      </c>
      <c r="G188" s="3">
        <v>1.494161</v>
      </c>
      <c r="H188" s="3">
        <v>1.9349</v>
      </c>
      <c r="I188" s="3">
        <v>137541.7</v>
      </c>
      <c r="J188" s="3">
        <v>1.931</v>
      </c>
      <c r="K188" s="3">
        <v>139912.0</v>
      </c>
    </row>
    <row r="189" ht="15.75" customHeight="1">
      <c r="A189" s="3" t="s">
        <v>633</v>
      </c>
      <c r="B189" s="3" t="s">
        <v>634</v>
      </c>
      <c r="C189" s="3" t="s">
        <v>467</v>
      </c>
      <c r="D189" s="18">
        <v>42643.0</v>
      </c>
      <c r="E189" s="3">
        <v>6.37705</v>
      </c>
      <c r="F189" s="18">
        <v>42685.0</v>
      </c>
      <c r="G189" s="3">
        <v>5.362519</v>
      </c>
      <c r="H189" s="3">
        <v>-0.1591</v>
      </c>
      <c r="I189" s="3">
        <v>-12220.83</v>
      </c>
      <c r="J189" s="3">
        <v>-0.1609</v>
      </c>
      <c r="K189" s="3">
        <v>11908.0</v>
      </c>
    </row>
    <row r="190" ht="15.75" customHeight="1">
      <c r="A190" s="3" t="s">
        <v>635</v>
      </c>
      <c r="B190" s="3" t="s">
        <v>636</v>
      </c>
      <c r="C190" s="3" t="s">
        <v>467</v>
      </c>
      <c r="D190" s="18">
        <v>42643.0</v>
      </c>
      <c r="E190" s="3">
        <v>3.717577</v>
      </c>
      <c r="F190" s="18">
        <v>42678.0</v>
      </c>
      <c r="G190" s="3">
        <v>3.413737</v>
      </c>
      <c r="H190" s="3">
        <v>-0.0817</v>
      </c>
      <c r="I190" s="3">
        <v>-6350.66</v>
      </c>
      <c r="J190" s="3">
        <v>-0.0836</v>
      </c>
      <c r="K190" s="3">
        <v>20422.0</v>
      </c>
    </row>
    <row r="191" ht="15.75" customHeight="1">
      <c r="A191" s="3" t="s">
        <v>637</v>
      </c>
      <c r="B191" s="3" t="s">
        <v>638</v>
      </c>
      <c r="C191" s="3" t="s">
        <v>467</v>
      </c>
      <c r="D191" s="18">
        <v>40249.0</v>
      </c>
      <c r="E191" s="3">
        <v>11.34855</v>
      </c>
      <c r="F191" s="18">
        <v>42678.0</v>
      </c>
      <c r="G191" s="3">
        <v>19.55307</v>
      </c>
      <c r="H191" s="3">
        <v>0.723</v>
      </c>
      <c r="I191" s="3">
        <v>32898.81</v>
      </c>
      <c r="J191" s="3">
        <v>0.7202</v>
      </c>
      <c r="K191" s="3">
        <v>4025.0</v>
      </c>
    </row>
    <row r="192" ht="15.75" customHeight="1">
      <c r="A192" s="3" t="s">
        <v>639</v>
      </c>
      <c r="B192" s="3" t="s">
        <v>640</v>
      </c>
      <c r="C192" s="3" t="s">
        <v>467</v>
      </c>
      <c r="D192" s="18">
        <v>42006.0</v>
      </c>
      <c r="E192" s="3">
        <v>6.007076</v>
      </c>
      <c r="F192" s="18">
        <v>42643.0</v>
      </c>
      <c r="G192" s="3">
        <v>6.380138</v>
      </c>
      <c r="H192" s="3">
        <v>0.0621</v>
      </c>
      <c r="I192" s="3">
        <v>3739.85</v>
      </c>
      <c r="J192" s="3">
        <v>0.06</v>
      </c>
      <c r="K192" s="3">
        <v>10369.0</v>
      </c>
    </row>
    <row r="193" ht="15.75" customHeight="1">
      <c r="A193" s="3" t="s">
        <v>629</v>
      </c>
      <c r="B193" s="3" t="s">
        <v>630</v>
      </c>
      <c r="C193" s="3" t="s">
        <v>467</v>
      </c>
      <c r="D193" s="18">
        <v>42440.0</v>
      </c>
      <c r="E193" s="3">
        <v>5.125236</v>
      </c>
      <c r="F193" s="18">
        <v>42636.0</v>
      </c>
      <c r="G193" s="3">
        <v>6.31104</v>
      </c>
      <c r="H193" s="3">
        <v>0.2314</v>
      </c>
      <c r="I193" s="3">
        <v>15689.55</v>
      </c>
      <c r="J193" s="3">
        <v>0.2291</v>
      </c>
      <c r="K193" s="3">
        <v>13360.0</v>
      </c>
    </row>
    <row r="194" ht="15.75" customHeight="1">
      <c r="A194" s="3" t="s">
        <v>355</v>
      </c>
      <c r="B194" s="3" t="s">
        <v>466</v>
      </c>
      <c r="C194" s="3" t="s">
        <v>467</v>
      </c>
      <c r="D194" s="18">
        <v>40928.0</v>
      </c>
      <c r="E194" s="3">
        <v>0.8726122</v>
      </c>
      <c r="F194" s="18">
        <v>42622.0</v>
      </c>
      <c r="G194" s="3">
        <v>2.100904</v>
      </c>
      <c r="H194" s="3">
        <v>1.4076</v>
      </c>
      <c r="I194" s="3">
        <v>57352.25</v>
      </c>
      <c r="J194" s="3">
        <v>1.4042</v>
      </c>
      <c r="K194" s="3">
        <v>46806.0</v>
      </c>
    </row>
    <row r="195" ht="15.75" customHeight="1">
      <c r="A195" s="3" t="s">
        <v>641</v>
      </c>
      <c r="B195" s="3" t="s">
        <v>642</v>
      </c>
      <c r="C195" s="3" t="s">
        <v>467</v>
      </c>
      <c r="D195" s="18">
        <v>42566.0</v>
      </c>
      <c r="E195" s="3">
        <v>1.345143</v>
      </c>
      <c r="F195" s="18">
        <v>42622.0</v>
      </c>
      <c r="G195" s="3">
        <v>1.105597</v>
      </c>
      <c r="H195" s="3">
        <v>-0.1781</v>
      </c>
      <c r="I195" s="3">
        <v>-13176.72</v>
      </c>
      <c r="J195" s="3">
        <v>-0.1799</v>
      </c>
      <c r="K195" s="3">
        <v>54450.0</v>
      </c>
    </row>
    <row r="196" ht="15.75" customHeight="1">
      <c r="A196" s="3" t="s">
        <v>643</v>
      </c>
      <c r="B196" s="3" t="s">
        <v>644</v>
      </c>
      <c r="C196" s="3" t="s">
        <v>467</v>
      </c>
      <c r="D196" s="18">
        <v>42440.0</v>
      </c>
      <c r="E196" s="3">
        <v>0.9133145</v>
      </c>
      <c r="F196" s="18">
        <v>42549.0</v>
      </c>
      <c r="G196" s="3">
        <v>1.05559</v>
      </c>
      <c r="H196" s="3">
        <v>0.1558</v>
      </c>
      <c r="I196" s="3">
        <v>10518.08</v>
      </c>
      <c r="J196" s="3">
        <v>0.1536</v>
      </c>
      <c r="K196" s="3">
        <v>74965.0</v>
      </c>
    </row>
    <row r="197" ht="15.75" customHeight="1">
      <c r="A197" s="3" t="s">
        <v>645</v>
      </c>
      <c r="B197" s="3" t="s">
        <v>646</v>
      </c>
      <c r="C197" s="3" t="s">
        <v>467</v>
      </c>
      <c r="D197" s="18">
        <v>42440.0</v>
      </c>
      <c r="E197" s="3">
        <v>6.863489</v>
      </c>
      <c r="F197" s="18">
        <v>42545.0</v>
      </c>
      <c r="G197" s="3">
        <v>6.36172</v>
      </c>
      <c r="H197" s="3">
        <v>-0.0731</v>
      </c>
      <c r="I197" s="3">
        <v>-5136.55</v>
      </c>
      <c r="J197" s="3">
        <v>-0.075</v>
      </c>
      <c r="K197" s="3">
        <v>9974.0</v>
      </c>
    </row>
    <row r="198" ht="15.75" customHeight="1">
      <c r="A198" s="3" t="s">
        <v>152</v>
      </c>
      <c r="B198" s="3" t="s">
        <v>153</v>
      </c>
      <c r="C198" s="3" t="s">
        <v>467</v>
      </c>
      <c r="D198" s="18">
        <v>42482.0</v>
      </c>
      <c r="E198" s="3">
        <v>6.956624</v>
      </c>
      <c r="F198" s="18">
        <v>42545.0</v>
      </c>
      <c r="G198" s="3">
        <v>5.901662</v>
      </c>
      <c r="H198" s="3">
        <v>-0.1516</v>
      </c>
      <c r="I198" s="3">
        <v>-10546.86</v>
      </c>
      <c r="J198" s="3">
        <v>-0.1535</v>
      </c>
      <c r="K198" s="3">
        <v>9877.0</v>
      </c>
    </row>
    <row r="199" ht="15.75" customHeight="1">
      <c r="A199" s="3" t="s">
        <v>647</v>
      </c>
      <c r="B199" s="3" t="s">
        <v>648</v>
      </c>
      <c r="C199" s="3" t="s">
        <v>467</v>
      </c>
      <c r="D199" s="18">
        <v>42440.0</v>
      </c>
      <c r="E199" s="3">
        <v>32.1252</v>
      </c>
      <c r="F199" s="18">
        <v>42524.0</v>
      </c>
      <c r="G199" s="3">
        <v>24.4588</v>
      </c>
      <c r="H199" s="3">
        <v>-0.2386</v>
      </c>
      <c r="I199" s="3">
        <v>-16449.96</v>
      </c>
      <c r="J199" s="3">
        <v>-0.2404</v>
      </c>
      <c r="K199" s="3">
        <v>2130.0</v>
      </c>
    </row>
    <row r="200" ht="15.75" customHeight="1">
      <c r="A200" s="3" t="s">
        <v>649</v>
      </c>
      <c r="B200" s="3" t="s">
        <v>650</v>
      </c>
      <c r="C200" s="3" t="s">
        <v>467</v>
      </c>
      <c r="D200" s="18">
        <v>42440.0</v>
      </c>
      <c r="E200" s="3">
        <v>4.16049</v>
      </c>
      <c r="F200" s="18">
        <v>42475.0</v>
      </c>
      <c r="G200" s="3">
        <v>3.389685</v>
      </c>
      <c r="H200" s="3">
        <v>-0.1853</v>
      </c>
      <c r="I200" s="3">
        <v>-12811.73</v>
      </c>
      <c r="J200" s="3">
        <v>-0.1871</v>
      </c>
      <c r="K200" s="3">
        <v>16460.0</v>
      </c>
    </row>
    <row r="201" ht="15.75" customHeight="1">
      <c r="A201" s="3" t="s">
        <v>363</v>
      </c>
      <c r="B201" s="3" t="s">
        <v>364</v>
      </c>
      <c r="C201" s="3" t="s">
        <v>467</v>
      </c>
      <c r="D201" s="18">
        <v>42440.0</v>
      </c>
      <c r="E201" s="3">
        <v>0.6064425</v>
      </c>
      <c r="F201" s="18">
        <v>42468.0</v>
      </c>
      <c r="G201" s="3">
        <v>0.5198078</v>
      </c>
      <c r="H201" s="3">
        <v>-0.1429</v>
      </c>
      <c r="I201" s="3">
        <v>-9903.12</v>
      </c>
      <c r="J201" s="3">
        <v>-0.1447</v>
      </c>
      <c r="K201" s="3">
        <v>112842.0</v>
      </c>
    </row>
    <row r="202" ht="15.75" customHeight="1">
      <c r="A202" s="3" t="s">
        <v>601</v>
      </c>
      <c r="B202" s="3" t="s">
        <v>602</v>
      </c>
      <c r="C202" s="3" t="s">
        <v>467</v>
      </c>
      <c r="D202" s="18">
        <v>42369.0</v>
      </c>
      <c r="E202" s="3">
        <v>1.834957</v>
      </c>
      <c r="F202" s="18">
        <v>42426.0</v>
      </c>
      <c r="G202" s="3">
        <v>1.982452</v>
      </c>
      <c r="H202" s="3">
        <v>0.0804</v>
      </c>
      <c r="I202" s="3">
        <v>5470.09</v>
      </c>
      <c r="J202" s="3">
        <v>0.0783</v>
      </c>
      <c r="K202" s="3">
        <v>38072.0</v>
      </c>
    </row>
    <row r="203" ht="15.75" customHeight="1">
      <c r="A203" s="3" t="s">
        <v>131</v>
      </c>
      <c r="B203" s="3" t="s">
        <v>136</v>
      </c>
      <c r="C203" s="3" t="s">
        <v>467</v>
      </c>
      <c r="D203" s="18">
        <v>40886.0</v>
      </c>
      <c r="E203" s="3">
        <v>3.825688</v>
      </c>
      <c r="F203" s="18">
        <v>42419.0</v>
      </c>
      <c r="G203" s="3">
        <v>8.58422</v>
      </c>
      <c r="H203" s="3">
        <v>1.2438</v>
      </c>
      <c r="I203" s="3">
        <v>50949.62</v>
      </c>
      <c r="J203" s="3">
        <v>1.2406</v>
      </c>
      <c r="K203" s="3">
        <v>10735.0</v>
      </c>
    </row>
    <row r="204" ht="15.75" customHeight="1">
      <c r="A204" s="3" t="s">
        <v>631</v>
      </c>
      <c r="B204" s="3" t="s">
        <v>632</v>
      </c>
      <c r="C204" s="3" t="s">
        <v>467</v>
      </c>
      <c r="D204" s="18">
        <v>42223.0</v>
      </c>
      <c r="E204" s="3">
        <v>2.830402</v>
      </c>
      <c r="F204" s="18">
        <v>42412.0</v>
      </c>
      <c r="G204" s="3">
        <v>3.31217</v>
      </c>
      <c r="H204" s="3">
        <v>0.1702</v>
      </c>
      <c r="I204" s="3">
        <v>11456.87</v>
      </c>
      <c r="J204" s="3">
        <v>0.168</v>
      </c>
      <c r="K204" s="3">
        <v>24088.0</v>
      </c>
    </row>
    <row r="205" ht="15.75" customHeight="1">
      <c r="A205" s="3" t="s">
        <v>651</v>
      </c>
      <c r="B205" s="3" t="s">
        <v>652</v>
      </c>
      <c r="C205" s="3" t="s">
        <v>467</v>
      </c>
      <c r="D205" s="18">
        <v>42034.0</v>
      </c>
      <c r="E205" s="3">
        <v>28.12667</v>
      </c>
      <c r="F205" s="18">
        <v>42391.0</v>
      </c>
      <c r="G205" s="3">
        <v>35.60476</v>
      </c>
      <c r="H205" s="3">
        <v>0.2659</v>
      </c>
      <c r="I205" s="3">
        <v>16749.04</v>
      </c>
      <c r="J205" s="3">
        <v>0.2636</v>
      </c>
      <c r="K205" s="3">
        <v>2259.0</v>
      </c>
    </row>
    <row r="206" ht="15.75" customHeight="1">
      <c r="A206" s="3" t="s">
        <v>370</v>
      </c>
      <c r="B206" s="3" t="s">
        <v>371</v>
      </c>
      <c r="C206" s="3" t="s">
        <v>467</v>
      </c>
      <c r="D206" s="18">
        <v>42369.0</v>
      </c>
      <c r="E206" s="3">
        <v>4.249055</v>
      </c>
      <c r="F206" s="18">
        <v>42391.0</v>
      </c>
      <c r="G206" s="3">
        <v>3.838855</v>
      </c>
      <c r="H206" s="3">
        <v>-0.0965</v>
      </c>
      <c r="I206" s="3">
        <v>-6876.23</v>
      </c>
      <c r="J206" s="3">
        <v>-0.0984</v>
      </c>
      <c r="K206" s="3">
        <v>16439.0</v>
      </c>
    </row>
    <row r="207" ht="15.75" customHeight="1">
      <c r="A207" s="3" t="s">
        <v>653</v>
      </c>
      <c r="B207" s="3" t="s">
        <v>654</v>
      </c>
      <c r="C207" s="3" t="s">
        <v>467</v>
      </c>
      <c r="D207" s="18">
        <v>42307.0</v>
      </c>
      <c r="E207" s="3">
        <v>12.26546</v>
      </c>
      <c r="F207" s="18">
        <v>42391.0</v>
      </c>
      <c r="G207" s="3">
        <v>13.63336</v>
      </c>
      <c r="H207" s="3">
        <v>0.1115</v>
      </c>
      <c r="I207" s="3">
        <v>7248.15</v>
      </c>
      <c r="J207" s="3">
        <v>0.1094</v>
      </c>
      <c r="K207" s="3">
        <v>5401.0</v>
      </c>
    </row>
    <row r="208" ht="15.75" customHeight="1">
      <c r="A208" s="3" t="s">
        <v>655</v>
      </c>
      <c r="B208" s="3" t="s">
        <v>656</v>
      </c>
      <c r="C208" s="3" t="s">
        <v>467</v>
      </c>
      <c r="D208" s="18">
        <v>42307.0</v>
      </c>
      <c r="E208" s="3">
        <v>2.386991</v>
      </c>
      <c r="F208" s="18">
        <v>42391.0</v>
      </c>
      <c r="G208" s="3">
        <v>2.402631</v>
      </c>
      <c r="H208" s="3">
        <v>0.0066</v>
      </c>
      <c r="I208" s="3">
        <v>301.21</v>
      </c>
      <c r="J208" s="3">
        <v>0.0045</v>
      </c>
      <c r="K208" s="3">
        <v>27760.0</v>
      </c>
    </row>
    <row r="209" ht="15.75" customHeight="1">
      <c r="A209" s="3" t="s">
        <v>657</v>
      </c>
      <c r="B209" s="3" t="s">
        <v>658</v>
      </c>
      <c r="C209" s="3" t="s">
        <v>467</v>
      </c>
      <c r="D209" s="18">
        <v>42307.0</v>
      </c>
      <c r="E209" s="3">
        <v>7.422933</v>
      </c>
      <c r="F209" s="18">
        <v>42384.0</v>
      </c>
      <c r="G209" s="3">
        <v>7.635283</v>
      </c>
      <c r="H209" s="3">
        <v>0.0286</v>
      </c>
      <c r="I209" s="3">
        <v>1760.43</v>
      </c>
      <c r="J209" s="3">
        <v>0.0266</v>
      </c>
      <c r="K209" s="3">
        <v>8923.0</v>
      </c>
    </row>
    <row r="210" ht="15.75" customHeight="1">
      <c r="A210" s="3" t="s">
        <v>469</v>
      </c>
      <c r="B210" s="3" t="s">
        <v>470</v>
      </c>
      <c r="C210" s="3" t="s">
        <v>467</v>
      </c>
      <c r="D210" s="18">
        <v>40641.0</v>
      </c>
      <c r="E210" s="3">
        <v>1.796004</v>
      </c>
      <c r="F210" s="18">
        <v>42362.0</v>
      </c>
      <c r="G210" s="3">
        <v>2.925516</v>
      </c>
      <c r="H210" s="3">
        <v>0.6289</v>
      </c>
      <c r="I210" s="3">
        <v>29170.34</v>
      </c>
      <c r="J210" s="3">
        <v>0.6263</v>
      </c>
      <c r="K210" s="3">
        <v>25934.0</v>
      </c>
    </row>
    <row r="211" ht="15.75" customHeight="1">
      <c r="A211" s="3" t="s">
        <v>609</v>
      </c>
      <c r="B211" s="3" t="s">
        <v>610</v>
      </c>
      <c r="C211" s="3" t="s">
        <v>467</v>
      </c>
      <c r="D211" s="18">
        <v>41957.0</v>
      </c>
      <c r="E211" s="3">
        <v>2.262789</v>
      </c>
      <c r="F211" s="18">
        <v>42349.0</v>
      </c>
      <c r="G211" s="3">
        <v>2.256124</v>
      </c>
      <c r="H211" s="3">
        <v>-0.0029</v>
      </c>
      <c r="I211" s="3">
        <v>-294.11</v>
      </c>
      <c r="J211" s="3">
        <v>-0.0049</v>
      </c>
      <c r="K211" s="3">
        <v>26298.0</v>
      </c>
    </row>
    <row r="212" ht="15.75" customHeight="1">
      <c r="A212" s="3" t="s">
        <v>659</v>
      </c>
      <c r="B212" s="3" t="s">
        <v>660</v>
      </c>
      <c r="C212" s="3" t="s">
        <v>467</v>
      </c>
      <c r="D212" s="18">
        <v>42223.0</v>
      </c>
      <c r="E212" s="3">
        <v>0.7163988</v>
      </c>
      <c r="F212" s="18">
        <v>42258.0</v>
      </c>
      <c r="G212" s="3">
        <v>0.6839692</v>
      </c>
      <c r="H212" s="3">
        <v>-0.0453</v>
      </c>
      <c r="I212" s="3">
        <v>-3220.04</v>
      </c>
      <c r="J212" s="3">
        <v>-0.0472</v>
      </c>
      <c r="K212" s="3">
        <v>95183.0</v>
      </c>
    </row>
    <row r="213" ht="15.75" customHeight="1">
      <c r="A213" s="3" t="s">
        <v>661</v>
      </c>
      <c r="B213" s="3" t="s">
        <v>662</v>
      </c>
      <c r="C213" s="3" t="s">
        <v>467</v>
      </c>
      <c r="D213" s="18">
        <v>41733.0</v>
      </c>
      <c r="E213" s="3">
        <v>2.339965</v>
      </c>
      <c r="F213" s="18">
        <v>42251.0</v>
      </c>
      <c r="G213" s="3">
        <v>2.001698</v>
      </c>
      <c r="H213" s="3">
        <v>-0.1446</v>
      </c>
      <c r="I213" s="3">
        <v>-8621.4</v>
      </c>
      <c r="J213" s="3">
        <v>-0.1464</v>
      </c>
      <c r="K213" s="3">
        <v>25164.0</v>
      </c>
    </row>
    <row r="214" ht="15.75" customHeight="1">
      <c r="A214" s="3" t="s">
        <v>663</v>
      </c>
      <c r="B214" s="3" t="s">
        <v>664</v>
      </c>
      <c r="C214" s="3" t="s">
        <v>467</v>
      </c>
      <c r="D214" s="18">
        <v>41950.0</v>
      </c>
      <c r="E214" s="3">
        <v>2.88468</v>
      </c>
      <c r="F214" s="18">
        <v>42237.0</v>
      </c>
      <c r="G214" s="3">
        <v>2.274442</v>
      </c>
      <c r="H214" s="3">
        <v>-0.2115</v>
      </c>
      <c r="I214" s="3">
        <v>-12530.1</v>
      </c>
      <c r="J214" s="3">
        <v>-0.2133</v>
      </c>
      <c r="K214" s="3">
        <v>20361.0</v>
      </c>
    </row>
    <row r="215" ht="15.75" customHeight="1">
      <c r="A215" s="3" t="s">
        <v>665</v>
      </c>
      <c r="B215" s="3" t="s">
        <v>666</v>
      </c>
      <c r="C215" s="3" t="s">
        <v>467</v>
      </c>
      <c r="D215" s="18">
        <v>42223.0</v>
      </c>
      <c r="E215" s="3">
        <v>10.03413</v>
      </c>
      <c r="F215" s="18">
        <v>42237.0</v>
      </c>
      <c r="G215" s="3">
        <v>8.875489</v>
      </c>
      <c r="H215" s="3">
        <v>-0.1155</v>
      </c>
      <c r="I215" s="3">
        <v>-8002.63</v>
      </c>
      <c r="J215" s="3">
        <v>-0.1174</v>
      </c>
      <c r="K215" s="3">
        <v>6796.0</v>
      </c>
    </row>
    <row r="216" ht="15.75" customHeight="1">
      <c r="A216" s="3" t="s">
        <v>667</v>
      </c>
      <c r="B216" s="3" t="s">
        <v>668</v>
      </c>
      <c r="C216" s="3" t="s">
        <v>467</v>
      </c>
      <c r="D216" s="18">
        <v>42223.0</v>
      </c>
      <c r="E216" s="3">
        <v>10.14338</v>
      </c>
      <c r="F216" s="18">
        <v>42230.0</v>
      </c>
      <c r="G216" s="3">
        <v>8.677794</v>
      </c>
      <c r="H216" s="3">
        <v>-0.1445</v>
      </c>
      <c r="I216" s="3">
        <v>-9981.18</v>
      </c>
      <c r="J216" s="3">
        <v>-0.1463</v>
      </c>
      <c r="K216" s="3">
        <v>6724.0</v>
      </c>
    </row>
    <row r="217" ht="15.75" customHeight="1">
      <c r="A217" s="3" t="s">
        <v>669</v>
      </c>
      <c r="B217" s="3" t="s">
        <v>670</v>
      </c>
      <c r="C217" s="3" t="s">
        <v>467</v>
      </c>
      <c r="D217" s="18">
        <v>40886.0</v>
      </c>
      <c r="E217" s="3">
        <v>2.104145</v>
      </c>
      <c r="F217" s="18">
        <v>42153.0</v>
      </c>
      <c r="G217" s="3">
        <v>4.823669</v>
      </c>
      <c r="H217" s="3">
        <v>1.2925</v>
      </c>
      <c r="I217" s="3">
        <v>52939.03</v>
      </c>
      <c r="J217" s="3">
        <v>1.2892</v>
      </c>
      <c r="K217" s="3">
        <v>19516.0</v>
      </c>
    </row>
    <row r="218" ht="15.75" customHeight="1">
      <c r="A218" s="3" t="s">
        <v>671</v>
      </c>
      <c r="B218" s="3" t="s">
        <v>672</v>
      </c>
      <c r="C218" s="3" t="s">
        <v>467</v>
      </c>
      <c r="D218" s="18">
        <v>40018.0</v>
      </c>
      <c r="E218" s="3">
        <v>2.13667</v>
      </c>
      <c r="F218" s="18">
        <v>42153.0</v>
      </c>
      <c r="G218" s="3">
        <v>4.07</v>
      </c>
      <c r="H218" s="3">
        <v>0.9048</v>
      </c>
      <c r="I218" s="3">
        <v>35960.12</v>
      </c>
      <c r="J218" s="3">
        <v>0.9019</v>
      </c>
      <c r="K218" s="3">
        <v>18660.0</v>
      </c>
    </row>
    <row r="219" ht="15.75" customHeight="1">
      <c r="A219" s="3" t="s">
        <v>673</v>
      </c>
      <c r="B219" s="3" t="s">
        <v>674</v>
      </c>
      <c r="C219" s="3" t="s">
        <v>467</v>
      </c>
      <c r="D219" s="18">
        <v>42034.0</v>
      </c>
      <c r="E219" s="3">
        <v>1.639076</v>
      </c>
      <c r="F219" s="18">
        <v>42132.0</v>
      </c>
      <c r="G219" s="3">
        <v>1.725294</v>
      </c>
      <c r="H219" s="3">
        <v>0.0526</v>
      </c>
      <c r="I219" s="3">
        <v>3212.98</v>
      </c>
      <c r="J219" s="3">
        <v>0.0505</v>
      </c>
      <c r="K219" s="3">
        <v>38779.0</v>
      </c>
    </row>
    <row r="220" ht="15.75" customHeight="1">
      <c r="A220" s="3" t="s">
        <v>552</v>
      </c>
      <c r="B220" s="3" t="s">
        <v>553</v>
      </c>
      <c r="C220" s="3" t="s">
        <v>467</v>
      </c>
      <c r="D220" s="18">
        <v>41950.0</v>
      </c>
      <c r="E220" s="3">
        <v>5.370819</v>
      </c>
      <c r="F220" s="18">
        <v>42132.0</v>
      </c>
      <c r="G220" s="3">
        <v>7.567817</v>
      </c>
      <c r="H220" s="3">
        <v>0.4091</v>
      </c>
      <c r="I220" s="3">
        <v>23887.06</v>
      </c>
      <c r="J220" s="3">
        <v>0.4067</v>
      </c>
      <c r="K220" s="3">
        <v>10937.0</v>
      </c>
    </row>
    <row r="221" ht="15.75" customHeight="1">
      <c r="A221" s="3" t="s">
        <v>627</v>
      </c>
      <c r="B221" s="3" t="s">
        <v>628</v>
      </c>
      <c r="C221" s="3" t="s">
        <v>467</v>
      </c>
      <c r="D221" s="18">
        <v>41789.0</v>
      </c>
      <c r="E221" s="3">
        <v>1.140018</v>
      </c>
      <c r="F221" s="18">
        <v>42027.0</v>
      </c>
      <c r="G221" s="3">
        <v>1.978899</v>
      </c>
      <c r="H221" s="3">
        <v>0.7358</v>
      </c>
      <c r="I221" s="3">
        <v>44077.26</v>
      </c>
      <c r="J221" s="3">
        <v>0.7331</v>
      </c>
      <c r="K221" s="3">
        <v>52739.0</v>
      </c>
    </row>
    <row r="222" ht="15.75" customHeight="1">
      <c r="A222" s="3" t="s">
        <v>554</v>
      </c>
      <c r="B222" s="3" t="s">
        <v>555</v>
      </c>
      <c r="C222" s="3" t="s">
        <v>467</v>
      </c>
      <c r="D222" s="18">
        <v>41796.0</v>
      </c>
      <c r="E222" s="3">
        <v>3.355087</v>
      </c>
      <c r="F222" s="18">
        <v>41978.0</v>
      </c>
      <c r="G222" s="3">
        <v>2.608471</v>
      </c>
      <c r="H222" s="3">
        <v>-0.2225</v>
      </c>
      <c r="I222" s="3">
        <v>-13477.19</v>
      </c>
      <c r="J222" s="3">
        <v>-0.2243</v>
      </c>
      <c r="K222" s="3">
        <v>17908.0</v>
      </c>
    </row>
    <row r="223" ht="15.75" customHeight="1">
      <c r="A223" s="3" t="s">
        <v>514</v>
      </c>
      <c r="B223" s="3" t="s">
        <v>515</v>
      </c>
      <c r="C223" s="3" t="s">
        <v>467</v>
      </c>
      <c r="D223" s="18">
        <v>41957.0</v>
      </c>
      <c r="E223" s="3">
        <v>2.94413</v>
      </c>
      <c r="F223" s="18">
        <v>41978.0</v>
      </c>
      <c r="G223" s="3">
        <v>2.44821</v>
      </c>
      <c r="H223" s="3">
        <v>-0.1684</v>
      </c>
      <c r="I223" s="3">
        <v>-10131.02</v>
      </c>
      <c r="J223" s="3">
        <v>-0.1703</v>
      </c>
      <c r="K223" s="3">
        <v>20209.0</v>
      </c>
    </row>
    <row r="224" ht="15.75" customHeight="1">
      <c r="A224" s="3" t="s">
        <v>675</v>
      </c>
      <c r="B224" s="3" t="s">
        <v>676</v>
      </c>
      <c r="C224" s="3" t="s">
        <v>467</v>
      </c>
      <c r="D224" s="18">
        <v>41824.0</v>
      </c>
      <c r="E224" s="3">
        <v>10.8828</v>
      </c>
      <c r="F224" s="18">
        <v>41936.0</v>
      </c>
      <c r="G224" s="3">
        <v>9.839866</v>
      </c>
      <c r="H224" s="3">
        <v>-0.0958</v>
      </c>
      <c r="I224" s="3">
        <v>-5718.2</v>
      </c>
      <c r="J224" s="3">
        <v>-0.0977</v>
      </c>
      <c r="K224" s="3">
        <v>5376.0</v>
      </c>
    </row>
    <row r="225" ht="15.75" customHeight="1">
      <c r="A225" s="3" t="s">
        <v>508</v>
      </c>
      <c r="B225" s="3" t="s">
        <v>509</v>
      </c>
      <c r="C225" s="3" t="s">
        <v>467</v>
      </c>
      <c r="D225" s="18">
        <v>41873.0</v>
      </c>
      <c r="E225" s="3">
        <v>1.084471</v>
      </c>
      <c r="F225" s="18">
        <v>41929.0</v>
      </c>
      <c r="G225" s="3">
        <v>0.8615523</v>
      </c>
      <c r="H225" s="3">
        <v>-0.2056</v>
      </c>
      <c r="I225" s="3">
        <v>-12275.37</v>
      </c>
      <c r="J225" s="3">
        <v>-0.2073</v>
      </c>
      <c r="K225" s="3">
        <v>54590.0</v>
      </c>
    </row>
    <row r="226" ht="15.75" customHeight="1">
      <c r="A226" s="3" t="s">
        <v>677</v>
      </c>
      <c r="B226" s="3" t="s">
        <v>678</v>
      </c>
      <c r="C226" s="3" t="s">
        <v>467</v>
      </c>
      <c r="D226" s="18">
        <v>41831.0</v>
      </c>
      <c r="E226" s="3">
        <v>4.703424</v>
      </c>
      <c r="F226" s="18">
        <v>41915.0</v>
      </c>
      <c r="G226" s="3">
        <v>3.930758</v>
      </c>
      <c r="H226" s="3">
        <v>-0.1643</v>
      </c>
      <c r="I226" s="3">
        <v>-9770.94</v>
      </c>
      <c r="J226" s="3">
        <v>-0.1661</v>
      </c>
      <c r="K226" s="3">
        <v>12506.0</v>
      </c>
    </row>
    <row r="227" ht="15.75" customHeight="1">
      <c r="A227" s="3" t="s">
        <v>679</v>
      </c>
      <c r="B227" s="3" t="s">
        <v>680</v>
      </c>
      <c r="C227" s="3" t="s">
        <v>467</v>
      </c>
      <c r="D227" s="18">
        <v>40403.0</v>
      </c>
      <c r="E227" s="3">
        <v>0.3976072</v>
      </c>
      <c r="F227" s="18">
        <v>41908.0</v>
      </c>
      <c r="G227" s="3">
        <v>0.6270981</v>
      </c>
      <c r="H227" s="3">
        <v>0.5772</v>
      </c>
      <c r="I227" s="3">
        <v>24257.17</v>
      </c>
      <c r="J227" s="3">
        <v>0.5746</v>
      </c>
      <c r="K227" s="3">
        <v>106174.0</v>
      </c>
    </row>
    <row r="228" ht="15.75" customHeight="1">
      <c r="A228" s="3" t="s">
        <v>681</v>
      </c>
      <c r="B228" s="3" t="s">
        <v>682</v>
      </c>
      <c r="C228" s="3" t="s">
        <v>467</v>
      </c>
      <c r="D228" s="18">
        <v>41712.0</v>
      </c>
      <c r="E228" s="3">
        <v>1.645</v>
      </c>
      <c r="F228" s="18">
        <v>41866.0</v>
      </c>
      <c r="G228" s="3">
        <v>1.49</v>
      </c>
      <c r="H228" s="3">
        <v>-0.0942</v>
      </c>
      <c r="I228" s="3">
        <v>-5814.15</v>
      </c>
      <c r="J228" s="3">
        <v>-0.0961</v>
      </c>
      <c r="K228" s="3">
        <v>36767.0</v>
      </c>
    </row>
    <row r="229" ht="15.75" customHeight="1">
      <c r="A229" s="3" t="s">
        <v>653</v>
      </c>
      <c r="B229" s="3" t="s">
        <v>654</v>
      </c>
      <c r="C229" s="3" t="s">
        <v>467</v>
      </c>
      <c r="D229" s="18">
        <v>41474.0</v>
      </c>
      <c r="E229" s="3">
        <v>6.55431</v>
      </c>
      <c r="F229" s="18">
        <v>41810.0</v>
      </c>
      <c r="G229" s="3">
        <v>6.092051</v>
      </c>
      <c r="H229" s="3">
        <v>-0.0705</v>
      </c>
      <c r="I229" s="3">
        <v>-4045.72</v>
      </c>
      <c r="J229" s="3">
        <v>-0.0725</v>
      </c>
      <c r="K229" s="3">
        <v>8519.0</v>
      </c>
    </row>
    <row r="230" ht="15.75" customHeight="1">
      <c r="A230" s="3" t="s">
        <v>683</v>
      </c>
      <c r="B230" s="3" t="s">
        <v>684</v>
      </c>
      <c r="C230" s="3" t="s">
        <v>467</v>
      </c>
      <c r="D230" s="18">
        <v>41691.0</v>
      </c>
      <c r="E230" s="3">
        <v>2.79</v>
      </c>
      <c r="F230" s="18">
        <v>41810.0</v>
      </c>
      <c r="G230" s="3">
        <v>3.02</v>
      </c>
      <c r="H230" s="3">
        <v>0.0824</v>
      </c>
      <c r="I230" s="3">
        <v>4781.08</v>
      </c>
      <c r="J230" s="3">
        <v>0.0804</v>
      </c>
      <c r="K230" s="3">
        <v>21326.0</v>
      </c>
    </row>
    <row r="231" ht="15.75" customHeight="1">
      <c r="A231" s="3" t="s">
        <v>685</v>
      </c>
      <c r="B231" s="3" t="s">
        <v>686</v>
      </c>
      <c r="C231" s="3" t="s">
        <v>467</v>
      </c>
      <c r="D231" s="18">
        <v>40886.0</v>
      </c>
      <c r="E231" s="3">
        <v>1.910223</v>
      </c>
      <c r="F231" s="18">
        <v>41796.0</v>
      </c>
      <c r="G231" s="3">
        <v>2.312332</v>
      </c>
      <c r="H231" s="3">
        <v>0.2105</v>
      </c>
      <c r="I231" s="3">
        <v>8555.35</v>
      </c>
      <c r="J231" s="3">
        <v>0.2083</v>
      </c>
      <c r="K231" s="3">
        <v>21502.0</v>
      </c>
    </row>
    <row r="232" ht="15.75" customHeight="1">
      <c r="A232" s="3" t="s">
        <v>663</v>
      </c>
      <c r="B232" s="3" t="s">
        <v>664</v>
      </c>
      <c r="C232" s="3" t="s">
        <v>467</v>
      </c>
      <c r="D232" s="18">
        <v>41397.0</v>
      </c>
      <c r="E232" s="3">
        <v>3.198795</v>
      </c>
      <c r="F232" s="18">
        <v>41789.0</v>
      </c>
      <c r="G232" s="3">
        <v>2.666123</v>
      </c>
      <c r="H232" s="3">
        <v>-0.1665</v>
      </c>
      <c r="I232" s="3">
        <v>-9451.86</v>
      </c>
      <c r="J232" s="3">
        <v>-0.1684</v>
      </c>
      <c r="K232" s="3">
        <v>17551.0</v>
      </c>
    </row>
    <row r="233" ht="15.75" customHeight="1">
      <c r="A233" s="3" t="s">
        <v>687</v>
      </c>
      <c r="B233" s="3" t="s">
        <v>688</v>
      </c>
      <c r="C233" s="3" t="s">
        <v>467</v>
      </c>
      <c r="D233" s="18">
        <v>40886.0</v>
      </c>
      <c r="E233" s="3">
        <v>16.18878</v>
      </c>
      <c r="F233" s="18">
        <v>41733.0</v>
      </c>
      <c r="G233" s="3">
        <v>33.35</v>
      </c>
      <c r="H233" s="3">
        <v>1.0601</v>
      </c>
      <c r="I233" s="3">
        <v>43412.34</v>
      </c>
      <c r="J233" s="3">
        <v>1.057</v>
      </c>
      <c r="K233" s="3">
        <v>2537.0</v>
      </c>
    </row>
    <row r="234" ht="15.75" customHeight="1">
      <c r="A234" s="3" t="s">
        <v>689</v>
      </c>
      <c r="B234" s="3" t="s">
        <v>690</v>
      </c>
      <c r="C234" s="3" t="s">
        <v>467</v>
      </c>
      <c r="D234" s="18">
        <v>40928.0</v>
      </c>
      <c r="E234" s="3">
        <v>0.8804801</v>
      </c>
      <c r="F234" s="18">
        <v>41708.0</v>
      </c>
      <c r="G234" s="3">
        <v>1.255</v>
      </c>
      <c r="H234" s="3">
        <v>0.4254</v>
      </c>
      <c r="I234" s="3">
        <v>17271.93</v>
      </c>
      <c r="J234" s="3">
        <v>0.4229</v>
      </c>
      <c r="K234" s="3">
        <v>46382.0</v>
      </c>
    </row>
    <row r="235" ht="15.75" customHeight="1">
      <c r="A235" s="3" t="s">
        <v>691</v>
      </c>
      <c r="B235" s="3" t="s">
        <v>692</v>
      </c>
      <c r="C235" s="3" t="s">
        <v>467</v>
      </c>
      <c r="D235" s="18">
        <v>41250.0</v>
      </c>
      <c r="E235" s="3">
        <v>0.6262558</v>
      </c>
      <c r="F235" s="18">
        <v>41691.0</v>
      </c>
      <c r="G235" s="3">
        <v>0.5953968</v>
      </c>
      <c r="H235" s="3">
        <v>-0.0493</v>
      </c>
      <c r="I235" s="3">
        <v>-2496.55</v>
      </c>
      <c r="J235" s="3">
        <v>-0.0512</v>
      </c>
      <c r="K235" s="3">
        <v>77821.0</v>
      </c>
    </row>
    <row r="236" ht="15.75" customHeight="1">
      <c r="A236" s="3" t="s">
        <v>693</v>
      </c>
      <c r="B236" s="3" t="s">
        <v>694</v>
      </c>
      <c r="C236" s="3" t="s">
        <v>467</v>
      </c>
      <c r="D236" s="18">
        <v>41471.0</v>
      </c>
      <c r="E236" s="3">
        <v>9.182462</v>
      </c>
      <c r="F236" s="18">
        <v>41488.0</v>
      </c>
      <c r="G236" s="3">
        <v>5.05289</v>
      </c>
      <c r="H236" s="3">
        <v>-0.4497</v>
      </c>
      <c r="I236" s="3">
        <v>-25289.64</v>
      </c>
      <c r="J236" s="3">
        <v>-0.4513</v>
      </c>
      <c r="K236" s="3">
        <v>6103.0</v>
      </c>
    </row>
    <row r="237" ht="15.75" customHeight="1">
      <c r="A237" s="3" t="s">
        <v>695</v>
      </c>
      <c r="B237" s="3" t="s">
        <v>696</v>
      </c>
      <c r="C237" s="3" t="s">
        <v>467</v>
      </c>
      <c r="D237" s="18">
        <v>40886.0</v>
      </c>
      <c r="E237" s="3">
        <v>1.465609</v>
      </c>
      <c r="F237" s="18">
        <v>41432.0</v>
      </c>
      <c r="G237" s="3">
        <v>1.756683</v>
      </c>
      <c r="H237" s="3">
        <v>0.1986</v>
      </c>
      <c r="I237" s="3">
        <v>8064.17</v>
      </c>
      <c r="J237" s="3">
        <v>0.1964</v>
      </c>
      <c r="K237" s="3">
        <v>28015.0</v>
      </c>
    </row>
    <row r="238" ht="15.75" customHeight="1">
      <c r="A238" s="3" t="s">
        <v>697</v>
      </c>
      <c r="B238" s="3" t="s">
        <v>698</v>
      </c>
      <c r="C238" s="3" t="s">
        <v>467</v>
      </c>
      <c r="D238" s="18">
        <v>40851.0</v>
      </c>
      <c r="E238" s="3">
        <v>10.10148</v>
      </c>
      <c r="F238" s="18">
        <v>41432.0</v>
      </c>
      <c r="G238" s="3">
        <v>14.71911</v>
      </c>
      <c r="H238" s="3">
        <v>0.4571</v>
      </c>
      <c r="I238" s="3">
        <v>18807.55</v>
      </c>
      <c r="J238" s="3">
        <v>0.4547</v>
      </c>
      <c r="K238" s="3">
        <v>4095.0</v>
      </c>
    </row>
    <row r="239" ht="15.75" customHeight="1">
      <c r="A239" s="3" t="s">
        <v>699</v>
      </c>
      <c r="B239" s="3" t="s">
        <v>700</v>
      </c>
      <c r="C239" s="3" t="s">
        <v>467</v>
      </c>
      <c r="D239" s="18">
        <v>41383.0</v>
      </c>
      <c r="E239" s="3">
        <v>0.3891455</v>
      </c>
      <c r="F239" s="18">
        <v>41390.0</v>
      </c>
      <c r="G239" s="3">
        <v>0.328195</v>
      </c>
      <c r="H239" s="3">
        <v>-0.1566</v>
      </c>
      <c r="I239" s="3">
        <v>-8766.7</v>
      </c>
      <c r="J239" s="3">
        <v>-0.1585</v>
      </c>
      <c r="K239" s="3">
        <v>142160.0</v>
      </c>
    </row>
    <row r="240" ht="15.75" customHeight="1">
      <c r="A240" s="3" t="s">
        <v>491</v>
      </c>
      <c r="B240" s="3" t="s">
        <v>492</v>
      </c>
      <c r="C240" s="3" t="s">
        <v>467</v>
      </c>
      <c r="D240" s="18">
        <v>41250.0</v>
      </c>
      <c r="E240" s="3">
        <v>3.579138</v>
      </c>
      <c r="F240" s="18">
        <v>41376.0</v>
      </c>
      <c r="G240" s="3">
        <v>2.807913</v>
      </c>
      <c r="H240" s="3">
        <v>-0.2155</v>
      </c>
      <c r="I240" s="3">
        <v>-10589.52</v>
      </c>
      <c r="J240" s="3">
        <v>-0.2173</v>
      </c>
      <c r="K240" s="3">
        <v>13618.0</v>
      </c>
    </row>
    <row r="241" ht="15.75" customHeight="1">
      <c r="A241" s="3" t="s">
        <v>701</v>
      </c>
      <c r="B241" s="3" t="s">
        <v>702</v>
      </c>
      <c r="C241" s="3" t="s">
        <v>467</v>
      </c>
      <c r="D241" s="18">
        <v>41117.0</v>
      </c>
      <c r="E241" s="3">
        <v>0.03340991</v>
      </c>
      <c r="F241" s="18">
        <v>41243.0</v>
      </c>
      <c r="G241" s="3">
        <v>0.02652024</v>
      </c>
      <c r="H241" s="3">
        <v>-0.2062</v>
      </c>
      <c r="I241" s="3">
        <v>-9477.86</v>
      </c>
      <c r="J241" s="3">
        <v>-0.208</v>
      </c>
      <c r="K241" s="3">
        <v>1363800.0</v>
      </c>
    </row>
    <row r="242" ht="15.75" customHeight="1">
      <c r="A242" s="3" t="s">
        <v>703</v>
      </c>
      <c r="B242" s="3" t="s">
        <v>704</v>
      </c>
      <c r="C242" s="3" t="s">
        <v>467</v>
      </c>
      <c r="D242" s="18">
        <v>40178.0</v>
      </c>
      <c r="E242" s="3">
        <v>0.9536029</v>
      </c>
      <c r="F242" s="18">
        <v>41236.0</v>
      </c>
      <c r="G242" s="3">
        <v>2.79</v>
      </c>
      <c r="H242" s="3">
        <v>1.9257</v>
      </c>
      <c r="I242" s="3">
        <v>89578.27</v>
      </c>
      <c r="J242" s="3">
        <v>1.9218</v>
      </c>
      <c r="K242" s="3">
        <v>48879.0</v>
      </c>
    </row>
    <row r="243" ht="15.75" customHeight="1">
      <c r="A243" s="3" t="s">
        <v>601</v>
      </c>
      <c r="B243" s="3" t="s">
        <v>602</v>
      </c>
      <c r="C243" s="3" t="s">
        <v>467</v>
      </c>
      <c r="D243" s="18">
        <v>40858.0</v>
      </c>
      <c r="E243" s="3">
        <v>2.235217</v>
      </c>
      <c r="F243" s="18">
        <v>41047.0</v>
      </c>
      <c r="G243" s="3">
        <v>2.7582</v>
      </c>
      <c r="H243" s="3">
        <v>0.234</v>
      </c>
      <c r="I243" s="3">
        <v>9466.78</v>
      </c>
      <c r="J243" s="3">
        <v>0.2317</v>
      </c>
      <c r="K243" s="3">
        <v>18276.0</v>
      </c>
    </row>
    <row r="244" ht="15.75" customHeight="1">
      <c r="A244" s="3" t="s">
        <v>705</v>
      </c>
      <c r="B244" s="3" t="s">
        <v>706</v>
      </c>
      <c r="C244" s="3" t="s">
        <v>467</v>
      </c>
      <c r="D244" s="18">
        <v>40851.0</v>
      </c>
      <c r="E244" s="3">
        <v>4.354164</v>
      </c>
      <c r="F244" s="18">
        <v>40907.0</v>
      </c>
      <c r="G244" s="3">
        <v>3.758569</v>
      </c>
      <c r="H244" s="3">
        <v>-0.1368</v>
      </c>
      <c r="I244" s="3">
        <v>-5738.24</v>
      </c>
      <c r="J244" s="3">
        <v>-0.1387</v>
      </c>
      <c r="K244" s="3">
        <v>9505.0</v>
      </c>
    </row>
    <row r="245" ht="15.75" customHeight="1">
      <c r="A245" s="3" t="s">
        <v>142</v>
      </c>
      <c r="B245" s="3" t="s">
        <v>144</v>
      </c>
      <c r="C245" s="3" t="s">
        <v>467</v>
      </c>
      <c r="D245" s="18">
        <v>40851.0</v>
      </c>
      <c r="E245" s="3">
        <v>4.572368</v>
      </c>
      <c r="F245" s="18">
        <v>40900.0</v>
      </c>
      <c r="G245" s="3">
        <v>4.664377</v>
      </c>
      <c r="H245" s="3">
        <v>0.0201</v>
      </c>
      <c r="I245" s="3">
        <v>749.01</v>
      </c>
      <c r="J245" s="3">
        <v>0.0181</v>
      </c>
      <c r="K245" s="3">
        <v>9049.0</v>
      </c>
    </row>
    <row r="246" ht="15.75" customHeight="1">
      <c r="A246" s="3" t="s">
        <v>707</v>
      </c>
      <c r="B246" s="3" t="s">
        <v>708</v>
      </c>
      <c r="C246" s="3" t="s">
        <v>467</v>
      </c>
      <c r="D246" s="18">
        <v>40865.0</v>
      </c>
      <c r="E246" s="3">
        <v>1.64826</v>
      </c>
      <c r="F246" s="18">
        <v>40879.0</v>
      </c>
      <c r="G246" s="3">
        <v>1.564592</v>
      </c>
      <c r="H246" s="3">
        <v>-0.0508</v>
      </c>
      <c r="I246" s="3">
        <v>-2207.73</v>
      </c>
      <c r="J246" s="3">
        <v>-0.0527</v>
      </c>
      <c r="K246" s="3">
        <v>25411.0</v>
      </c>
    </row>
    <row r="247" ht="15.75" customHeight="1">
      <c r="A247" s="3" t="s">
        <v>709</v>
      </c>
      <c r="B247" s="3" t="s">
        <v>710</v>
      </c>
      <c r="C247" s="3" t="s">
        <v>467</v>
      </c>
      <c r="D247" s="18">
        <v>40858.0</v>
      </c>
      <c r="E247" s="3">
        <v>8.735169</v>
      </c>
      <c r="F247" s="18">
        <v>40879.0</v>
      </c>
      <c r="G247" s="3">
        <v>7.793939</v>
      </c>
      <c r="H247" s="3">
        <v>-0.1078</v>
      </c>
      <c r="I247" s="3">
        <v>-4479.44</v>
      </c>
      <c r="J247" s="3">
        <v>-0.1096</v>
      </c>
      <c r="K247" s="3">
        <v>4677.0</v>
      </c>
    </row>
    <row r="248" ht="15.75" customHeight="1">
      <c r="A248" s="3" t="s">
        <v>711</v>
      </c>
      <c r="B248" s="3" t="s">
        <v>712</v>
      </c>
      <c r="C248" s="3" t="s">
        <v>467</v>
      </c>
      <c r="D248" s="18">
        <v>40858.0</v>
      </c>
      <c r="E248" s="3">
        <v>0.3737692</v>
      </c>
      <c r="F248" s="18">
        <v>40879.0</v>
      </c>
      <c r="G248" s="3">
        <v>0.3344251</v>
      </c>
      <c r="H248" s="3">
        <v>-0.1053</v>
      </c>
      <c r="I248" s="3">
        <v>-4378.68</v>
      </c>
      <c r="J248" s="3">
        <v>-0.1072</v>
      </c>
      <c r="K248" s="3">
        <v>109324.0</v>
      </c>
    </row>
    <row r="249" ht="15.75" customHeight="1">
      <c r="A249" s="3" t="s">
        <v>190</v>
      </c>
      <c r="B249" s="3" t="s">
        <v>86</v>
      </c>
      <c r="C249" s="3" t="s">
        <v>467</v>
      </c>
      <c r="D249" s="18">
        <v>40851.0</v>
      </c>
      <c r="E249" s="3">
        <v>10.90368</v>
      </c>
      <c r="F249" s="18">
        <v>40879.0</v>
      </c>
      <c r="G249" s="3">
        <v>9.8172</v>
      </c>
      <c r="H249" s="3">
        <v>-0.0996</v>
      </c>
      <c r="I249" s="3">
        <v>-4200.72</v>
      </c>
      <c r="J249" s="3">
        <v>-0.1015</v>
      </c>
      <c r="K249" s="3">
        <v>3794.0</v>
      </c>
    </row>
    <row r="250" ht="15.75" customHeight="1">
      <c r="A250" s="3" t="s">
        <v>607</v>
      </c>
      <c r="B250" s="3" t="s">
        <v>608</v>
      </c>
      <c r="C250" s="3" t="s">
        <v>467</v>
      </c>
      <c r="D250" s="18">
        <v>40851.0</v>
      </c>
      <c r="E250" s="3">
        <v>3.131643</v>
      </c>
      <c r="F250" s="18">
        <v>40879.0</v>
      </c>
      <c r="G250" s="3">
        <v>2.658517</v>
      </c>
      <c r="H250" s="3">
        <v>-0.1511</v>
      </c>
      <c r="I250" s="3">
        <v>-6328.4</v>
      </c>
      <c r="J250" s="3">
        <v>-0.1529</v>
      </c>
      <c r="K250" s="3">
        <v>13214.0</v>
      </c>
    </row>
    <row r="251" ht="15.75" customHeight="1">
      <c r="A251" s="3" t="s">
        <v>385</v>
      </c>
      <c r="B251" s="3" t="s">
        <v>386</v>
      </c>
      <c r="C251" s="3" t="s">
        <v>467</v>
      </c>
      <c r="D251" s="18">
        <v>40851.0</v>
      </c>
      <c r="E251" s="3">
        <v>4.101201</v>
      </c>
      <c r="F251" s="18">
        <v>40879.0</v>
      </c>
      <c r="G251" s="3">
        <v>3.783168</v>
      </c>
      <c r="H251" s="3">
        <v>-0.0775</v>
      </c>
      <c r="I251" s="3">
        <v>-3289.16</v>
      </c>
      <c r="J251" s="3">
        <v>-0.0795</v>
      </c>
      <c r="K251" s="3">
        <v>10092.0</v>
      </c>
    </row>
    <row r="252" ht="15.75" customHeight="1">
      <c r="A252" s="3" t="s">
        <v>713</v>
      </c>
      <c r="B252" s="3" t="s">
        <v>714</v>
      </c>
      <c r="C252" s="3" t="s">
        <v>467</v>
      </c>
      <c r="D252" s="18">
        <v>40641.0</v>
      </c>
      <c r="E252" s="3">
        <v>3.866837</v>
      </c>
      <c r="F252" s="18">
        <v>40837.0</v>
      </c>
      <c r="G252" s="3">
        <v>3.060731</v>
      </c>
      <c r="H252" s="3">
        <v>-0.2085</v>
      </c>
      <c r="I252" s="3">
        <v>-9791.36</v>
      </c>
      <c r="J252" s="3">
        <v>-0.2103</v>
      </c>
      <c r="K252" s="3">
        <v>12043.0</v>
      </c>
    </row>
    <row r="253" ht="15.75" customHeight="1">
      <c r="A253" s="3" t="s">
        <v>715</v>
      </c>
      <c r="B253" s="3" t="s">
        <v>716</v>
      </c>
      <c r="C253" s="3" t="s">
        <v>467</v>
      </c>
      <c r="D253" s="18">
        <v>40641.0</v>
      </c>
      <c r="E253" s="3">
        <v>1.688533</v>
      </c>
      <c r="F253" s="18">
        <v>40774.0</v>
      </c>
      <c r="G253" s="3">
        <v>1.589826</v>
      </c>
      <c r="H253" s="3">
        <v>-0.0585</v>
      </c>
      <c r="I253" s="3">
        <v>-2812.45</v>
      </c>
      <c r="J253" s="3">
        <v>-0.0604</v>
      </c>
      <c r="K253" s="3">
        <v>27577.0</v>
      </c>
    </row>
    <row r="254" ht="15.75" customHeight="1">
      <c r="A254" s="3" t="s">
        <v>231</v>
      </c>
      <c r="B254" s="3" t="s">
        <v>232</v>
      </c>
      <c r="C254" s="3" t="s">
        <v>467</v>
      </c>
      <c r="D254" s="18">
        <v>40403.0</v>
      </c>
      <c r="E254" s="3">
        <v>0.6629024</v>
      </c>
      <c r="F254" s="18">
        <v>40774.0</v>
      </c>
      <c r="G254" s="3">
        <v>0.7597881</v>
      </c>
      <c r="H254" s="3">
        <v>0.1462</v>
      </c>
      <c r="I254" s="3">
        <v>6080.9</v>
      </c>
      <c r="J254" s="3">
        <v>0.144</v>
      </c>
      <c r="K254" s="3">
        <v>63699.0</v>
      </c>
    </row>
    <row r="255" ht="15.75" customHeight="1">
      <c r="A255" s="3" t="s">
        <v>717</v>
      </c>
      <c r="B255" s="3" t="s">
        <v>718</v>
      </c>
      <c r="C255" s="3" t="s">
        <v>467</v>
      </c>
      <c r="D255" s="18">
        <v>40480.0</v>
      </c>
      <c r="E255" s="3">
        <v>2.906061</v>
      </c>
      <c r="F255" s="18">
        <v>40767.0</v>
      </c>
      <c r="G255" s="3">
        <v>2.369928</v>
      </c>
      <c r="H255" s="3">
        <v>-0.1845</v>
      </c>
      <c r="I255" s="3">
        <v>-8659.3</v>
      </c>
      <c r="J255" s="3">
        <v>-0.1863</v>
      </c>
      <c r="K255" s="3">
        <v>15994.0</v>
      </c>
    </row>
    <row r="256" ht="15.75" customHeight="1">
      <c r="A256" s="3" t="s">
        <v>552</v>
      </c>
      <c r="B256" s="3" t="s">
        <v>553</v>
      </c>
      <c r="C256" s="3" t="s">
        <v>467</v>
      </c>
      <c r="D256" s="18">
        <v>40178.0</v>
      </c>
      <c r="E256" s="3">
        <v>2.59631</v>
      </c>
      <c r="F256" s="18">
        <v>40760.0</v>
      </c>
      <c r="G256" s="3">
        <v>2.395924</v>
      </c>
      <c r="H256" s="3">
        <v>-0.0772</v>
      </c>
      <c r="I256" s="3">
        <v>-3686.13</v>
      </c>
      <c r="J256" s="3">
        <v>-0.0791</v>
      </c>
      <c r="K256" s="3">
        <v>17948.0</v>
      </c>
    </row>
    <row r="257" ht="15.75" customHeight="1">
      <c r="A257" s="3" t="s">
        <v>522</v>
      </c>
      <c r="B257" s="3" t="s">
        <v>523</v>
      </c>
      <c r="C257" s="3" t="s">
        <v>467</v>
      </c>
      <c r="D257" s="18">
        <v>39906.0</v>
      </c>
      <c r="E257" s="3">
        <v>5.14864</v>
      </c>
      <c r="F257" s="18">
        <v>40746.0</v>
      </c>
      <c r="G257" s="3">
        <v>7.392593</v>
      </c>
      <c r="H257" s="3">
        <v>0.4358</v>
      </c>
      <c r="I257" s="3">
        <v>15057.57</v>
      </c>
      <c r="J257" s="3">
        <v>0.4334</v>
      </c>
      <c r="K257" s="3">
        <v>6748.0</v>
      </c>
    </row>
    <row r="258" ht="15.75" customHeight="1">
      <c r="A258" s="3" t="s">
        <v>719</v>
      </c>
      <c r="B258" s="3" t="s">
        <v>720</v>
      </c>
      <c r="C258" s="3" t="s">
        <v>467</v>
      </c>
      <c r="D258" s="18">
        <v>40648.0</v>
      </c>
      <c r="E258" s="3">
        <v>24.85476</v>
      </c>
      <c r="F258" s="18">
        <v>40711.0</v>
      </c>
      <c r="G258" s="3">
        <v>20.12052</v>
      </c>
      <c r="H258" s="3">
        <v>-0.1905</v>
      </c>
      <c r="I258" s="3">
        <v>-8980.15</v>
      </c>
      <c r="J258" s="3">
        <v>-0.1923</v>
      </c>
      <c r="K258" s="3">
        <v>1879.0</v>
      </c>
    </row>
    <row r="259" ht="15.75" customHeight="1">
      <c r="A259" s="3" t="s">
        <v>370</v>
      </c>
      <c r="B259" s="3" t="s">
        <v>371</v>
      </c>
      <c r="C259" s="3" t="s">
        <v>467</v>
      </c>
      <c r="D259" s="18">
        <v>40654.0</v>
      </c>
      <c r="E259" s="3">
        <v>5.677436</v>
      </c>
      <c r="F259" s="18">
        <v>40690.0</v>
      </c>
      <c r="G259" s="3">
        <v>5.328338</v>
      </c>
      <c r="H259" s="3">
        <v>-0.0615</v>
      </c>
      <c r="I259" s="3">
        <v>-2921.16</v>
      </c>
      <c r="J259" s="3">
        <v>-0.0634</v>
      </c>
      <c r="K259" s="3">
        <v>8112.0</v>
      </c>
    </row>
    <row r="260" ht="15.75" customHeight="1">
      <c r="A260" s="3" t="s">
        <v>721</v>
      </c>
      <c r="B260" s="3" t="s">
        <v>722</v>
      </c>
      <c r="C260" s="3" t="s">
        <v>467</v>
      </c>
      <c r="D260" s="18">
        <v>40648.0</v>
      </c>
      <c r="E260" s="3">
        <v>2.08</v>
      </c>
      <c r="F260" s="18">
        <v>40676.0</v>
      </c>
      <c r="G260" s="3">
        <v>1.53</v>
      </c>
      <c r="H260" s="3">
        <v>-0.2644</v>
      </c>
      <c r="I260" s="3">
        <v>-12429.1</v>
      </c>
      <c r="J260" s="3">
        <v>-0.2662</v>
      </c>
      <c r="K260" s="3">
        <v>22451.0</v>
      </c>
    </row>
    <row r="261" ht="15.75" customHeight="1">
      <c r="A261" s="3" t="s">
        <v>723</v>
      </c>
      <c r="B261" s="3" t="s">
        <v>724</v>
      </c>
      <c r="C261" s="3" t="s">
        <v>467</v>
      </c>
      <c r="D261" s="18">
        <v>40641.0</v>
      </c>
      <c r="E261" s="3">
        <v>2.213479</v>
      </c>
      <c r="F261" s="18">
        <v>40676.0</v>
      </c>
      <c r="G261" s="3">
        <v>1.881881</v>
      </c>
      <c r="H261" s="3">
        <v>-0.1498</v>
      </c>
      <c r="I261" s="3">
        <v>-7064.67</v>
      </c>
      <c r="J261" s="3">
        <v>-0.1517</v>
      </c>
      <c r="K261" s="3">
        <v>21045.0</v>
      </c>
    </row>
    <row r="262" ht="15.75" customHeight="1">
      <c r="A262" s="3" t="s">
        <v>725</v>
      </c>
      <c r="B262" s="3" t="s">
        <v>726</v>
      </c>
      <c r="C262" s="3" t="s">
        <v>467</v>
      </c>
      <c r="D262" s="18">
        <v>40018.0</v>
      </c>
      <c r="E262" s="3">
        <v>0.008416654</v>
      </c>
      <c r="F262" s="18">
        <v>40627.0</v>
      </c>
      <c r="G262" s="3">
        <v>0.007955466</v>
      </c>
      <c r="H262" s="3">
        <v>-0.0548</v>
      </c>
      <c r="I262" s="3">
        <v>-2263.43</v>
      </c>
      <c r="J262" s="3">
        <v>-0.0567</v>
      </c>
      <c r="K262" s="3">
        <v>4739652.0</v>
      </c>
    </row>
    <row r="263" ht="15.75" customHeight="1">
      <c r="A263" s="3" t="s">
        <v>719</v>
      </c>
      <c r="B263" s="3" t="s">
        <v>720</v>
      </c>
      <c r="C263" s="3" t="s">
        <v>467</v>
      </c>
      <c r="D263" s="18">
        <v>40403.0</v>
      </c>
      <c r="E263" s="3">
        <v>8.778069</v>
      </c>
      <c r="F263" s="18">
        <v>40620.0</v>
      </c>
      <c r="G263" s="3">
        <v>19.03559</v>
      </c>
      <c r="H263" s="3">
        <v>1.1685</v>
      </c>
      <c r="I263" s="3">
        <v>49215.12</v>
      </c>
      <c r="J263" s="3">
        <v>1.1654</v>
      </c>
      <c r="K263" s="3">
        <v>4811.0</v>
      </c>
    </row>
    <row r="264" ht="15.75" customHeight="1">
      <c r="A264" s="3" t="s">
        <v>683</v>
      </c>
      <c r="B264" s="3" t="s">
        <v>684</v>
      </c>
      <c r="C264" s="3" t="s">
        <v>467</v>
      </c>
      <c r="D264" s="18">
        <v>40522.0</v>
      </c>
      <c r="E264" s="3">
        <v>9.245547</v>
      </c>
      <c r="F264" s="18">
        <v>40620.0</v>
      </c>
      <c r="G264" s="3">
        <v>6.790977</v>
      </c>
      <c r="H264" s="3">
        <v>-0.2655</v>
      </c>
      <c r="I264" s="3">
        <v>-12377.75</v>
      </c>
      <c r="J264" s="3">
        <v>-0.2672</v>
      </c>
      <c r="K264" s="3">
        <v>5010.0</v>
      </c>
    </row>
    <row r="265" ht="15.75" customHeight="1">
      <c r="A265" s="3" t="s">
        <v>601</v>
      </c>
      <c r="B265" s="3" t="s">
        <v>602</v>
      </c>
      <c r="C265" s="3" t="s">
        <v>467</v>
      </c>
      <c r="D265" s="18">
        <v>40522.0</v>
      </c>
      <c r="E265" s="3">
        <v>1.518801</v>
      </c>
      <c r="F265" s="18">
        <v>40620.0</v>
      </c>
      <c r="G265" s="3">
        <v>1.375518</v>
      </c>
      <c r="H265" s="3">
        <v>-0.0943</v>
      </c>
      <c r="I265" s="3">
        <v>-4459.14</v>
      </c>
      <c r="J265" s="3">
        <v>-0.0962</v>
      </c>
      <c r="K265" s="3">
        <v>30505.0</v>
      </c>
    </row>
    <row r="266" ht="15.75" customHeight="1">
      <c r="A266" s="3" t="s">
        <v>727</v>
      </c>
      <c r="B266" s="3" t="s">
        <v>728</v>
      </c>
      <c r="C266" s="3" t="s">
        <v>467</v>
      </c>
      <c r="D266" s="18">
        <v>40403.0</v>
      </c>
      <c r="E266" s="3">
        <v>2.779939</v>
      </c>
      <c r="F266" s="18">
        <v>40620.0</v>
      </c>
      <c r="G266" s="3">
        <v>3.36396</v>
      </c>
      <c r="H266" s="3">
        <v>0.2101</v>
      </c>
      <c r="I266" s="3">
        <v>8774.49</v>
      </c>
      <c r="J266" s="3">
        <v>0.2079</v>
      </c>
      <c r="K266" s="3">
        <v>15184.0</v>
      </c>
    </row>
    <row r="267" ht="15.75" customHeight="1">
      <c r="A267" s="3" t="s">
        <v>729</v>
      </c>
      <c r="B267" s="3" t="s">
        <v>730</v>
      </c>
      <c r="C267" s="3" t="s">
        <v>467</v>
      </c>
      <c r="D267" s="18">
        <v>40403.0</v>
      </c>
      <c r="E267" s="3">
        <v>5.11</v>
      </c>
      <c r="F267" s="18">
        <v>40620.0</v>
      </c>
      <c r="G267" s="3">
        <v>5.16</v>
      </c>
      <c r="H267" s="3">
        <v>0.0098</v>
      </c>
      <c r="I267" s="3">
        <v>328.33</v>
      </c>
      <c r="J267" s="3">
        <v>0.0078</v>
      </c>
      <c r="K267" s="3">
        <v>8264.0</v>
      </c>
    </row>
    <row r="268" ht="15.75" customHeight="1">
      <c r="A268" s="3" t="s">
        <v>651</v>
      </c>
      <c r="B268" s="3" t="s">
        <v>652</v>
      </c>
      <c r="C268" s="3" t="s">
        <v>467</v>
      </c>
      <c r="D268" s="18">
        <v>40004.0</v>
      </c>
      <c r="E268" s="3">
        <v>9.455655</v>
      </c>
      <c r="F268" s="18">
        <v>40515.0</v>
      </c>
      <c r="G268" s="3">
        <v>10.14056</v>
      </c>
      <c r="H268" s="3">
        <v>0.0724</v>
      </c>
      <c r="I268" s="3">
        <v>2806.92</v>
      </c>
      <c r="J268" s="3">
        <v>0.0704</v>
      </c>
      <c r="K268" s="3">
        <v>4219.0</v>
      </c>
    </row>
    <row r="269" ht="15.75" customHeight="1">
      <c r="A269" s="3" t="s">
        <v>556</v>
      </c>
      <c r="B269" s="3" t="s">
        <v>557</v>
      </c>
      <c r="C269" s="3" t="s">
        <v>467</v>
      </c>
      <c r="D269" s="18">
        <v>40403.0</v>
      </c>
      <c r="E269" s="3">
        <v>1.660824</v>
      </c>
      <c r="F269" s="18">
        <v>40515.0</v>
      </c>
      <c r="G269" s="3">
        <v>1.777601</v>
      </c>
      <c r="H269" s="3">
        <v>0.0703</v>
      </c>
      <c r="I269" s="3">
        <v>2880.16</v>
      </c>
      <c r="J269" s="3">
        <v>0.0682</v>
      </c>
      <c r="K269" s="3">
        <v>25412.0</v>
      </c>
    </row>
    <row r="270" ht="15.75" customHeight="1">
      <c r="A270" s="3" t="s">
        <v>731</v>
      </c>
      <c r="B270" s="3" t="s">
        <v>732</v>
      </c>
      <c r="C270" s="3" t="s">
        <v>467</v>
      </c>
      <c r="D270" s="18">
        <v>40410.0</v>
      </c>
      <c r="E270" s="3">
        <v>6.03</v>
      </c>
      <c r="F270" s="18">
        <v>40479.0</v>
      </c>
      <c r="G270" s="3">
        <v>6.14</v>
      </c>
      <c r="H270" s="3">
        <v>0.0182</v>
      </c>
      <c r="I270" s="3">
        <v>670.72</v>
      </c>
      <c r="J270" s="3">
        <v>0.0162</v>
      </c>
      <c r="K270" s="3">
        <v>6856.0</v>
      </c>
    </row>
    <row r="271" ht="15.75" customHeight="1">
      <c r="A271" s="3" t="s">
        <v>733</v>
      </c>
      <c r="B271" s="3" t="s">
        <v>734</v>
      </c>
      <c r="C271" s="3" t="s">
        <v>467</v>
      </c>
      <c r="D271" s="18">
        <v>40403.0</v>
      </c>
      <c r="E271" s="3">
        <v>1.836944</v>
      </c>
      <c r="F271" s="18">
        <v>40417.0</v>
      </c>
      <c r="G271" s="3">
        <v>1.577222</v>
      </c>
      <c r="H271" s="3">
        <v>-0.1414</v>
      </c>
      <c r="I271" s="3">
        <v>-6047.92</v>
      </c>
      <c r="J271" s="3">
        <v>-0.1432</v>
      </c>
      <c r="K271" s="3">
        <v>22984.0</v>
      </c>
    </row>
    <row r="272" ht="15.75" customHeight="1">
      <c r="A272" s="3" t="s">
        <v>735</v>
      </c>
      <c r="B272" s="3" t="s">
        <v>736</v>
      </c>
      <c r="C272" s="3" t="s">
        <v>467</v>
      </c>
      <c r="D272" s="18">
        <v>40249.0</v>
      </c>
      <c r="E272" s="3">
        <v>1.399022</v>
      </c>
      <c r="F272" s="18">
        <v>40326.0</v>
      </c>
      <c r="G272" s="3">
        <v>1.142397</v>
      </c>
      <c r="H272" s="3">
        <v>-0.1834</v>
      </c>
      <c r="I272" s="3">
        <v>-8465.15</v>
      </c>
      <c r="J272" s="3">
        <v>-0.1852</v>
      </c>
      <c r="K272" s="3">
        <v>32663.0</v>
      </c>
    </row>
    <row r="273" ht="15.75" customHeight="1">
      <c r="A273" s="3" t="s">
        <v>737</v>
      </c>
      <c r="B273" s="3" t="s">
        <v>738</v>
      </c>
      <c r="C273" s="3" t="s">
        <v>467</v>
      </c>
      <c r="D273" s="18">
        <v>39906.0</v>
      </c>
      <c r="E273" s="3">
        <v>2.557372</v>
      </c>
      <c r="F273" s="18">
        <v>40326.0</v>
      </c>
      <c r="G273" s="3">
        <v>3.495149</v>
      </c>
      <c r="H273" s="3">
        <v>0.3667</v>
      </c>
      <c r="I273" s="3">
        <v>12652.82</v>
      </c>
      <c r="J273" s="3">
        <v>0.3643</v>
      </c>
      <c r="K273" s="3">
        <v>13580.0</v>
      </c>
    </row>
    <row r="274" ht="15.75" customHeight="1">
      <c r="A274" s="3" t="s">
        <v>739</v>
      </c>
      <c r="B274" s="3" t="s">
        <v>740</v>
      </c>
      <c r="C274" s="3" t="s">
        <v>467</v>
      </c>
      <c r="D274" s="18">
        <v>40249.0</v>
      </c>
      <c r="E274" s="3">
        <v>2.420557</v>
      </c>
      <c r="F274" s="18">
        <v>40312.0</v>
      </c>
      <c r="G274" s="3">
        <v>2.214975</v>
      </c>
      <c r="H274" s="3">
        <v>-0.0849</v>
      </c>
      <c r="I274" s="3">
        <v>-3967.65</v>
      </c>
      <c r="J274" s="3">
        <v>-0.0868</v>
      </c>
      <c r="K274" s="3">
        <v>18874.0</v>
      </c>
    </row>
    <row r="275" ht="15.75" customHeight="1">
      <c r="A275" s="3" t="s">
        <v>741</v>
      </c>
      <c r="B275" s="3" t="s">
        <v>742</v>
      </c>
      <c r="C275" s="3" t="s">
        <v>467</v>
      </c>
      <c r="D275" s="18">
        <v>40249.0</v>
      </c>
      <c r="E275" s="3">
        <v>0.45194</v>
      </c>
      <c r="F275" s="18">
        <v>40312.0</v>
      </c>
      <c r="G275" s="3">
        <v>0.3845099</v>
      </c>
      <c r="H275" s="3">
        <v>-0.1492</v>
      </c>
      <c r="I275" s="3">
        <v>-6901.75</v>
      </c>
      <c r="J275" s="3">
        <v>-0.1511</v>
      </c>
      <c r="K275" s="3">
        <v>101100.0</v>
      </c>
    </row>
    <row r="276" ht="15.75" customHeight="1">
      <c r="A276" s="3" t="s">
        <v>711</v>
      </c>
      <c r="B276" s="3" t="s">
        <v>712</v>
      </c>
      <c r="C276" s="3" t="s">
        <v>467</v>
      </c>
      <c r="D276" s="18">
        <v>40249.0</v>
      </c>
      <c r="E276" s="3">
        <v>0.6885223</v>
      </c>
      <c r="F276" s="18">
        <v>40312.0</v>
      </c>
      <c r="G276" s="3">
        <v>0.4918016</v>
      </c>
      <c r="H276" s="3">
        <v>-0.2857</v>
      </c>
      <c r="I276" s="3">
        <v>-13136.27</v>
      </c>
      <c r="J276" s="3">
        <v>-0.2874</v>
      </c>
      <c r="K276" s="3">
        <v>66378.0</v>
      </c>
    </row>
    <row r="277" ht="15.75" customHeight="1">
      <c r="A277" s="3" t="s">
        <v>743</v>
      </c>
      <c r="B277" s="3" t="s">
        <v>744</v>
      </c>
      <c r="C277" s="3" t="s">
        <v>467</v>
      </c>
      <c r="D277" s="18">
        <v>40249.0</v>
      </c>
      <c r="E277" s="3">
        <v>1.738344</v>
      </c>
      <c r="F277" s="18">
        <v>40312.0</v>
      </c>
      <c r="G277" s="3">
        <v>1.390675</v>
      </c>
      <c r="H277" s="3">
        <v>-0.2</v>
      </c>
      <c r="I277" s="3">
        <v>-9223.88</v>
      </c>
      <c r="J277" s="3">
        <v>-0.2018</v>
      </c>
      <c r="K277" s="3">
        <v>26294.0</v>
      </c>
    </row>
    <row r="278" ht="15.75" customHeight="1">
      <c r="A278" s="3" t="s">
        <v>370</v>
      </c>
      <c r="B278" s="3" t="s">
        <v>371</v>
      </c>
      <c r="C278" s="3" t="s">
        <v>467</v>
      </c>
      <c r="D278" s="18">
        <v>40178.0</v>
      </c>
      <c r="E278" s="3">
        <v>3.846999</v>
      </c>
      <c r="F278" s="18">
        <v>40312.0</v>
      </c>
      <c r="G278" s="3">
        <v>3.94063</v>
      </c>
      <c r="H278" s="3">
        <v>0.0243</v>
      </c>
      <c r="I278" s="3">
        <v>1039.91</v>
      </c>
      <c r="J278" s="3">
        <v>0.0223</v>
      </c>
      <c r="K278" s="3">
        <v>12114.0</v>
      </c>
    </row>
    <row r="279" ht="15.75" customHeight="1">
      <c r="A279" s="3" t="s">
        <v>377</v>
      </c>
      <c r="B279" s="3" t="s">
        <v>378</v>
      </c>
      <c r="C279" s="3" t="s">
        <v>467</v>
      </c>
      <c r="D279" s="18">
        <v>39906.0</v>
      </c>
      <c r="E279" s="3">
        <v>5.495842</v>
      </c>
      <c r="F279" s="18">
        <v>40312.0</v>
      </c>
      <c r="G279" s="3">
        <v>7.387796</v>
      </c>
      <c r="H279" s="3">
        <v>0.3443</v>
      </c>
      <c r="I279" s="3">
        <v>11868.21</v>
      </c>
      <c r="J279" s="3">
        <v>0.3419</v>
      </c>
      <c r="K279" s="3">
        <v>6316.0</v>
      </c>
    </row>
    <row r="280" ht="15.75" customHeight="1">
      <c r="A280" s="3" t="s">
        <v>745</v>
      </c>
      <c r="B280" s="3" t="s">
        <v>746</v>
      </c>
      <c r="C280" s="3" t="s">
        <v>467</v>
      </c>
      <c r="D280" s="18">
        <v>40018.0</v>
      </c>
      <c r="E280" s="3">
        <v>0.935</v>
      </c>
      <c r="F280" s="18">
        <v>40242.0</v>
      </c>
      <c r="G280" s="3">
        <v>1.13</v>
      </c>
      <c r="H280" s="3">
        <v>0.2086</v>
      </c>
      <c r="I280" s="3">
        <v>8228.48</v>
      </c>
      <c r="J280" s="3">
        <v>0.2063</v>
      </c>
      <c r="K280" s="3">
        <v>42649.0</v>
      </c>
    </row>
    <row r="281" ht="15.75" customHeight="1">
      <c r="A281" s="3" t="s">
        <v>659</v>
      </c>
      <c r="B281" s="3" t="s">
        <v>660</v>
      </c>
      <c r="C281" s="3" t="s">
        <v>467</v>
      </c>
      <c r="D281" s="18">
        <v>40178.0</v>
      </c>
      <c r="E281" s="3">
        <v>0.3203759</v>
      </c>
      <c r="F281" s="18">
        <v>40214.0</v>
      </c>
      <c r="G281" s="3">
        <v>0.3097611</v>
      </c>
      <c r="H281" s="3">
        <v>-0.0331</v>
      </c>
      <c r="I281" s="3">
        <v>-1635.41</v>
      </c>
      <c r="J281" s="3">
        <v>-0.0351</v>
      </c>
      <c r="K281" s="3">
        <v>145435.0</v>
      </c>
    </row>
    <row r="282" ht="15.75" customHeight="1">
      <c r="A282" s="3" t="s">
        <v>512</v>
      </c>
      <c r="B282" s="3" t="s">
        <v>513</v>
      </c>
      <c r="C282" s="3" t="s">
        <v>467</v>
      </c>
      <c r="D282" s="18">
        <v>40178.0</v>
      </c>
      <c r="E282" s="3">
        <v>3.23609</v>
      </c>
      <c r="F282" s="18">
        <v>40214.0</v>
      </c>
      <c r="G282" s="3">
        <v>2.672001</v>
      </c>
      <c r="H282" s="3">
        <v>-0.1743</v>
      </c>
      <c r="I282" s="3">
        <v>-8210.81</v>
      </c>
      <c r="J282" s="3">
        <v>-0.1761</v>
      </c>
      <c r="K282" s="3">
        <v>14405.0</v>
      </c>
    </row>
    <row r="283" ht="15.75" customHeight="1">
      <c r="A283" s="3" t="s">
        <v>508</v>
      </c>
      <c r="B283" s="3" t="s">
        <v>509</v>
      </c>
      <c r="C283" s="3" t="s">
        <v>467</v>
      </c>
      <c r="D283" s="18">
        <v>40178.0</v>
      </c>
      <c r="E283" s="3">
        <v>2.632029</v>
      </c>
      <c r="F283" s="18">
        <v>40214.0</v>
      </c>
      <c r="G283" s="3">
        <v>2.295001</v>
      </c>
      <c r="H283" s="3">
        <v>-0.128</v>
      </c>
      <c r="I283" s="3">
        <v>-6057.05</v>
      </c>
      <c r="J283" s="3">
        <v>-0.1299</v>
      </c>
      <c r="K283" s="3">
        <v>17713.0</v>
      </c>
    </row>
    <row r="284" ht="15.75" customHeight="1">
      <c r="A284" s="3" t="s">
        <v>747</v>
      </c>
      <c r="B284" s="3" t="s">
        <v>748</v>
      </c>
      <c r="C284" s="3" t="s">
        <v>467</v>
      </c>
      <c r="D284" s="18">
        <v>39906.0</v>
      </c>
      <c r="E284" s="3">
        <v>11.97544</v>
      </c>
      <c r="F284" s="18">
        <v>40214.0</v>
      </c>
      <c r="G284" s="3">
        <v>14.39045</v>
      </c>
      <c r="H284" s="3">
        <v>0.2017</v>
      </c>
      <c r="I284" s="3">
        <v>6924.68</v>
      </c>
      <c r="J284" s="3">
        <v>0.1995</v>
      </c>
      <c r="K284" s="3">
        <v>2899.0</v>
      </c>
    </row>
    <row r="285" ht="15.75" customHeight="1">
      <c r="A285" s="3" t="s">
        <v>749</v>
      </c>
      <c r="B285" s="3" t="s">
        <v>750</v>
      </c>
      <c r="C285" s="3" t="s">
        <v>467</v>
      </c>
      <c r="D285" s="18">
        <v>39906.0</v>
      </c>
      <c r="E285" s="3">
        <v>2.493555</v>
      </c>
      <c r="F285" s="18">
        <v>40214.0</v>
      </c>
      <c r="G285" s="3">
        <v>4.053878</v>
      </c>
      <c r="H285" s="3">
        <v>0.6257</v>
      </c>
      <c r="I285" s="3">
        <v>21645.65</v>
      </c>
      <c r="J285" s="3">
        <v>0.6231</v>
      </c>
      <c r="K285" s="3">
        <v>13931.0</v>
      </c>
    </row>
    <row r="286" ht="15.75" customHeight="1">
      <c r="A286" s="3" t="s">
        <v>751</v>
      </c>
      <c r="B286" s="3" t="s">
        <v>752</v>
      </c>
      <c r="C286" s="3" t="s">
        <v>467</v>
      </c>
      <c r="D286" s="18">
        <v>39906.0</v>
      </c>
      <c r="E286" s="3">
        <v>4.633529</v>
      </c>
      <c r="F286" s="18">
        <v>40165.0</v>
      </c>
      <c r="G286" s="3">
        <v>4.531771</v>
      </c>
      <c r="H286" s="3">
        <v>-0.022</v>
      </c>
      <c r="I286" s="3">
        <v>-830.82</v>
      </c>
      <c r="J286" s="3">
        <v>-0.0239</v>
      </c>
      <c r="K286" s="3">
        <v>7490.0</v>
      </c>
    </row>
    <row r="287" ht="15.75" customHeight="1">
      <c r="A287" s="3" t="s">
        <v>753</v>
      </c>
      <c r="B287" s="3" t="s">
        <v>754</v>
      </c>
      <c r="C287" s="3" t="s">
        <v>467</v>
      </c>
      <c r="D287" s="18">
        <v>39906.0</v>
      </c>
      <c r="E287" s="3">
        <v>4.302487</v>
      </c>
      <c r="F287" s="18">
        <v>40165.0</v>
      </c>
      <c r="G287" s="3">
        <v>7.79491</v>
      </c>
      <c r="H287" s="3">
        <v>0.8117</v>
      </c>
      <c r="I287" s="3">
        <v>28107.11</v>
      </c>
      <c r="J287" s="3">
        <v>0.8089</v>
      </c>
      <c r="K287" s="3">
        <v>8076.0</v>
      </c>
    </row>
    <row r="288" ht="15.75" customHeight="1">
      <c r="A288" s="3" t="s">
        <v>755</v>
      </c>
      <c r="B288" s="3" t="s">
        <v>756</v>
      </c>
      <c r="C288" s="3" t="s">
        <v>467</v>
      </c>
      <c r="D288" s="18">
        <v>40018.0</v>
      </c>
      <c r="E288" s="3">
        <v>3.544693</v>
      </c>
      <c r="F288" s="18">
        <v>40151.0</v>
      </c>
      <c r="G288" s="3">
        <v>4.056827</v>
      </c>
      <c r="H288" s="3">
        <v>0.1445</v>
      </c>
      <c r="I288" s="3">
        <v>5676.49</v>
      </c>
      <c r="J288" s="3">
        <v>0.1423</v>
      </c>
      <c r="K288" s="3">
        <v>11251.0</v>
      </c>
    </row>
    <row r="289" ht="15.75" customHeight="1">
      <c r="A289" s="3" t="s">
        <v>757</v>
      </c>
      <c r="B289" s="3" t="s">
        <v>758</v>
      </c>
      <c r="C289" s="3" t="s">
        <v>467</v>
      </c>
      <c r="D289" s="18">
        <v>40018.0</v>
      </c>
      <c r="E289" s="3">
        <v>1.592592</v>
      </c>
      <c r="F289" s="18">
        <v>40151.0</v>
      </c>
      <c r="G289" s="3">
        <v>1.605055</v>
      </c>
      <c r="H289" s="3">
        <v>0.0078</v>
      </c>
      <c r="I289" s="3">
        <v>232.05</v>
      </c>
      <c r="J289" s="3">
        <v>0.0058</v>
      </c>
      <c r="K289" s="3">
        <v>25045.0</v>
      </c>
    </row>
    <row r="290" ht="15.75" customHeight="1">
      <c r="A290" s="3" t="s">
        <v>759</v>
      </c>
      <c r="B290" s="3" t="s">
        <v>760</v>
      </c>
      <c r="C290" s="3" t="s">
        <v>467</v>
      </c>
      <c r="D290" s="18">
        <v>40018.0</v>
      </c>
      <c r="E290" s="3">
        <v>1.022149</v>
      </c>
      <c r="F290" s="18">
        <v>40151.0</v>
      </c>
      <c r="G290" s="3">
        <v>0.9528505</v>
      </c>
      <c r="H290" s="3">
        <v>-0.0678</v>
      </c>
      <c r="I290" s="3">
        <v>-2781.95</v>
      </c>
      <c r="J290" s="3">
        <v>-0.0697</v>
      </c>
      <c r="K290" s="3">
        <v>39032.0</v>
      </c>
    </row>
    <row r="291" ht="15.75" customHeight="1">
      <c r="A291" s="3" t="s">
        <v>761</v>
      </c>
      <c r="B291" s="3" t="s">
        <v>762</v>
      </c>
      <c r="C291" s="3" t="s">
        <v>467</v>
      </c>
      <c r="D291" s="18">
        <v>39906.0</v>
      </c>
      <c r="E291" s="3">
        <v>0.815</v>
      </c>
      <c r="F291" s="18">
        <v>40151.0</v>
      </c>
      <c r="G291" s="3">
        <v>0.8</v>
      </c>
      <c r="H291" s="3">
        <v>-0.0184</v>
      </c>
      <c r="I291" s="3">
        <v>-708.48</v>
      </c>
      <c r="J291" s="3">
        <v>-0.0204</v>
      </c>
      <c r="K291" s="3">
        <v>42641.0</v>
      </c>
    </row>
    <row r="292" ht="15.75" customHeight="1">
      <c r="A292" s="3" t="s">
        <v>763</v>
      </c>
      <c r="B292" s="3" t="s">
        <v>764</v>
      </c>
      <c r="C292" s="3" t="s">
        <v>467</v>
      </c>
      <c r="D292" s="18">
        <v>39912.0</v>
      </c>
      <c r="E292" s="3">
        <v>0.852618</v>
      </c>
      <c r="F292" s="18">
        <v>40011.0</v>
      </c>
      <c r="G292" s="3">
        <v>0.7742164</v>
      </c>
      <c r="H292" s="3">
        <v>-0.092</v>
      </c>
      <c r="I292" s="3">
        <v>-3382.4</v>
      </c>
      <c r="J292" s="3">
        <v>-0.0939</v>
      </c>
      <c r="K292" s="3">
        <v>42265.0</v>
      </c>
    </row>
    <row r="293" ht="15.75" customHeight="1">
      <c r="A293" s="3" t="s">
        <v>765</v>
      </c>
      <c r="B293" s="3" t="s">
        <v>766</v>
      </c>
      <c r="C293" s="3" t="s">
        <v>467</v>
      </c>
      <c r="D293" s="18">
        <v>39912.0</v>
      </c>
      <c r="E293" s="3">
        <v>0.4066461</v>
      </c>
      <c r="F293" s="18">
        <v>40011.0</v>
      </c>
      <c r="G293" s="3">
        <v>0.5411276</v>
      </c>
      <c r="H293" s="3">
        <v>0.3307</v>
      </c>
      <c r="I293" s="3">
        <v>11836.43</v>
      </c>
      <c r="J293" s="3">
        <v>0.3284</v>
      </c>
      <c r="K293" s="3">
        <v>88640.0</v>
      </c>
    </row>
    <row r="294" ht="15.75" customHeight="1">
      <c r="A294" s="3" t="s">
        <v>767</v>
      </c>
      <c r="B294" s="3" t="s">
        <v>768</v>
      </c>
      <c r="C294" s="3" t="s">
        <v>467</v>
      </c>
      <c r="D294" s="18">
        <v>39909.0</v>
      </c>
      <c r="E294" s="3">
        <v>0.3604873</v>
      </c>
      <c r="F294" s="18">
        <v>40011.0</v>
      </c>
      <c r="G294" s="3">
        <v>0.4566172</v>
      </c>
      <c r="H294" s="3">
        <v>0.2667</v>
      </c>
      <c r="I294" s="3">
        <v>9374.68</v>
      </c>
      <c r="J294" s="3">
        <v>0.2644</v>
      </c>
      <c r="K294" s="3">
        <v>98357.0</v>
      </c>
    </row>
    <row r="295" ht="15.75" customHeight="1">
      <c r="A295" s="3" t="s">
        <v>613</v>
      </c>
      <c r="B295" s="3" t="s">
        <v>614</v>
      </c>
      <c r="C295" s="3" t="s">
        <v>467</v>
      </c>
      <c r="D295" s="18">
        <v>39906.0</v>
      </c>
      <c r="E295" s="3">
        <v>8.860664</v>
      </c>
      <c r="F295" s="18">
        <v>40011.0</v>
      </c>
      <c r="G295" s="3">
        <v>7.465373</v>
      </c>
      <c r="H295" s="3">
        <v>-0.1575</v>
      </c>
      <c r="I295" s="3">
        <v>-5530.7</v>
      </c>
      <c r="J295" s="3">
        <v>-0.1593</v>
      </c>
      <c r="K295" s="3">
        <v>3918.0</v>
      </c>
    </row>
    <row r="296" ht="15.75" customHeight="1">
      <c r="A296" s="3" t="s">
        <v>769</v>
      </c>
      <c r="B296" s="3" t="s">
        <v>770</v>
      </c>
      <c r="C296" s="3" t="s">
        <v>467</v>
      </c>
      <c r="D296" s="18">
        <v>39906.0</v>
      </c>
      <c r="E296" s="3">
        <v>3.509912</v>
      </c>
      <c r="F296" s="18">
        <v>40011.0</v>
      </c>
      <c r="G296" s="3">
        <v>4.428354</v>
      </c>
      <c r="H296" s="3">
        <v>0.2617</v>
      </c>
      <c r="I296" s="3">
        <v>9007.61</v>
      </c>
      <c r="J296" s="3">
        <v>0.2594</v>
      </c>
      <c r="K296" s="3">
        <v>9893.0</v>
      </c>
    </row>
    <row r="297" ht="15.75" customHeight="1">
      <c r="A297" s="3" t="s">
        <v>727</v>
      </c>
      <c r="B297" s="3" t="s">
        <v>728</v>
      </c>
      <c r="C297" s="3" t="s">
        <v>467</v>
      </c>
      <c r="D297" s="18">
        <v>39906.0</v>
      </c>
      <c r="E297" s="3">
        <v>1.283252</v>
      </c>
      <c r="F297" s="18">
        <v>40011.0</v>
      </c>
      <c r="G297" s="3">
        <v>1.518454</v>
      </c>
      <c r="H297" s="3">
        <v>0.1833</v>
      </c>
      <c r="I297" s="3">
        <v>6290.61</v>
      </c>
      <c r="J297" s="3">
        <v>0.1811</v>
      </c>
      <c r="K297" s="3">
        <v>27068.0</v>
      </c>
    </row>
    <row r="298" ht="15.75" customHeight="1">
      <c r="A298" s="3" t="s">
        <v>771</v>
      </c>
      <c r="B298" s="3" t="s">
        <v>772</v>
      </c>
      <c r="C298" s="3" t="s">
        <v>467</v>
      </c>
      <c r="D298" s="18">
        <v>39912.0</v>
      </c>
      <c r="E298" s="3">
        <v>1.915987</v>
      </c>
      <c r="F298" s="18">
        <v>40000.0</v>
      </c>
      <c r="G298" s="3">
        <v>2.631171</v>
      </c>
      <c r="H298" s="3">
        <v>0.3733</v>
      </c>
      <c r="I298" s="3">
        <v>13367.08</v>
      </c>
      <c r="J298" s="3">
        <v>0.3709</v>
      </c>
      <c r="K298" s="3">
        <v>18810.0</v>
      </c>
    </row>
    <row r="299" ht="15.75" customHeight="1">
      <c r="A299" s="3" t="s">
        <v>773</v>
      </c>
      <c r="B299" s="3" t="s">
        <v>610</v>
      </c>
      <c r="C299" s="3" t="s">
        <v>467</v>
      </c>
      <c r="D299" s="18">
        <v>38961.0</v>
      </c>
      <c r="E299" s="3">
        <v>3.722539</v>
      </c>
      <c r="F299" s="18">
        <v>39780.0</v>
      </c>
      <c r="G299" s="3">
        <v>4.032694</v>
      </c>
      <c r="H299" s="3">
        <v>0.0833</v>
      </c>
      <c r="I299" s="3">
        <v>2177.28</v>
      </c>
      <c r="J299" s="3">
        <v>0.0812</v>
      </c>
      <c r="K299" s="3">
        <v>7200.0</v>
      </c>
    </row>
    <row r="300" ht="15.75" customHeight="1">
      <c r="A300" s="3" t="s">
        <v>526</v>
      </c>
      <c r="B300" s="3" t="s">
        <v>527</v>
      </c>
      <c r="C300" s="3" t="s">
        <v>467</v>
      </c>
      <c r="D300" s="18">
        <v>39570.0</v>
      </c>
      <c r="E300" s="3">
        <v>4.697415</v>
      </c>
      <c r="F300" s="18">
        <v>39710.0</v>
      </c>
      <c r="G300" s="3">
        <v>7.688472</v>
      </c>
      <c r="H300" s="3">
        <v>0.6367</v>
      </c>
      <c r="I300" s="3">
        <v>21845.57</v>
      </c>
      <c r="J300" s="3">
        <v>0.6341</v>
      </c>
      <c r="K300" s="3">
        <v>7334.0</v>
      </c>
    </row>
    <row r="301" ht="15.75" customHeight="1">
      <c r="A301" s="3" t="s">
        <v>528</v>
      </c>
      <c r="B301" s="3" t="s">
        <v>529</v>
      </c>
      <c r="C301" s="3" t="s">
        <v>467</v>
      </c>
      <c r="D301" s="18">
        <v>39570.0</v>
      </c>
      <c r="E301" s="3">
        <v>4.007421</v>
      </c>
      <c r="F301" s="18">
        <v>39661.0</v>
      </c>
      <c r="G301" s="3">
        <v>3.500467</v>
      </c>
      <c r="H301" s="3">
        <v>-0.1265</v>
      </c>
      <c r="I301" s="3">
        <v>-4425.4</v>
      </c>
      <c r="J301" s="3">
        <v>-0.1284</v>
      </c>
      <c r="K301" s="3">
        <v>8602.0</v>
      </c>
    </row>
    <row r="302" ht="15.75" customHeight="1">
      <c r="A302" s="3" t="s">
        <v>613</v>
      </c>
      <c r="B302" s="3" t="s">
        <v>614</v>
      </c>
      <c r="C302" s="3" t="s">
        <v>467</v>
      </c>
      <c r="D302" s="18">
        <v>39570.0</v>
      </c>
      <c r="E302" s="3">
        <v>8.222351</v>
      </c>
      <c r="F302" s="18">
        <v>39647.0</v>
      </c>
      <c r="G302" s="3">
        <v>9.595266</v>
      </c>
      <c r="H302" s="3">
        <v>0.167</v>
      </c>
      <c r="I302" s="3">
        <v>5676.52</v>
      </c>
      <c r="J302" s="3">
        <v>0.1648</v>
      </c>
      <c r="K302" s="3">
        <v>4189.0</v>
      </c>
    </row>
    <row r="303" ht="15.75" customHeight="1">
      <c r="A303" s="3" t="s">
        <v>502</v>
      </c>
      <c r="B303" s="3" t="s">
        <v>503</v>
      </c>
      <c r="C303" s="3" t="s">
        <v>467</v>
      </c>
      <c r="D303" s="18">
        <v>39570.0</v>
      </c>
      <c r="E303" s="3">
        <v>24.93937</v>
      </c>
      <c r="F303" s="18">
        <v>39647.0</v>
      </c>
      <c r="G303" s="3">
        <v>25.10481</v>
      </c>
      <c r="H303" s="3">
        <v>0.0066</v>
      </c>
      <c r="I303" s="3">
        <v>159.36</v>
      </c>
      <c r="J303" s="3">
        <v>0.0046</v>
      </c>
      <c r="K303" s="3">
        <v>1381.0</v>
      </c>
    </row>
    <row r="304" ht="15.75" customHeight="1">
      <c r="A304" s="3" t="s">
        <v>677</v>
      </c>
      <c r="B304" s="3" t="s">
        <v>678</v>
      </c>
      <c r="C304" s="3" t="s">
        <v>467</v>
      </c>
      <c r="D304" s="18">
        <v>39570.0</v>
      </c>
      <c r="E304" s="3">
        <v>7.220284</v>
      </c>
      <c r="F304" s="18">
        <v>39647.0</v>
      </c>
      <c r="G304" s="3">
        <v>7.418691</v>
      </c>
      <c r="H304" s="3">
        <v>0.0275</v>
      </c>
      <c r="I304" s="3">
        <v>877.31</v>
      </c>
      <c r="J304" s="3">
        <v>0.0255</v>
      </c>
      <c r="K304" s="3">
        <v>4774.0</v>
      </c>
    </row>
    <row r="305" ht="15.75" customHeight="1">
      <c r="A305" s="3" t="s">
        <v>774</v>
      </c>
      <c r="B305" s="3" t="s">
        <v>775</v>
      </c>
      <c r="C305" s="3" t="s">
        <v>467</v>
      </c>
      <c r="D305" s="18">
        <v>39605.0</v>
      </c>
      <c r="E305" s="3">
        <v>7.176182</v>
      </c>
      <c r="F305" s="18">
        <v>39640.0</v>
      </c>
      <c r="G305" s="3">
        <v>6.392229</v>
      </c>
      <c r="H305" s="3">
        <v>-0.1092</v>
      </c>
      <c r="I305" s="3">
        <v>-4230.05</v>
      </c>
      <c r="J305" s="3">
        <v>-0.1111</v>
      </c>
      <c r="K305" s="3">
        <v>5304.0</v>
      </c>
    </row>
    <row r="306" ht="15.75" customHeight="1">
      <c r="A306" s="3" t="s">
        <v>747</v>
      </c>
      <c r="B306" s="3" t="s">
        <v>748</v>
      </c>
      <c r="C306" s="3" t="s">
        <v>467</v>
      </c>
      <c r="D306" s="18">
        <v>39570.0</v>
      </c>
      <c r="E306" s="3">
        <v>15.67731</v>
      </c>
      <c r="F306" s="18">
        <v>39640.0</v>
      </c>
      <c r="G306" s="3">
        <v>14.09637</v>
      </c>
      <c r="H306" s="3">
        <v>-0.1008</v>
      </c>
      <c r="I306" s="3">
        <v>-3537.13</v>
      </c>
      <c r="J306" s="3">
        <v>-0.1027</v>
      </c>
      <c r="K306" s="3">
        <v>2196.0</v>
      </c>
    </row>
    <row r="307" ht="15.75" customHeight="1">
      <c r="A307" s="3" t="s">
        <v>530</v>
      </c>
      <c r="B307" s="3" t="s">
        <v>531</v>
      </c>
      <c r="C307" s="3" t="s">
        <v>467</v>
      </c>
      <c r="D307" s="18">
        <v>39570.0</v>
      </c>
      <c r="E307" s="3">
        <v>13.15826</v>
      </c>
      <c r="F307" s="18">
        <v>39640.0</v>
      </c>
      <c r="G307" s="3">
        <v>10.96147</v>
      </c>
      <c r="H307" s="3">
        <v>-0.167</v>
      </c>
      <c r="I307" s="3">
        <v>-5814.34</v>
      </c>
      <c r="J307" s="3">
        <v>-0.1688</v>
      </c>
      <c r="K307" s="3">
        <v>2618.0</v>
      </c>
    </row>
    <row r="308" ht="15.75" customHeight="1">
      <c r="A308" s="3" t="s">
        <v>152</v>
      </c>
      <c r="B308" s="3" t="s">
        <v>153</v>
      </c>
      <c r="C308" s="3" t="s">
        <v>467</v>
      </c>
      <c r="D308" s="18">
        <v>39339.0</v>
      </c>
      <c r="E308" s="3">
        <v>18.4442</v>
      </c>
      <c r="F308" s="18">
        <v>39640.0</v>
      </c>
      <c r="G308" s="3">
        <v>23.90542</v>
      </c>
      <c r="H308" s="3">
        <v>0.2961</v>
      </c>
      <c r="I308" s="3">
        <v>10176.64</v>
      </c>
      <c r="J308" s="3">
        <v>0.2938</v>
      </c>
      <c r="K308" s="3">
        <v>1878.0</v>
      </c>
    </row>
    <row r="309" ht="15.75" customHeight="1">
      <c r="A309" s="3" t="s">
        <v>776</v>
      </c>
      <c r="B309" s="3" t="s">
        <v>777</v>
      </c>
      <c r="C309" s="3" t="s">
        <v>467</v>
      </c>
      <c r="D309" s="18">
        <v>39570.0</v>
      </c>
      <c r="E309" s="3">
        <v>30.91817</v>
      </c>
      <c r="F309" s="18">
        <v>39633.0</v>
      </c>
      <c r="G309" s="3">
        <v>27.12869</v>
      </c>
      <c r="H309" s="3">
        <v>-0.1226</v>
      </c>
      <c r="I309" s="3">
        <v>-4286.14</v>
      </c>
      <c r="J309" s="3">
        <v>-0.1244</v>
      </c>
      <c r="K309" s="3">
        <v>1114.0</v>
      </c>
    </row>
    <row r="310" ht="15.75" customHeight="1">
      <c r="A310" s="3" t="s">
        <v>778</v>
      </c>
      <c r="B310" s="3" t="s">
        <v>779</v>
      </c>
      <c r="C310" s="3" t="s">
        <v>467</v>
      </c>
      <c r="D310" s="18">
        <v>39570.0</v>
      </c>
      <c r="E310" s="3">
        <v>15.36666</v>
      </c>
      <c r="F310" s="18">
        <v>39633.0</v>
      </c>
      <c r="G310" s="3">
        <v>16.94486</v>
      </c>
      <c r="H310" s="3">
        <v>0.1027</v>
      </c>
      <c r="I310" s="3">
        <v>3467.43</v>
      </c>
      <c r="J310" s="3">
        <v>0.1006</v>
      </c>
      <c r="K310" s="3">
        <v>2243.0</v>
      </c>
    </row>
    <row r="311" ht="15.75" customHeight="1">
      <c r="A311" s="3" t="s">
        <v>780</v>
      </c>
      <c r="B311" s="3" t="s">
        <v>781</v>
      </c>
      <c r="C311" s="3" t="s">
        <v>467</v>
      </c>
      <c r="D311" s="18">
        <v>39570.0</v>
      </c>
      <c r="E311" s="3">
        <v>2.643718</v>
      </c>
      <c r="F311" s="18">
        <v>39626.0</v>
      </c>
      <c r="G311" s="3">
        <v>2.161279</v>
      </c>
      <c r="H311" s="3">
        <v>-0.1825</v>
      </c>
      <c r="I311" s="3">
        <v>-6345.38</v>
      </c>
      <c r="J311" s="3">
        <v>-0.1843</v>
      </c>
      <c r="K311" s="3">
        <v>13023.0</v>
      </c>
    </row>
    <row r="312" ht="15.75" customHeight="1">
      <c r="A312" s="3" t="s">
        <v>782</v>
      </c>
      <c r="B312" s="3" t="s">
        <v>783</v>
      </c>
      <c r="C312" s="3" t="s">
        <v>467</v>
      </c>
      <c r="D312" s="18">
        <v>39570.0</v>
      </c>
      <c r="E312" s="3">
        <v>9.216135</v>
      </c>
      <c r="F312" s="18">
        <v>39619.0</v>
      </c>
      <c r="G312" s="3">
        <v>8.817359</v>
      </c>
      <c r="H312" s="3">
        <v>-0.0433</v>
      </c>
      <c r="I312" s="3">
        <v>-1557.22</v>
      </c>
      <c r="J312" s="3">
        <v>-0.0452</v>
      </c>
      <c r="K312" s="3">
        <v>3736.0</v>
      </c>
    </row>
    <row r="313" ht="15.75" customHeight="1">
      <c r="A313" s="3" t="s">
        <v>784</v>
      </c>
      <c r="B313" s="3" t="s">
        <v>785</v>
      </c>
      <c r="C313" s="3" t="s">
        <v>467</v>
      </c>
      <c r="D313" s="18">
        <v>39577.0</v>
      </c>
      <c r="E313" s="3">
        <v>13.67667</v>
      </c>
      <c r="F313" s="18">
        <v>39619.0</v>
      </c>
      <c r="G313" s="3">
        <v>15.3831</v>
      </c>
      <c r="H313" s="3">
        <v>0.1248</v>
      </c>
      <c r="I313" s="3">
        <v>4445.0</v>
      </c>
      <c r="J313" s="3">
        <v>0.1226</v>
      </c>
      <c r="K313" s="3">
        <v>2650.0</v>
      </c>
    </row>
    <row r="314" ht="15.75" customHeight="1">
      <c r="A314" s="3" t="s">
        <v>786</v>
      </c>
      <c r="B314" s="3" t="s">
        <v>529</v>
      </c>
      <c r="C314" s="3" t="s">
        <v>467</v>
      </c>
      <c r="D314" s="18">
        <v>39570.0</v>
      </c>
      <c r="E314" s="3">
        <v>3.1</v>
      </c>
      <c r="F314" s="18">
        <v>39601.0</v>
      </c>
      <c r="G314" s="3">
        <v>3.17</v>
      </c>
      <c r="H314" s="3">
        <v>0.0226</v>
      </c>
      <c r="I314" s="3">
        <v>708.49</v>
      </c>
      <c r="J314" s="3">
        <v>0.0206</v>
      </c>
      <c r="K314" s="3">
        <v>11117.0</v>
      </c>
    </row>
    <row r="315" ht="15.75" customHeight="1">
      <c r="A315" s="3" t="s">
        <v>787</v>
      </c>
      <c r="B315" s="3" t="s">
        <v>788</v>
      </c>
      <c r="C315" s="3" t="s">
        <v>467</v>
      </c>
      <c r="D315" s="18">
        <v>38961.0</v>
      </c>
      <c r="E315" s="3">
        <v>0.4751222</v>
      </c>
      <c r="F315" s="18">
        <v>39527.0</v>
      </c>
      <c r="G315" s="3">
        <v>0.5037624</v>
      </c>
      <c r="H315" s="3">
        <v>0.0603</v>
      </c>
      <c r="I315" s="3">
        <v>1560.71</v>
      </c>
      <c r="J315" s="3">
        <v>0.0582</v>
      </c>
      <c r="K315" s="3">
        <v>56422.0</v>
      </c>
    </row>
    <row r="316" ht="15.75" customHeight="1">
      <c r="A316" s="3" t="s">
        <v>731</v>
      </c>
      <c r="B316" s="3" t="s">
        <v>732</v>
      </c>
      <c r="C316" s="3" t="s">
        <v>467</v>
      </c>
      <c r="D316" s="18">
        <v>39339.0</v>
      </c>
      <c r="E316" s="3">
        <v>1.880223</v>
      </c>
      <c r="F316" s="18">
        <v>39514.0</v>
      </c>
      <c r="G316" s="3">
        <v>3.902347</v>
      </c>
      <c r="H316" s="3">
        <v>1.0755</v>
      </c>
      <c r="I316" s="3">
        <v>37159.17</v>
      </c>
      <c r="J316" s="3">
        <v>1.0724</v>
      </c>
      <c r="K316" s="3">
        <v>18429.0</v>
      </c>
    </row>
    <row r="317" ht="15.75" customHeight="1">
      <c r="A317" s="3" t="s">
        <v>789</v>
      </c>
      <c r="B317" s="3" t="s">
        <v>790</v>
      </c>
      <c r="C317" s="3" t="s">
        <v>467</v>
      </c>
      <c r="D317" s="18">
        <v>37596.0</v>
      </c>
      <c r="E317" s="3">
        <v>3.212201</v>
      </c>
      <c r="F317" s="18">
        <v>39514.0</v>
      </c>
      <c r="G317" s="3">
        <v>10.71333</v>
      </c>
      <c r="H317" s="3">
        <v>2.3352</v>
      </c>
      <c r="I317" s="3">
        <v>21518.22</v>
      </c>
      <c r="J317" s="3">
        <v>2.3309</v>
      </c>
      <c r="K317" s="3">
        <v>2874.0</v>
      </c>
    </row>
    <row r="318" ht="15.75" customHeight="1">
      <c r="A318" s="3" t="s">
        <v>689</v>
      </c>
      <c r="B318" s="3" t="s">
        <v>690</v>
      </c>
      <c r="C318" s="3" t="s">
        <v>467</v>
      </c>
      <c r="D318" s="18">
        <v>36686.0</v>
      </c>
      <c r="E318" s="3">
        <v>0.3602172</v>
      </c>
      <c r="F318" s="18">
        <v>39507.0</v>
      </c>
      <c r="G318" s="3">
        <v>0.8833623</v>
      </c>
      <c r="H318" s="3">
        <v>1.4523</v>
      </c>
      <c r="I318" s="3">
        <v>9493.91</v>
      </c>
      <c r="J318" s="3">
        <v>1.4489</v>
      </c>
      <c r="K318" s="3">
        <v>18191.0</v>
      </c>
    </row>
    <row r="319" ht="15.75" customHeight="1">
      <c r="A319" s="3" t="s">
        <v>791</v>
      </c>
      <c r="B319" s="3" t="s">
        <v>792</v>
      </c>
      <c r="C319" s="3" t="s">
        <v>467</v>
      </c>
      <c r="D319" s="18">
        <v>39269.0</v>
      </c>
      <c r="E319" s="3">
        <v>9.338086</v>
      </c>
      <c r="F319" s="18">
        <v>39500.0</v>
      </c>
      <c r="G319" s="3">
        <v>7.333037</v>
      </c>
      <c r="H319" s="3">
        <v>-0.2147</v>
      </c>
      <c r="I319" s="3">
        <v>-7854.4</v>
      </c>
      <c r="J319" s="3">
        <v>-0.2165</v>
      </c>
      <c r="K319" s="3">
        <v>3885.0</v>
      </c>
    </row>
    <row r="320" ht="15.75" customHeight="1">
      <c r="A320" s="3" t="s">
        <v>793</v>
      </c>
      <c r="B320" s="3" t="s">
        <v>794</v>
      </c>
      <c r="C320" s="3" t="s">
        <v>467</v>
      </c>
      <c r="D320" s="18">
        <v>38513.0</v>
      </c>
      <c r="E320" s="3">
        <v>21.74726</v>
      </c>
      <c r="F320" s="18">
        <v>39500.0</v>
      </c>
      <c r="G320" s="3">
        <v>37.84555</v>
      </c>
      <c r="H320" s="3">
        <v>0.7402</v>
      </c>
      <c r="I320" s="3">
        <v>14098.01</v>
      </c>
      <c r="J320" s="3">
        <v>0.7375</v>
      </c>
      <c r="K320" s="3">
        <v>879.0</v>
      </c>
    </row>
    <row r="321" ht="15.75" customHeight="1">
      <c r="A321" s="3" t="s">
        <v>637</v>
      </c>
      <c r="B321" s="3" t="s">
        <v>638</v>
      </c>
      <c r="C321" s="3" t="s">
        <v>467</v>
      </c>
      <c r="D321" s="18">
        <v>39423.0</v>
      </c>
      <c r="E321" s="3">
        <v>12.1972</v>
      </c>
      <c r="F321" s="18">
        <v>39472.0</v>
      </c>
      <c r="G321" s="3">
        <v>9.827395</v>
      </c>
      <c r="H321" s="3">
        <v>-0.1943</v>
      </c>
      <c r="I321" s="3">
        <v>-7182.65</v>
      </c>
      <c r="J321" s="3">
        <v>-0.1961</v>
      </c>
      <c r="K321" s="3">
        <v>3003.0</v>
      </c>
    </row>
    <row r="322" ht="15.75" customHeight="1">
      <c r="A322" s="3" t="s">
        <v>795</v>
      </c>
      <c r="B322" s="3" t="s">
        <v>796</v>
      </c>
      <c r="C322" s="3" t="s">
        <v>467</v>
      </c>
      <c r="D322" s="18">
        <v>39332.0</v>
      </c>
      <c r="E322" s="3">
        <v>4.08</v>
      </c>
      <c r="F322" s="18">
        <v>39469.0</v>
      </c>
      <c r="G322" s="3">
        <v>4.92</v>
      </c>
      <c r="H322" s="3">
        <v>0.2059</v>
      </c>
      <c r="I322" s="3">
        <v>7065.16</v>
      </c>
      <c r="J322" s="3">
        <v>0.2037</v>
      </c>
      <c r="K322" s="3">
        <v>8502.0</v>
      </c>
    </row>
    <row r="323" ht="15.75" customHeight="1">
      <c r="A323" s="3" t="s">
        <v>797</v>
      </c>
      <c r="B323" s="3" t="s">
        <v>798</v>
      </c>
      <c r="C323" s="3" t="s">
        <v>467</v>
      </c>
      <c r="D323" s="18">
        <v>39423.0</v>
      </c>
      <c r="E323" s="3">
        <v>26.93774</v>
      </c>
      <c r="F323" s="18">
        <v>39465.0</v>
      </c>
      <c r="G323" s="3">
        <v>22.70052</v>
      </c>
      <c r="H323" s="3">
        <v>-0.1573</v>
      </c>
      <c r="I323" s="3">
        <v>-5830.13</v>
      </c>
      <c r="J323" s="3">
        <v>-0.1591</v>
      </c>
      <c r="K323" s="3">
        <v>1360.0</v>
      </c>
    </row>
    <row r="324" ht="15.75" customHeight="1">
      <c r="A324" s="3" t="s">
        <v>522</v>
      </c>
      <c r="B324" s="3" t="s">
        <v>523</v>
      </c>
      <c r="C324" s="3" t="s">
        <v>467</v>
      </c>
      <c r="D324" s="18">
        <v>39339.0</v>
      </c>
      <c r="E324" s="3">
        <v>5.587745</v>
      </c>
      <c r="F324" s="18">
        <v>39465.0</v>
      </c>
      <c r="G324" s="3">
        <v>5.325752</v>
      </c>
      <c r="H324" s="3">
        <v>-0.0469</v>
      </c>
      <c r="I324" s="3">
        <v>-1692.57</v>
      </c>
      <c r="J324" s="3">
        <v>-0.0488</v>
      </c>
      <c r="K324" s="3">
        <v>6202.0</v>
      </c>
    </row>
    <row r="325" ht="15.75" customHeight="1">
      <c r="A325" s="3" t="s">
        <v>578</v>
      </c>
      <c r="B325" s="3" t="s">
        <v>579</v>
      </c>
      <c r="C325" s="3" t="s">
        <v>467</v>
      </c>
      <c r="D325" s="18">
        <v>39332.0</v>
      </c>
      <c r="E325" s="3">
        <v>8.560815</v>
      </c>
      <c r="F325" s="18">
        <v>39465.0</v>
      </c>
      <c r="G325" s="3">
        <v>7.107091</v>
      </c>
      <c r="H325" s="3">
        <v>-0.1698</v>
      </c>
      <c r="I325" s="3">
        <v>-5951.02</v>
      </c>
      <c r="J325" s="3">
        <v>-0.1716</v>
      </c>
      <c r="K325" s="3">
        <v>4050.0</v>
      </c>
    </row>
    <row r="326" ht="15.75" customHeight="1">
      <c r="A326" s="3" t="s">
        <v>715</v>
      </c>
      <c r="B326" s="3" t="s">
        <v>716</v>
      </c>
      <c r="C326" s="3" t="s">
        <v>467</v>
      </c>
      <c r="D326" s="18">
        <v>36686.0</v>
      </c>
      <c r="E326" s="3">
        <v>1.047195</v>
      </c>
      <c r="F326" s="18">
        <v>39465.0</v>
      </c>
      <c r="G326" s="3">
        <v>2.452313</v>
      </c>
      <c r="H326" s="3">
        <v>1.3418</v>
      </c>
      <c r="I326" s="3">
        <v>8768.53</v>
      </c>
      <c r="J326" s="3">
        <v>1.3385</v>
      </c>
      <c r="K326" s="3">
        <v>6256.0</v>
      </c>
    </row>
    <row r="327" ht="15.75" customHeight="1">
      <c r="A327" s="3" t="s">
        <v>485</v>
      </c>
      <c r="B327" s="3" t="s">
        <v>486</v>
      </c>
      <c r="C327" s="3" t="s">
        <v>467</v>
      </c>
      <c r="D327" s="18">
        <v>39332.0</v>
      </c>
      <c r="E327" s="3">
        <v>7.120454</v>
      </c>
      <c r="F327" s="18">
        <v>39437.0</v>
      </c>
      <c r="G327" s="3">
        <v>6.227301</v>
      </c>
      <c r="H327" s="3">
        <v>-0.1254</v>
      </c>
      <c r="I327" s="3">
        <v>-4414.66</v>
      </c>
      <c r="J327" s="3">
        <v>-0.1273</v>
      </c>
      <c r="K327" s="3">
        <v>4870.0</v>
      </c>
    </row>
    <row r="328" ht="15.75" customHeight="1">
      <c r="A328" s="3" t="s">
        <v>799</v>
      </c>
      <c r="B328" s="3" t="s">
        <v>800</v>
      </c>
      <c r="C328" s="3" t="s">
        <v>467</v>
      </c>
      <c r="D328" s="18">
        <v>36630.0</v>
      </c>
      <c r="E328" s="3">
        <v>1.888166</v>
      </c>
      <c r="F328" s="18">
        <v>39437.0</v>
      </c>
      <c r="G328" s="3">
        <v>5.11144</v>
      </c>
      <c r="H328" s="3">
        <v>1.7071</v>
      </c>
      <c r="I328" s="3">
        <v>11437.07</v>
      </c>
      <c r="J328" s="3">
        <v>1.7034</v>
      </c>
      <c r="K328" s="3">
        <v>3556.0</v>
      </c>
    </row>
    <row r="329" ht="15.75" customHeight="1">
      <c r="A329" s="3" t="s">
        <v>801</v>
      </c>
      <c r="B329" s="3" t="s">
        <v>802</v>
      </c>
      <c r="C329" s="3" t="s">
        <v>467</v>
      </c>
      <c r="D329" s="18">
        <v>39339.0</v>
      </c>
      <c r="E329" s="3">
        <v>26.57946</v>
      </c>
      <c r="F329" s="18">
        <v>39416.0</v>
      </c>
      <c r="G329" s="3">
        <v>32.48474</v>
      </c>
      <c r="H329" s="3">
        <v>0.2222</v>
      </c>
      <c r="I329" s="3">
        <v>7617.62</v>
      </c>
      <c r="J329" s="3">
        <v>0.22</v>
      </c>
      <c r="K329" s="3">
        <v>1303.0</v>
      </c>
    </row>
    <row r="330" ht="15.75" customHeight="1">
      <c r="A330" s="3" t="s">
        <v>797</v>
      </c>
      <c r="B330" s="3" t="s">
        <v>798</v>
      </c>
      <c r="C330" s="3" t="s">
        <v>467</v>
      </c>
      <c r="D330" s="18">
        <v>39332.0</v>
      </c>
      <c r="E330" s="3">
        <v>20.55217</v>
      </c>
      <c r="F330" s="18">
        <v>39416.0</v>
      </c>
      <c r="G330" s="3">
        <v>23.1033</v>
      </c>
      <c r="H330" s="3">
        <v>0.1241</v>
      </c>
      <c r="I330" s="3">
        <v>4230.11</v>
      </c>
      <c r="J330" s="3">
        <v>0.122</v>
      </c>
      <c r="K330" s="3">
        <v>1687.0</v>
      </c>
    </row>
    <row r="331" ht="15.75" customHeight="1">
      <c r="A331" s="3" t="s">
        <v>803</v>
      </c>
      <c r="B331" s="3" t="s">
        <v>804</v>
      </c>
      <c r="C331" s="3" t="s">
        <v>467</v>
      </c>
      <c r="D331" s="18">
        <v>39101.0</v>
      </c>
      <c r="E331" s="3">
        <v>2.556719</v>
      </c>
      <c r="F331" s="18">
        <v>39318.0</v>
      </c>
      <c r="G331" s="3">
        <v>2.571832</v>
      </c>
      <c r="H331" s="3">
        <v>0.0059</v>
      </c>
      <c r="I331" s="3">
        <v>124.54</v>
      </c>
      <c r="J331" s="3">
        <v>0.0039</v>
      </c>
      <c r="K331" s="3">
        <v>12473.0</v>
      </c>
    </row>
    <row r="332" ht="15.75" customHeight="1">
      <c r="A332" s="3" t="s">
        <v>805</v>
      </c>
      <c r="B332" s="3" t="s">
        <v>806</v>
      </c>
      <c r="C332" s="3" t="s">
        <v>467</v>
      </c>
      <c r="D332" s="18">
        <v>38506.0</v>
      </c>
      <c r="E332" s="3">
        <v>1.531889</v>
      </c>
      <c r="F332" s="18">
        <v>39318.0</v>
      </c>
      <c r="G332" s="3">
        <v>2.023725</v>
      </c>
      <c r="H332" s="3">
        <v>0.3211</v>
      </c>
      <c r="I332" s="3">
        <v>5967.76</v>
      </c>
      <c r="J332" s="3">
        <v>0.3187</v>
      </c>
      <c r="K332" s="3">
        <v>12222.0</v>
      </c>
    </row>
    <row r="333" ht="15.75" customHeight="1">
      <c r="A333" s="3" t="s">
        <v>807</v>
      </c>
      <c r="B333" s="3" t="s">
        <v>808</v>
      </c>
      <c r="C333" s="3" t="s">
        <v>467</v>
      </c>
      <c r="D333" s="18">
        <v>36756.0</v>
      </c>
      <c r="E333" s="3">
        <v>3.683888</v>
      </c>
      <c r="F333" s="18">
        <v>39318.0</v>
      </c>
      <c r="G333" s="3">
        <v>14.6072</v>
      </c>
      <c r="H333" s="3">
        <v>2.9652</v>
      </c>
      <c r="I333" s="3">
        <v>20599.58</v>
      </c>
      <c r="J333" s="3">
        <v>2.9602</v>
      </c>
      <c r="K333" s="3">
        <v>1889.0</v>
      </c>
    </row>
    <row r="334" ht="15.75" customHeight="1">
      <c r="A334" s="3" t="s">
        <v>809</v>
      </c>
      <c r="B334" s="3" t="s">
        <v>810</v>
      </c>
      <c r="C334" s="3" t="s">
        <v>467</v>
      </c>
      <c r="D334" s="18">
        <v>39045.0</v>
      </c>
      <c r="E334" s="3">
        <v>4.75422</v>
      </c>
      <c r="F334" s="18">
        <v>39304.0</v>
      </c>
      <c r="G334" s="3">
        <v>6.568242</v>
      </c>
      <c r="H334" s="3">
        <v>0.3816</v>
      </c>
      <c r="I334" s="3">
        <v>11690.51</v>
      </c>
      <c r="J334" s="3">
        <v>0.3792</v>
      </c>
      <c r="K334" s="3">
        <v>6485.0</v>
      </c>
    </row>
    <row r="335" ht="15.75" customHeight="1">
      <c r="A335" s="3" t="s">
        <v>811</v>
      </c>
      <c r="B335" s="3" t="s">
        <v>812</v>
      </c>
      <c r="C335" s="3" t="s">
        <v>467</v>
      </c>
      <c r="D335" s="18">
        <v>38996.0</v>
      </c>
      <c r="E335" s="3">
        <v>3.301577</v>
      </c>
      <c r="F335" s="18">
        <v>39304.0</v>
      </c>
      <c r="G335" s="3">
        <v>2.608511</v>
      </c>
      <c r="H335" s="3">
        <v>-0.2099</v>
      </c>
      <c r="I335" s="3">
        <v>-6157.98</v>
      </c>
      <c r="J335" s="3">
        <v>-0.2117</v>
      </c>
      <c r="K335" s="3">
        <v>8810.0</v>
      </c>
    </row>
    <row r="336" ht="15.75" customHeight="1">
      <c r="A336" s="3" t="s">
        <v>813</v>
      </c>
      <c r="B336" s="3" t="s">
        <v>814</v>
      </c>
      <c r="C336" s="3" t="s">
        <v>467</v>
      </c>
      <c r="D336" s="18">
        <v>38954.0</v>
      </c>
      <c r="E336" s="3">
        <v>1.286274</v>
      </c>
      <c r="F336" s="18">
        <v>39297.0</v>
      </c>
      <c r="G336" s="3">
        <v>2.915343</v>
      </c>
      <c r="H336" s="3">
        <v>1.2665</v>
      </c>
      <c r="I336" s="3">
        <v>33912.61</v>
      </c>
      <c r="J336" s="3">
        <v>1.2632</v>
      </c>
      <c r="K336" s="3">
        <v>20871.0</v>
      </c>
    </row>
    <row r="337" ht="15.75" customHeight="1">
      <c r="A337" s="3" t="s">
        <v>377</v>
      </c>
      <c r="B337" s="3" t="s">
        <v>378</v>
      </c>
      <c r="C337" s="3" t="s">
        <v>467</v>
      </c>
      <c r="D337" s="18">
        <v>38226.0</v>
      </c>
      <c r="E337" s="3">
        <v>1.946564</v>
      </c>
      <c r="F337" s="18">
        <v>39297.0</v>
      </c>
      <c r="G337" s="3">
        <v>5.887694</v>
      </c>
      <c r="H337" s="3">
        <v>2.0247</v>
      </c>
      <c r="I337" s="3">
        <v>28288.26</v>
      </c>
      <c r="J337" s="3">
        <v>2.0206</v>
      </c>
      <c r="K337" s="3">
        <v>7192.0</v>
      </c>
    </row>
    <row r="338" ht="15.75" customHeight="1">
      <c r="A338" s="3" t="s">
        <v>643</v>
      </c>
      <c r="B338" s="3" t="s">
        <v>644</v>
      </c>
      <c r="C338" s="3" t="s">
        <v>467</v>
      </c>
      <c r="D338" s="18">
        <v>38961.0</v>
      </c>
      <c r="E338" s="3">
        <v>1.231753</v>
      </c>
      <c r="F338" s="18">
        <v>39297.0</v>
      </c>
      <c r="G338" s="3">
        <v>2.004898</v>
      </c>
      <c r="H338" s="3">
        <v>0.6277</v>
      </c>
      <c r="I338" s="3">
        <v>16751.67</v>
      </c>
      <c r="J338" s="3">
        <v>0.6251</v>
      </c>
      <c r="K338" s="3">
        <v>21758.0</v>
      </c>
    </row>
    <row r="339" ht="15.75" customHeight="1">
      <c r="A339" s="3" t="s">
        <v>815</v>
      </c>
      <c r="B339" s="3" t="s">
        <v>816</v>
      </c>
      <c r="C339" s="3" t="s">
        <v>467</v>
      </c>
      <c r="D339" s="18">
        <v>39143.0</v>
      </c>
      <c r="E339" s="3">
        <v>6.15</v>
      </c>
      <c r="F339" s="18">
        <v>39269.0</v>
      </c>
      <c r="G339" s="3">
        <v>4.36</v>
      </c>
      <c r="H339" s="3">
        <v>-0.2911</v>
      </c>
      <c r="I339" s="3">
        <v>-10212.49</v>
      </c>
      <c r="J339" s="3">
        <v>-0.2928</v>
      </c>
      <c r="K339" s="3">
        <v>5672.0</v>
      </c>
    </row>
    <row r="340" ht="15.75" customHeight="1">
      <c r="A340" s="3" t="s">
        <v>817</v>
      </c>
      <c r="B340" s="3" t="s">
        <v>818</v>
      </c>
      <c r="C340" s="3" t="s">
        <v>467</v>
      </c>
      <c r="D340" s="18">
        <v>38583.0</v>
      </c>
      <c r="E340" s="3">
        <v>4.267623</v>
      </c>
      <c r="F340" s="18">
        <v>39143.0</v>
      </c>
      <c r="G340" s="3">
        <v>4.626039</v>
      </c>
      <c r="H340" s="3">
        <v>0.084</v>
      </c>
      <c r="I340" s="3">
        <v>1696.58</v>
      </c>
      <c r="J340" s="3">
        <v>0.0819</v>
      </c>
      <c r="K340" s="3">
        <v>4854.0</v>
      </c>
    </row>
    <row r="341" ht="15.75" customHeight="1">
      <c r="A341" s="3" t="s">
        <v>819</v>
      </c>
      <c r="B341" s="3" t="s">
        <v>820</v>
      </c>
      <c r="C341" s="3" t="s">
        <v>467</v>
      </c>
      <c r="D341" s="18">
        <v>38954.0</v>
      </c>
      <c r="E341" s="3">
        <v>2.12</v>
      </c>
      <c r="F341" s="18">
        <v>39099.0</v>
      </c>
      <c r="G341" s="3">
        <v>3.64</v>
      </c>
      <c r="H341" s="3">
        <v>0.717</v>
      </c>
      <c r="I341" s="3">
        <v>19177.85</v>
      </c>
      <c r="J341" s="3">
        <v>0.7143</v>
      </c>
      <c r="K341" s="3">
        <v>12665.0</v>
      </c>
    </row>
    <row r="342" ht="15.75" customHeight="1">
      <c r="A342" s="3" t="s">
        <v>821</v>
      </c>
      <c r="B342" s="3" t="s">
        <v>822</v>
      </c>
      <c r="C342" s="3" t="s">
        <v>467</v>
      </c>
      <c r="D342" s="18">
        <v>38961.0</v>
      </c>
      <c r="E342" s="3">
        <v>1.075</v>
      </c>
      <c r="F342" s="18">
        <v>39041.0</v>
      </c>
      <c r="G342" s="3">
        <v>1.095</v>
      </c>
      <c r="H342" s="3">
        <v>0.0186</v>
      </c>
      <c r="I342" s="3">
        <v>444.45</v>
      </c>
      <c r="J342" s="3">
        <v>0.0166</v>
      </c>
      <c r="K342" s="3">
        <v>24927.0</v>
      </c>
    </row>
    <row r="343" ht="15.75" customHeight="1">
      <c r="A343" s="3" t="s">
        <v>801</v>
      </c>
      <c r="B343" s="3" t="s">
        <v>802</v>
      </c>
      <c r="C343" s="3" t="s">
        <v>467</v>
      </c>
      <c r="D343" s="18">
        <v>38968.0</v>
      </c>
      <c r="E343" s="3">
        <v>10.87105</v>
      </c>
      <c r="F343" s="18">
        <v>38989.0</v>
      </c>
      <c r="G343" s="3">
        <v>10.35003</v>
      </c>
      <c r="H343" s="3">
        <v>-0.0479</v>
      </c>
      <c r="I343" s="3">
        <v>-1376.75</v>
      </c>
      <c r="J343" s="3">
        <v>-0.0499</v>
      </c>
      <c r="K343" s="3">
        <v>2539.0</v>
      </c>
    </row>
    <row r="344" ht="15.75" customHeight="1">
      <c r="A344" s="3" t="s">
        <v>823</v>
      </c>
      <c r="B344" s="3" t="s">
        <v>824</v>
      </c>
      <c r="C344" s="3" t="s">
        <v>467</v>
      </c>
      <c r="D344" s="18">
        <v>38597.0</v>
      </c>
      <c r="E344" s="3">
        <v>1.940822</v>
      </c>
      <c r="F344" s="18">
        <v>38919.0</v>
      </c>
      <c r="G344" s="3">
        <v>3.245052</v>
      </c>
      <c r="H344" s="3">
        <v>0.672</v>
      </c>
      <c r="I344" s="3">
        <v>14290.78</v>
      </c>
      <c r="J344" s="3">
        <v>0.6693</v>
      </c>
      <c r="K344" s="3">
        <v>11001.0</v>
      </c>
    </row>
    <row r="345" ht="15.75" customHeight="1">
      <c r="A345" s="3" t="s">
        <v>825</v>
      </c>
      <c r="B345" s="3" t="s">
        <v>826</v>
      </c>
      <c r="C345" s="3" t="s">
        <v>467</v>
      </c>
      <c r="D345" s="18">
        <v>37722.0</v>
      </c>
      <c r="E345" s="3">
        <v>2.364885</v>
      </c>
      <c r="F345" s="18">
        <v>38909.0</v>
      </c>
      <c r="G345" s="3">
        <v>17.07679</v>
      </c>
      <c r="H345" s="3">
        <v>6.221</v>
      </c>
      <c r="I345" s="3">
        <v>61282.26</v>
      </c>
      <c r="J345" s="3">
        <v>6.2128</v>
      </c>
      <c r="K345" s="3">
        <v>4171.0</v>
      </c>
    </row>
    <row r="346" ht="15.75" customHeight="1">
      <c r="A346" s="3" t="s">
        <v>568</v>
      </c>
      <c r="B346" s="3" t="s">
        <v>569</v>
      </c>
      <c r="C346" s="3" t="s">
        <v>467</v>
      </c>
      <c r="D346" s="18">
        <v>38702.0</v>
      </c>
      <c r="E346" s="3">
        <v>15.96984</v>
      </c>
      <c r="F346" s="18">
        <v>38870.0</v>
      </c>
      <c r="G346" s="3">
        <v>15.09301</v>
      </c>
      <c r="H346" s="3">
        <v>-0.0549</v>
      </c>
      <c r="I346" s="3">
        <v>-1228.38</v>
      </c>
      <c r="J346" s="3">
        <v>-0.0569</v>
      </c>
      <c r="K346" s="3">
        <v>1353.0</v>
      </c>
    </row>
    <row r="347" ht="15.75" customHeight="1">
      <c r="A347" s="3" t="s">
        <v>574</v>
      </c>
      <c r="B347" s="3" t="s">
        <v>575</v>
      </c>
      <c r="C347" s="3" t="s">
        <v>467</v>
      </c>
      <c r="D347" s="18">
        <v>38681.0</v>
      </c>
      <c r="E347" s="3">
        <v>0.1823946</v>
      </c>
      <c r="F347" s="18">
        <v>38870.0</v>
      </c>
      <c r="G347" s="3">
        <v>0.2529206</v>
      </c>
      <c r="H347" s="3">
        <v>0.3867</v>
      </c>
      <c r="I347" s="3">
        <v>8599.15</v>
      </c>
      <c r="J347" s="3">
        <v>0.3843</v>
      </c>
      <c r="K347" s="3">
        <v>122686.0</v>
      </c>
    </row>
    <row r="348" ht="15.75" customHeight="1">
      <c r="A348" s="3" t="s">
        <v>827</v>
      </c>
      <c r="B348" s="3" t="s">
        <v>828</v>
      </c>
      <c r="C348" s="3" t="s">
        <v>467</v>
      </c>
      <c r="D348" s="18">
        <v>38674.0</v>
      </c>
      <c r="E348" s="3">
        <v>1.844502</v>
      </c>
      <c r="F348" s="18">
        <v>38870.0</v>
      </c>
      <c r="G348" s="3">
        <v>2.775884</v>
      </c>
      <c r="H348" s="3">
        <v>0.505</v>
      </c>
      <c r="I348" s="3">
        <v>10857.01</v>
      </c>
      <c r="J348" s="3">
        <v>0.5024</v>
      </c>
      <c r="K348" s="3">
        <v>11715.0</v>
      </c>
    </row>
    <row r="349" ht="15.75" customHeight="1">
      <c r="A349" s="3" t="s">
        <v>829</v>
      </c>
      <c r="B349" s="3" t="s">
        <v>830</v>
      </c>
      <c r="C349" s="3" t="s">
        <v>467</v>
      </c>
      <c r="D349" s="18">
        <v>38667.0</v>
      </c>
      <c r="E349" s="3">
        <v>1.428383</v>
      </c>
      <c r="F349" s="18">
        <v>38870.0</v>
      </c>
      <c r="G349" s="3">
        <v>1.435</v>
      </c>
      <c r="H349" s="3">
        <v>0.0046</v>
      </c>
      <c r="I349" s="3">
        <v>56.39</v>
      </c>
      <c r="J349" s="3">
        <v>0.0026</v>
      </c>
      <c r="K349" s="3">
        <v>15023.0</v>
      </c>
    </row>
    <row r="350" ht="15.75" customHeight="1">
      <c r="A350" s="3" t="s">
        <v>831</v>
      </c>
      <c r="B350" s="3" t="s">
        <v>832</v>
      </c>
      <c r="C350" s="3" t="s">
        <v>467</v>
      </c>
      <c r="D350" s="18">
        <v>38667.0</v>
      </c>
      <c r="E350" s="3">
        <v>12.6824</v>
      </c>
      <c r="F350" s="18">
        <v>38691.0</v>
      </c>
      <c r="G350" s="3">
        <v>13.44</v>
      </c>
      <c r="H350" s="3">
        <v>0.0597</v>
      </c>
      <c r="I350" s="3">
        <v>1237.66</v>
      </c>
      <c r="J350" s="3">
        <v>0.0577</v>
      </c>
      <c r="K350" s="3">
        <v>1692.0</v>
      </c>
    </row>
    <row r="351" ht="15.75" customHeight="1">
      <c r="A351" s="3" t="s">
        <v>833</v>
      </c>
      <c r="B351" s="3" t="s">
        <v>834</v>
      </c>
      <c r="C351" s="3" t="s">
        <v>467</v>
      </c>
      <c r="D351" s="18">
        <v>38226.0</v>
      </c>
      <c r="E351" s="3">
        <v>3.748033</v>
      </c>
      <c r="F351" s="18">
        <v>38660.0</v>
      </c>
      <c r="G351" s="3">
        <v>6.043457</v>
      </c>
      <c r="H351" s="3">
        <v>0.6124</v>
      </c>
      <c r="I351" s="3">
        <v>8536.84</v>
      </c>
      <c r="J351" s="3">
        <v>0.6098</v>
      </c>
      <c r="K351" s="3">
        <v>3735.0</v>
      </c>
    </row>
    <row r="352" ht="15.75" customHeight="1">
      <c r="A352" s="3" t="s">
        <v>835</v>
      </c>
      <c r="B352" s="3" t="s">
        <v>836</v>
      </c>
      <c r="C352" s="3" t="s">
        <v>467</v>
      </c>
      <c r="D352" s="18">
        <v>38506.0</v>
      </c>
      <c r="E352" s="3">
        <v>11.06484</v>
      </c>
      <c r="F352" s="18">
        <v>38646.0</v>
      </c>
      <c r="G352" s="3">
        <v>16.01345</v>
      </c>
      <c r="H352" s="3">
        <v>0.4472</v>
      </c>
      <c r="I352" s="3">
        <v>8327.23</v>
      </c>
      <c r="J352" s="3">
        <v>0.4448</v>
      </c>
      <c r="K352" s="3">
        <v>1692.0</v>
      </c>
    </row>
    <row r="353" ht="15.75" customHeight="1">
      <c r="A353" s="3" t="s">
        <v>837</v>
      </c>
      <c r="B353" s="3" t="s">
        <v>838</v>
      </c>
      <c r="C353" s="3" t="s">
        <v>467</v>
      </c>
      <c r="D353" s="18">
        <v>37722.0</v>
      </c>
      <c r="E353" s="3">
        <v>1.216246</v>
      </c>
      <c r="F353" s="18">
        <v>38646.0</v>
      </c>
      <c r="G353" s="3">
        <v>3.446784</v>
      </c>
      <c r="H353" s="3">
        <v>1.834</v>
      </c>
      <c r="I353" s="3">
        <v>18054.07</v>
      </c>
      <c r="J353" s="3">
        <v>1.8301</v>
      </c>
      <c r="K353" s="3">
        <v>8111.0</v>
      </c>
    </row>
    <row r="354" ht="15.75" customHeight="1">
      <c r="A354" s="3" t="s">
        <v>839</v>
      </c>
      <c r="B354" s="3" t="s">
        <v>840</v>
      </c>
      <c r="C354" s="3" t="s">
        <v>467</v>
      </c>
      <c r="D354" s="18">
        <v>37722.0</v>
      </c>
      <c r="E354" s="3">
        <v>1.13588</v>
      </c>
      <c r="F354" s="18">
        <v>38597.0</v>
      </c>
      <c r="G354" s="3">
        <v>2.188395</v>
      </c>
      <c r="H354" s="3">
        <v>0.9266</v>
      </c>
      <c r="I354" s="3">
        <v>9113.27</v>
      </c>
      <c r="J354" s="3">
        <v>0.9237</v>
      </c>
      <c r="K354" s="3">
        <v>8686.0</v>
      </c>
    </row>
    <row r="355" ht="15.75" customHeight="1">
      <c r="A355" s="3" t="s">
        <v>841</v>
      </c>
      <c r="B355" s="3" t="s">
        <v>842</v>
      </c>
      <c r="C355" s="3" t="s">
        <v>467</v>
      </c>
      <c r="D355" s="18">
        <v>37596.0</v>
      </c>
      <c r="E355" s="3">
        <v>1.425114</v>
      </c>
      <c r="F355" s="18">
        <v>38583.0</v>
      </c>
      <c r="G355" s="3">
        <v>2.695943</v>
      </c>
      <c r="H355" s="3">
        <v>0.8917</v>
      </c>
      <c r="I355" s="3">
        <v>8208.27</v>
      </c>
      <c r="J355" s="3">
        <v>0.8888</v>
      </c>
      <c r="K355" s="3">
        <v>6480.0</v>
      </c>
    </row>
    <row r="356" ht="15.75" customHeight="1">
      <c r="A356" s="3" t="s">
        <v>843</v>
      </c>
      <c r="B356" s="3" t="s">
        <v>844</v>
      </c>
      <c r="C356" s="3" t="s">
        <v>467</v>
      </c>
      <c r="D356" s="18">
        <v>38352.0</v>
      </c>
      <c r="E356" s="3">
        <v>4.835139</v>
      </c>
      <c r="F356" s="18">
        <v>38485.0</v>
      </c>
      <c r="G356" s="3">
        <v>4.681686</v>
      </c>
      <c r="H356" s="3">
        <v>-0.0317</v>
      </c>
      <c r="I356" s="3">
        <v>-596.14</v>
      </c>
      <c r="J356" s="3">
        <v>-0.0337</v>
      </c>
      <c r="K356" s="3">
        <v>3658.0</v>
      </c>
    </row>
    <row r="357" ht="15.75" customHeight="1">
      <c r="A357" s="3" t="s">
        <v>845</v>
      </c>
      <c r="B357" s="3" t="s">
        <v>846</v>
      </c>
      <c r="C357" s="3" t="s">
        <v>467</v>
      </c>
      <c r="D357" s="18">
        <v>38275.0</v>
      </c>
      <c r="E357" s="3">
        <v>3.902256</v>
      </c>
      <c r="F357" s="18">
        <v>38485.0</v>
      </c>
      <c r="G357" s="3">
        <v>6.317195</v>
      </c>
      <c r="H357" s="3">
        <v>0.6189</v>
      </c>
      <c r="I357" s="3">
        <v>9436.12</v>
      </c>
      <c r="J357" s="3">
        <v>0.6162</v>
      </c>
      <c r="K357" s="3">
        <v>3924.0</v>
      </c>
    </row>
    <row r="358" ht="15.75" customHeight="1">
      <c r="A358" s="3" t="s">
        <v>267</v>
      </c>
      <c r="B358" s="3" t="s">
        <v>268</v>
      </c>
      <c r="C358" s="3" t="s">
        <v>467</v>
      </c>
      <c r="D358" s="18">
        <v>36588.0</v>
      </c>
      <c r="E358" s="3">
        <v>0.6807585</v>
      </c>
      <c r="F358" s="18">
        <v>38485.0</v>
      </c>
      <c r="G358" s="3">
        <v>1.141033</v>
      </c>
      <c r="H358" s="3">
        <v>0.6761</v>
      </c>
      <c r="I358" s="3">
        <v>4113.24</v>
      </c>
      <c r="J358" s="3">
        <v>0.6734</v>
      </c>
      <c r="K358" s="3">
        <v>8972.0</v>
      </c>
    </row>
    <row r="359" ht="15.75" customHeight="1">
      <c r="A359" s="3" t="s">
        <v>847</v>
      </c>
      <c r="B359" s="3" t="s">
        <v>848</v>
      </c>
      <c r="C359" s="3" t="s">
        <v>467</v>
      </c>
      <c r="D359" s="18">
        <v>38107.0</v>
      </c>
      <c r="E359" s="3">
        <v>6.394367</v>
      </c>
      <c r="F359" s="18">
        <v>38464.0</v>
      </c>
      <c r="G359" s="3">
        <v>11.24836</v>
      </c>
      <c r="H359" s="3">
        <v>0.7591</v>
      </c>
      <c r="I359" s="3">
        <v>9861.32</v>
      </c>
      <c r="J359" s="3">
        <v>0.7563</v>
      </c>
      <c r="K359" s="3">
        <v>2039.0</v>
      </c>
    </row>
    <row r="360" ht="15.75" customHeight="1">
      <c r="A360" s="3" t="s">
        <v>849</v>
      </c>
      <c r="B360" s="3" t="s">
        <v>850</v>
      </c>
      <c r="C360" s="3" t="s">
        <v>467</v>
      </c>
      <c r="D360" s="18">
        <v>37979.0</v>
      </c>
      <c r="E360" s="3">
        <v>2.673457</v>
      </c>
      <c r="F360" s="18">
        <v>38350.0</v>
      </c>
      <c r="G360" s="3">
        <v>3.42</v>
      </c>
      <c r="H360" s="3">
        <v>0.2792</v>
      </c>
      <c r="I360" s="3">
        <v>3189.86</v>
      </c>
      <c r="J360" s="3">
        <v>0.277</v>
      </c>
      <c r="K360" s="3">
        <v>4308.0</v>
      </c>
    </row>
    <row r="361" ht="15.75" customHeight="1">
      <c r="A361" s="3" t="s">
        <v>851</v>
      </c>
      <c r="B361" s="3" t="s">
        <v>852</v>
      </c>
      <c r="C361" s="3" t="s">
        <v>467</v>
      </c>
      <c r="D361" s="18">
        <v>38142.0</v>
      </c>
      <c r="E361" s="3">
        <v>1.240039</v>
      </c>
      <c r="F361" s="18">
        <v>38271.0</v>
      </c>
      <c r="G361" s="3">
        <v>1.31</v>
      </c>
      <c r="H361" s="3">
        <v>0.0564</v>
      </c>
      <c r="I361" s="3">
        <v>722.44</v>
      </c>
      <c r="J361" s="3">
        <v>0.0544</v>
      </c>
      <c r="K361" s="3">
        <v>10717.0</v>
      </c>
    </row>
    <row r="362" ht="15.75" customHeight="1">
      <c r="A362" s="3" t="s">
        <v>853</v>
      </c>
      <c r="B362" s="3" t="s">
        <v>854</v>
      </c>
      <c r="C362" s="3" t="s">
        <v>467</v>
      </c>
      <c r="D362" s="18">
        <v>37979.0</v>
      </c>
      <c r="E362" s="3">
        <v>0.74459</v>
      </c>
      <c r="F362" s="18">
        <v>38219.0</v>
      </c>
      <c r="G362" s="3">
        <v>2.02</v>
      </c>
      <c r="H362" s="3">
        <v>1.7129</v>
      </c>
      <c r="I362" s="3">
        <v>19689.1</v>
      </c>
      <c r="J362" s="3">
        <v>1.7092</v>
      </c>
      <c r="K362" s="3">
        <v>15471.0</v>
      </c>
    </row>
    <row r="363" ht="15.75" customHeight="1">
      <c r="A363" s="3" t="s">
        <v>685</v>
      </c>
      <c r="B363" s="3" t="s">
        <v>686</v>
      </c>
      <c r="C363" s="3" t="s">
        <v>467</v>
      </c>
      <c r="D363" s="18">
        <v>37979.0</v>
      </c>
      <c r="E363" s="3">
        <v>0.5803525</v>
      </c>
      <c r="F363" s="18">
        <v>38128.0</v>
      </c>
      <c r="G363" s="3">
        <v>0.4797581</v>
      </c>
      <c r="H363" s="3">
        <v>-0.1733</v>
      </c>
      <c r="I363" s="3">
        <v>-2018.05</v>
      </c>
      <c r="J363" s="3">
        <v>-0.1752</v>
      </c>
      <c r="K363" s="3">
        <v>19852.0</v>
      </c>
    </row>
    <row r="364" ht="15.75" customHeight="1">
      <c r="A364" s="3" t="s">
        <v>855</v>
      </c>
      <c r="B364" s="3" t="s">
        <v>856</v>
      </c>
      <c r="C364" s="3" t="s">
        <v>467</v>
      </c>
      <c r="D364" s="18">
        <v>37827.0</v>
      </c>
      <c r="E364" s="3">
        <v>2.89</v>
      </c>
      <c r="F364" s="18">
        <v>38107.0</v>
      </c>
      <c r="G364" s="3">
        <v>2.54</v>
      </c>
      <c r="H364" s="3">
        <v>-0.1211</v>
      </c>
      <c r="I364" s="3">
        <v>-1327.18</v>
      </c>
      <c r="J364" s="3">
        <v>-0.123</v>
      </c>
      <c r="K364" s="3">
        <v>3734.0</v>
      </c>
    </row>
    <row r="365" ht="15.75" customHeight="1">
      <c r="A365" s="3" t="s">
        <v>857</v>
      </c>
      <c r="B365" s="3" t="s">
        <v>858</v>
      </c>
      <c r="C365" s="3" t="s">
        <v>467</v>
      </c>
      <c r="D365" s="18">
        <v>37624.0</v>
      </c>
      <c r="E365" s="3">
        <v>0.7257591</v>
      </c>
      <c r="F365" s="18">
        <v>37939.0</v>
      </c>
      <c r="G365" s="3">
        <v>0.7436002</v>
      </c>
      <c r="H365" s="3">
        <v>0.0246</v>
      </c>
      <c r="I365" s="3">
        <v>211.7</v>
      </c>
      <c r="J365" s="3">
        <v>0.0226</v>
      </c>
      <c r="K365" s="3">
        <v>12931.0</v>
      </c>
    </row>
    <row r="366" ht="15.75" customHeight="1">
      <c r="A366" s="3" t="s">
        <v>859</v>
      </c>
      <c r="B366" s="3" t="s">
        <v>860</v>
      </c>
      <c r="C366" s="3" t="s">
        <v>467</v>
      </c>
      <c r="D366" s="18">
        <v>37596.0</v>
      </c>
      <c r="E366" s="3">
        <v>1.425133</v>
      </c>
      <c r="F366" s="18">
        <v>37939.0</v>
      </c>
      <c r="G366" s="3">
        <v>1.616507</v>
      </c>
      <c r="H366" s="3">
        <v>0.1343</v>
      </c>
      <c r="I366" s="3">
        <v>1219.64</v>
      </c>
      <c r="J366" s="3">
        <v>0.1322</v>
      </c>
      <c r="K366" s="3">
        <v>6476.0</v>
      </c>
    </row>
    <row r="367" ht="15.75" customHeight="1">
      <c r="A367" s="3" t="s">
        <v>861</v>
      </c>
      <c r="B367" s="3" t="s">
        <v>862</v>
      </c>
      <c r="C367" s="3" t="s">
        <v>467</v>
      </c>
      <c r="D367" s="18">
        <v>36588.0</v>
      </c>
      <c r="E367" s="3">
        <v>1.062185</v>
      </c>
      <c r="F367" s="18">
        <v>37939.0</v>
      </c>
      <c r="G367" s="3">
        <v>1.687338</v>
      </c>
      <c r="H367" s="3">
        <v>0.5886</v>
      </c>
      <c r="I367" s="3">
        <v>3578.82</v>
      </c>
      <c r="J367" s="3">
        <v>0.586</v>
      </c>
      <c r="K367" s="3">
        <v>5750.0</v>
      </c>
    </row>
    <row r="368" ht="15.75" customHeight="1">
      <c r="A368" s="3" t="s">
        <v>863</v>
      </c>
      <c r="B368" s="3" t="s">
        <v>864</v>
      </c>
      <c r="C368" s="3" t="s">
        <v>467</v>
      </c>
      <c r="D368" s="18">
        <v>37197.0</v>
      </c>
      <c r="E368" s="3">
        <v>0.3335573</v>
      </c>
      <c r="F368" s="18">
        <v>37932.0</v>
      </c>
      <c r="G368" s="3">
        <v>0.4419941</v>
      </c>
      <c r="H368" s="3">
        <v>0.3251</v>
      </c>
      <c r="I368" s="3">
        <v>2743.32</v>
      </c>
      <c r="J368" s="3">
        <v>0.3228</v>
      </c>
      <c r="K368" s="3">
        <v>25481.0</v>
      </c>
    </row>
    <row r="369" ht="15.75" customHeight="1">
      <c r="A369" s="3" t="s">
        <v>865</v>
      </c>
      <c r="B369" s="3" t="s">
        <v>866</v>
      </c>
      <c r="C369" s="3" t="s">
        <v>467</v>
      </c>
      <c r="D369" s="18">
        <v>36588.0</v>
      </c>
      <c r="E369" s="3">
        <v>1.819369</v>
      </c>
      <c r="F369" s="18">
        <v>37825.0</v>
      </c>
      <c r="G369" s="3">
        <v>3.05</v>
      </c>
      <c r="H369" s="3">
        <v>0.6764</v>
      </c>
      <c r="I369" s="3">
        <v>4114.88</v>
      </c>
      <c r="J369" s="3">
        <v>0.6737</v>
      </c>
      <c r="K369" s="3">
        <v>3357.0</v>
      </c>
    </row>
    <row r="370" ht="15.75" customHeight="1">
      <c r="A370" s="3" t="s">
        <v>867</v>
      </c>
      <c r="B370" s="3" t="s">
        <v>692</v>
      </c>
      <c r="C370" s="3" t="s">
        <v>467</v>
      </c>
      <c r="D370" s="18">
        <v>37197.0</v>
      </c>
      <c r="E370" s="3">
        <v>1.186496</v>
      </c>
      <c r="F370" s="18">
        <v>37722.0</v>
      </c>
      <c r="G370" s="3">
        <v>1.63</v>
      </c>
      <c r="H370" s="3">
        <v>0.3738</v>
      </c>
      <c r="I370" s="3">
        <v>3154.88</v>
      </c>
      <c r="J370" s="3">
        <v>0.3714</v>
      </c>
      <c r="K370" s="3">
        <v>7159.0</v>
      </c>
    </row>
    <row r="371" ht="15.75" customHeight="1">
      <c r="A371" s="3" t="s">
        <v>687</v>
      </c>
      <c r="B371" s="3" t="s">
        <v>688</v>
      </c>
      <c r="C371" s="3" t="s">
        <v>467</v>
      </c>
      <c r="D371" s="18">
        <v>37596.0</v>
      </c>
      <c r="E371" s="3">
        <v>21.86067</v>
      </c>
      <c r="F371" s="18">
        <v>37694.0</v>
      </c>
      <c r="G371" s="3">
        <v>16.79729</v>
      </c>
      <c r="H371" s="3">
        <v>-0.2316</v>
      </c>
      <c r="I371" s="3">
        <v>-2153.06</v>
      </c>
      <c r="J371" s="3">
        <v>-0.2334</v>
      </c>
      <c r="K371" s="3">
        <v>422.0</v>
      </c>
    </row>
    <row r="372" ht="15.75" customHeight="1">
      <c r="A372" s="3" t="s">
        <v>554</v>
      </c>
      <c r="B372" s="3" t="s">
        <v>555</v>
      </c>
      <c r="C372" s="3" t="s">
        <v>467</v>
      </c>
      <c r="D372" s="18">
        <v>37624.0</v>
      </c>
      <c r="E372" s="3">
        <v>2.49726</v>
      </c>
      <c r="F372" s="18">
        <v>37666.0</v>
      </c>
      <c r="G372" s="3">
        <v>3.069549</v>
      </c>
      <c r="H372" s="3">
        <v>0.2292</v>
      </c>
      <c r="I372" s="3">
        <v>2129.74</v>
      </c>
      <c r="J372" s="3">
        <v>0.2269</v>
      </c>
      <c r="K372" s="3">
        <v>3758.0</v>
      </c>
    </row>
    <row r="373" ht="15.75" customHeight="1">
      <c r="A373" s="3" t="s">
        <v>542</v>
      </c>
      <c r="B373" s="3" t="s">
        <v>543</v>
      </c>
      <c r="C373" s="3" t="s">
        <v>467</v>
      </c>
      <c r="D373" s="18">
        <v>37596.0</v>
      </c>
      <c r="E373" s="3">
        <v>1.013507</v>
      </c>
      <c r="F373" s="18">
        <v>37617.0</v>
      </c>
      <c r="G373" s="3">
        <v>0.9579723</v>
      </c>
      <c r="H373" s="3">
        <v>-0.0548</v>
      </c>
      <c r="I373" s="3">
        <v>-523.71</v>
      </c>
      <c r="J373" s="3">
        <v>-0.0567</v>
      </c>
      <c r="K373" s="3">
        <v>9107.0</v>
      </c>
    </row>
    <row r="374" ht="15.75" customHeight="1">
      <c r="A374" s="3" t="s">
        <v>868</v>
      </c>
      <c r="B374" s="3" t="s">
        <v>869</v>
      </c>
      <c r="C374" s="3" t="s">
        <v>467</v>
      </c>
      <c r="D374" s="18">
        <v>37596.0</v>
      </c>
      <c r="E374" s="3">
        <v>18.01558</v>
      </c>
      <c r="F374" s="18">
        <v>37610.0</v>
      </c>
      <c r="G374" s="3">
        <v>16.35312</v>
      </c>
      <c r="H374" s="3">
        <v>-0.0923</v>
      </c>
      <c r="I374" s="3">
        <v>-868.78</v>
      </c>
      <c r="J374" s="3">
        <v>-0.0942</v>
      </c>
      <c r="K374" s="3">
        <v>512.0</v>
      </c>
    </row>
    <row r="375" ht="15.75" customHeight="1">
      <c r="A375" s="3" t="s">
        <v>502</v>
      </c>
      <c r="B375" s="3" t="s">
        <v>503</v>
      </c>
      <c r="C375" s="3" t="s">
        <v>467</v>
      </c>
      <c r="D375" s="18">
        <v>36553.0</v>
      </c>
      <c r="E375" s="3">
        <v>3.468835</v>
      </c>
      <c r="F375" s="18">
        <v>37533.0</v>
      </c>
      <c r="G375" s="3">
        <v>3.966168</v>
      </c>
      <c r="H375" s="3">
        <v>0.1434</v>
      </c>
      <c r="I375" s="3">
        <v>873.49</v>
      </c>
      <c r="J375" s="3">
        <v>0.1412</v>
      </c>
      <c r="K375" s="3">
        <v>1783.0</v>
      </c>
    </row>
    <row r="376" ht="15.75" customHeight="1">
      <c r="A376" s="3" t="s">
        <v>870</v>
      </c>
      <c r="B376" s="3" t="s">
        <v>871</v>
      </c>
      <c r="C376" s="3" t="s">
        <v>467</v>
      </c>
      <c r="D376" s="18">
        <v>36686.0</v>
      </c>
      <c r="E376" s="3">
        <v>1.764858</v>
      </c>
      <c r="F376" s="18">
        <v>37531.0</v>
      </c>
      <c r="G376" s="3">
        <v>2.42</v>
      </c>
      <c r="H376" s="3">
        <v>0.3712</v>
      </c>
      <c r="I376" s="3">
        <v>2416.35</v>
      </c>
      <c r="J376" s="3">
        <v>0.3688</v>
      </c>
      <c r="K376" s="3">
        <v>3712.0</v>
      </c>
    </row>
    <row r="377" ht="15.75" customHeight="1">
      <c r="A377" s="3" t="s">
        <v>872</v>
      </c>
      <c r="B377" s="3" t="s">
        <v>873</v>
      </c>
      <c r="C377" s="3" t="s">
        <v>467</v>
      </c>
      <c r="D377" s="18">
        <v>37197.0</v>
      </c>
      <c r="E377" s="3">
        <v>2.345602</v>
      </c>
      <c r="F377" s="18">
        <v>37512.0</v>
      </c>
      <c r="G377" s="3">
        <v>2.552025</v>
      </c>
      <c r="H377" s="3">
        <v>0.088</v>
      </c>
      <c r="I377" s="3">
        <v>729.92</v>
      </c>
      <c r="J377" s="3">
        <v>0.0859</v>
      </c>
      <c r="K377" s="3">
        <v>3622.0</v>
      </c>
    </row>
    <row r="378" ht="15.75" customHeight="1">
      <c r="A378" s="3" t="s">
        <v>874</v>
      </c>
      <c r="B378" s="3" t="s">
        <v>875</v>
      </c>
      <c r="C378" s="3" t="s">
        <v>467</v>
      </c>
      <c r="D378" s="18">
        <v>36574.0</v>
      </c>
      <c r="E378" s="3">
        <v>2.828656</v>
      </c>
      <c r="F378" s="18">
        <v>37449.0</v>
      </c>
      <c r="G378" s="3">
        <v>4.047059</v>
      </c>
      <c r="H378" s="3">
        <v>0.4307</v>
      </c>
      <c r="I378" s="3">
        <v>2631.44</v>
      </c>
      <c r="J378" s="3">
        <v>0.4283</v>
      </c>
      <c r="K378" s="3">
        <v>2172.0</v>
      </c>
    </row>
    <row r="379" ht="15.75" customHeight="1">
      <c r="A379" s="3" t="s">
        <v>793</v>
      </c>
      <c r="B379" s="3" t="s">
        <v>794</v>
      </c>
      <c r="C379" s="3" t="s">
        <v>467</v>
      </c>
      <c r="D379" s="18">
        <v>37197.0</v>
      </c>
      <c r="E379" s="3">
        <v>29.22131</v>
      </c>
      <c r="F379" s="18">
        <v>37386.0</v>
      </c>
      <c r="G379" s="3">
        <v>21.73759</v>
      </c>
      <c r="H379" s="3">
        <v>-0.2561</v>
      </c>
      <c r="I379" s="3">
        <v>-2185.06</v>
      </c>
      <c r="J379" s="3">
        <v>-0.2578</v>
      </c>
      <c r="K379" s="3">
        <v>290.0</v>
      </c>
    </row>
    <row r="380" ht="15.75" customHeight="1">
      <c r="A380" s="3" t="s">
        <v>168</v>
      </c>
      <c r="B380" s="3" t="s">
        <v>169</v>
      </c>
      <c r="C380" s="3" t="s">
        <v>467</v>
      </c>
      <c r="D380" s="18">
        <v>37197.0</v>
      </c>
      <c r="E380" s="3">
        <v>1.20694</v>
      </c>
      <c r="F380" s="18">
        <v>37379.0</v>
      </c>
      <c r="G380" s="3">
        <v>1.184451</v>
      </c>
      <c r="H380" s="3">
        <v>-0.0186</v>
      </c>
      <c r="I380" s="3">
        <v>-175.08</v>
      </c>
      <c r="J380" s="3">
        <v>-0.0206</v>
      </c>
      <c r="K380" s="3">
        <v>7037.0</v>
      </c>
    </row>
    <row r="381" ht="15.75" customHeight="1">
      <c r="A381" s="3" t="s">
        <v>876</v>
      </c>
      <c r="B381" s="3" t="s">
        <v>877</v>
      </c>
      <c r="C381" s="3" t="s">
        <v>467</v>
      </c>
      <c r="D381" s="18">
        <v>37197.0</v>
      </c>
      <c r="E381" s="3">
        <v>2.286967</v>
      </c>
      <c r="F381" s="18">
        <v>37365.0</v>
      </c>
      <c r="G381" s="3">
        <v>2.551575</v>
      </c>
      <c r="H381" s="3">
        <v>0.1157</v>
      </c>
      <c r="I381" s="3">
        <v>965.04</v>
      </c>
      <c r="J381" s="3">
        <v>0.1136</v>
      </c>
      <c r="K381" s="3">
        <v>3715.0</v>
      </c>
    </row>
    <row r="382" ht="15.75" customHeight="1">
      <c r="A382" s="3" t="s">
        <v>323</v>
      </c>
      <c r="B382" s="3" t="s">
        <v>324</v>
      </c>
      <c r="C382" s="3" t="s">
        <v>467</v>
      </c>
      <c r="D382" s="18">
        <v>36686.0</v>
      </c>
      <c r="E382" s="3">
        <v>2.100832</v>
      </c>
      <c r="F382" s="18">
        <v>37190.0</v>
      </c>
      <c r="G382" s="3">
        <v>4.219617</v>
      </c>
      <c r="H382" s="3">
        <v>1.0085</v>
      </c>
      <c r="I382" s="3">
        <v>6590.89</v>
      </c>
      <c r="J382" s="3">
        <v>1.0055</v>
      </c>
      <c r="K382" s="3">
        <v>3120.0</v>
      </c>
    </row>
    <row r="383" ht="15.75" customHeight="1">
      <c r="A383" s="3" t="s">
        <v>878</v>
      </c>
      <c r="B383" s="3" t="s">
        <v>879</v>
      </c>
      <c r="C383" s="3" t="s">
        <v>467</v>
      </c>
      <c r="D383" s="18">
        <v>36553.0</v>
      </c>
      <c r="E383" s="3">
        <v>0.8191565</v>
      </c>
      <c r="F383" s="18">
        <v>37162.0</v>
      </c>
      <c r="G383" s="3">
        <v>0.5405362</v>
      </c>
      <c r="H383" s="3">
        <v>-0.3401</v>
      </c>
      <c r="I383" s="3">
        <v>-2114.13</v>
      </c>
      <c r="J383" s="3">
        <v>-0.3418</v>
      </c>
      <c r="K383" s="3">
        <v>7551.0</v>
      </c>
    </row>
    <row r="384" ht="15.75" customHeight="1">
      <c r="A384" s="3" t="s">
        <v>880</v>
      </c>
      <c r="B384" s="3" t="s">
        <v>881</v>
      </c>
      <c r="C384" s="3" t="s">
        <v>467</v>
      </c>
      <c r="D384" s="18">
        <v>36686.0</v>
      </c>
      <c r="E384" s="3">
        <v>10.71123</v>
      </c>
      <c r="F384" s="18">
        <v>37155.0</v>
      </c>
      <c r="G384" s="3">
        <v>14.96218</v>
      </c>
      <c r="H384" s="3">
        <v>0.3969</v>
      </c>
      <c r="I384" s="3">
        <v>2581.64</v>
      </c>
      <c r="J384" s="3">
        <v>0.3945</v>
      </c>
      <c r="K384" s="3">
        <v>611.0</v>
      </c>
    </row>
    <row r="385" ht="15.75" customHeight="1">
      <c r="A385" s="3" t="s">
        <v>882</v>
      </c>
      <c r="B385" s="3" t="s">
        <v>883</v>
      </c>
      <c r="C385" s="3" t="s">
        <v>467</v>
      </c>
      <c r="D385" s="18">
        <v>36581.0</v>
      </c>
      <c r="E385" s="3">
        <v>6.279913</v>
      </c>
      <c r="F385" s="18">
        <v>37155.0</v>
      </c>
      <c r="G385" s="3">
        <v>10.52134</v>
      </c>
      <c r="H385" s="3">
        <v>0.6754</v>
      </c>
      <c r="I385" s="3">
        <v>4135.91</v>
      </c>
      <c r="J385" s="3">
        <v>0.6727</v>
      </c>
      <c r="K385" s="3">
        <v>979.0</v>
      </c>
    </row>
    <row r="386" ht="15.75" customHeight="1">
      <c r="A386" s="3" t="s">
        <v>190</v>
      </c>
      <c r="B386" s="3" t="s">
        <v>86</v>
      </c>
      <c r="C386" s="3" t="s">
        <v>467</v>
      </c>
      <c r="D386" s="18">
        <v>36686.0</v>
      </c>
      <c r="E386" s="3">
        <v>6.129744</v>
      </c>
      <c r="F386" s="18">
        <v>37148.0</v>
      </c>
      <c r="G386" s="3">
        <v>7.154909</v>
      </c>
      <c r="H386" s="3">
        <v>0.1672</v>
      </c>
      <c r="I386" s="3">
        <v>1081.7</v>
      </c>
      <c r="J386" s="3">
        <v>0.1651</v>
      </c>
      <c r="K386" s="3">
        <v>1069.0</v>
      </c>
    </row>
    <row r="387" ht="15.75" customHeight="1">
      <c r="A387" s="3" t="s">
        <v>819</v>
      </c>
      <c r="B387" s="3" t="s">
        <v>820</v>
      </c>
      <c r="C387" s="3" t="s">
        <v>467</v>
      </c>
      <c r="D387" s="18">
        <v>36952.0</v>
      </c>
      <c r="E387" s="3">
        <v>2.006543</v>
      </c>
      <c r="F387" s="18">
        <v>37099.0</v>
      </c>
      <c r="G387" s="3">
        <v>2.069718</v>
      </c>
      <c r="H387" s="3">
        <v>0.0315</v>
      </c>
      <c r="I387" s="3">
        <v>221.38</v>
      </c>
      <c r="J387" s="3">
        <v>0.0295</v>
      </c>
      <c r="K387" s="3">
        <v>3746.0</v>
      </c>
    </row>
    <row r="388" ht="15.75" customHeight="1">
      <c r="A388" s="3" t="s">
        <v>884</v>
      </c>
      <c r="B388" s="3" t="s">
        <v>885</v>
      </c>
      <c r="C388" s="3" t="s">
        <v>467</v>
      </c>
      <c r="D388" s="18">
        <v>36693.0</v>
      </c>
      <c r="E388" s="3">
        <v>2.924911</v>
      </c>
      <c r="F388" s="18">
        <v>36952.0</v>
      </c>
      <c r="G388" s="3">
        <v>2.91</v>
      </c>
      <c r="H388" s="3">
        <v>-0.0051</v>
      </c>
      <c r="I388" s="3">
        <v>-46.16</v>
      </c>
      <c r="J388" s="3">
        <v>-0.0071</v>
      </c>
      <c r="K388" s="3">
        <v>2225.0</v>
      </c>
    </row>
    <row r="389" ht="15.75" customHeight="1">
      <c r="A389" s="3" t="s">
        <v>886</v>
      </c>
      <c r="B389" s="3" t="s">
        <v>887</v>
      </c>
      <c r="C389" s="3" t="s">
        <v>467</v>
      </c>
      <c r="D389" s="18">
        <v>36630.0</v>
      </c>
      <c r="E389" s="3">
        <v>0.84</v>
      </c>
      <c r="F389" s="18">
        <v>36752.0</v>
      </c>
      <c r="G389" s="3">
        <v>0.92</v>
      </c>
      <c r="H389" s="3">
        <v>0.0952</v>
      </c>
      <c r="I389" s="3">
        <v>625.37</v>
      </c>
      <c r="J389" s="3">
        <v>0.0931</v>
      </c>
      <c r="K389" s="3">
        <v>7993.0</v>
      </c>
    </row>
    <row r="390" ht="15.75" customHeight="1">
      <c r="A390" s="3" t="s">
        <v>888</v>
      </c>
      <c r="B390" s="3" t="s">
        <v>889</v>
      </c>
      <c r="C390" s="3" t="s">
        <v>467</v>
      </c>
      <c r="D390" s="18">
        <v>36588.0</v>
      </c>
      <c r="E390" s="3">
        <v>9.434216</v>
      </c>
      <c r="F390" s="18">
        <v>36690.0</v>
      </c>
      <c r="G390" s="3">
        <v>9.47</v>
      </c>
      <c r="H390" s="3">
        <v>0.0038</v>
      </c>
      <c r="I390" s="3">
        <v>10.92</v>
      </c>
      <c r="J390" s="3">
        <v>0.0018</v>
      </c>
      <c r="K390" s="3">
        <v>647.0</v>
      </c>
    </row>
    <row r="391" ht="15.75" customHeight="1">
      <c r="A391" s="3" t="s">
        <v>890</v>
      </c>
      <c r="B391" s="3" t="s">
        <v>891</v>
      </c>
      <c r="C391" s="3" t="s">
        <v>467</v>
      </c>
      <c r="D391" s="18">
        <v>36630.0</v>
      </c>
      <c r="E391" s="3">
        <v>2.444858</v>
      </c>
      <c r="F391" s="18">
        <v>36679.0</v>
      </c>
      <c r="G391" s="3">
        <v>2.45</v>
      </c>
      <c r="H391" s="3">
        <v>0.0021</v>
      </c>
      <c r="I391" s="3">
        <v>0.68</v>
      </c>
      <c r="J391" s="3">
        <v>1.0E-4</v>
      </c>
      <c r="K391" s="3">
        <v>2746.0</v>
      </c>
    </row>
    <row r="392" ht="15.75" customHeight="1">
      <c r="A392" s="3" t="s">
        <v>892</v>
      </c>
      <c r="B392" s="3" t="s">
        <v>893</v>
      </c>
      <c r="C392" s="3" t="s">
        <v>467</v>
      </c>
      <c r="D392" s="18">
        <v>36581.0</v>
      </c>
      <c r="E392" s="3">
        <v>1.850623</v>
      </c>
      <c r="F392" s="18">
        <v>36679.0</v>
      </c>
      <c r="G392" s="3">
        <v>2.257753</v>
      </c>
      <c r="H392" s="3">
        <v>0.22</v>
      </c>
      <c r="I392" s="3">
        <v>1339.24</v>
      </c>
      <c r="J392" s="3">
        <v>0.2178</v>
      </c>
      <c r="K392" s="3">
        <v>3323.0</v>
      </c>
    </row>
    <row r="393" ht="15.75" customHeight="1">
      <c r="A393" s="3" t="s">
        <v>872</v>
      </c>
      <c r="B393" s="3" t="s">
        <v>873</v>
      </c>
      <c r="C393" s="3" t="s">
        <v>467</v>
      </c>
      <c r="D393" s="18">
        <v>36553.0</v>
      </c>
      <c r="E393" s="3">
        <v>0.4638164</v>
      </c>
      <c r="F393" s="18">
        <v>36644.0</v>
      </c>
      <c r="G393" s="3">
        <v>0.6311362</v>
      </c>
      <c r="H393" s="3">
        <v>0.3607</v>
      </c>
      <c r="I393" s="3">
        <v>2217.44</v>
      </c>
      <c r="J393" s="3">
        <v>0.3584</v>
      </c>
      <c r="K393" s="3">
        <v>13340.0</v>
      </c>
    </row>
    <row r="394" ht="15.75" customHeight="1">
      <c r="A394" s="3" t="s">
        <v>894</v>
      </c>
      <c r="B394" s="3" t="s">
        <v>895</v>
      </c>
      <c r="C394" s="3" t="s">
        <v>467</v>
      </c>
      <c r="D394" s="18">
        <v>36567.0</v>
      </c>
      <c r="E394" s="3">
        <v>1.533702</v>
      </c>
      <c r="F394" s="18">
        <v>36636.0</v>
      </c>
      <c r="G394" s="3">
        <v>1.412867</v>
      </c>
      <c r="H394" s="3">
        <v>-0.0788</v>
      </c>
      <c r="I394" s="3">
        <v>-498.96</v>
      </c>
      <c r="J394" s="3">
        <v>-0.0807</v>
      </c>
      <c r="K394" s="3">
        <v>4031.0</v>
      </c>
    </row>
    <row r="395" ht="15.75" customHeight="1">
      <c r="A395" s="3" t="s">
        <v>896</v>
      </c>
      <c r="B395" s="3" t="s">
        <v>897</v>
      </c>
      <c r="C395" s="3" t="s">
        <v>467</v>
      </c>
      <c r="D395" s="18">
        <v>36567.0</v>
      </c>
      <c r="E395" s="3">
        <v>2.293399</v>
      </c>
      <c r="F395" s="18">
        <v>36636.0</v>
      </c>
      <c r="G395" s="3">
        <v>1.793501</v>
      </c>
      <c r="H395" s="3">
        <v>-0.218</v>
      </c>
      <c r="I395" s="3">
        <v>-1358.74</v>
      </c>
      <c r="J395" s="3">
        <v>-0.2198</v>
      </c>
      <c r="K395" s="3">
        <v>2696.0</v>
      </c>
    </row>
    <row r="396" ht="15.75" customHeight="1">
      <c r="A396" s="3" t="s">
        <v>855</v>
      </c>
      <c r="B396" s="3" t="s">
        <v>856</v>
      </c>
      <c r="C396" s="3" t="s">
        <v>467</v>
      </c>
      <c r="D396" s="18">
        <v>36532.0</v>
      </c>
      <c r="E396" s="3">
        <v>4.580076</v>
      </c>
      <c r="F396" s="18">
        <v>36636.0</v>
      </c>
      <c r="G396" s="3">
        <v>3.850084</v>
      </c>
      <c r="H396" s="3">
        <v>-0.1594</v>
      </c>
      <c r="I396" s="3">
        <v>-1007.21</v>
      </c>
      <c r="J396" s="3">
        <v>-0.1612</v>
      </c>
      <c r="K396" s="3">
        <v>1364.0</v>
      </c>
    </row>
    <row r="397" ht="15.75" customHeight="1">
      <c r="A397" s="3" t="s">
        <v>898</v>
      </c>
      <c r="B397" s="3" t="s">
        <v>899</v>
      </c>
      <c r="C397" s="3" t="s">
        <v>467</v>
      </c>
      <c r="D397" s="18">
        <v>36581.0</v>
      </c>
      <c r="E397" s="3">
        <v>28.71963</v>
      </c>
      <c r="F397" s="18">
        <v>36623.0</v>
      </c>
      <c r="G397" s="3">
        <v>41.25041</v>
      </c>
      <c r="H397" s="3">
        <v>0.4363</v>
      </c>
      <c r="I397" s="3">
        <v>2666.61</v>
      </c>
      <c r="J397" s="3">
        <v>0.4339</v>
      </c>
      <c r="K397" s="3">
        <v>214.0</v>
      </c>
    </row>
    <row r="398" ht="15.75" customHeight="1">
      <c r="A398" s="3" t="s">
        <v>900</v>
      </c>
      <c r="B398" s="3" t="s">
        <v>901</v>
      </c>
      <c r="C398" s="3" t="s">
        <v>467</v>
      </c>
      <c r="D398" s="18">
        <v>36567.0</v>
      </c>
      <c r="E398" s="3">
        <v>1.359441</v>
      </c>
      <c r="F398" s="18">
        <v>36623.0</v>
      </c>
      <c r="G398" s="3">
        <v>1.815978</v>
      </c>
      <c r="H398" s="3">
        <v>0.3358</v>
      </c>
      <c r="I398" s="3">
        <v>2061.44</v>
      </c>
      <c r="J398" s="3">
        <v>0.3335</v>
      </c>
      <c r="K398" s="3">
        <v>4547.0</v>
      </c>
    </row>
    <row r="399" ht="15.75" customHeight="1">
      <c r="A399" s="3" t="s">
        <v>902</v>
      </c>
      <c r="B399" s="3" t="s">
        <v>903</v>
      </c>
      <c r="C399" s="3" t="s">
        <v>467</v>
      </c>
      <c r="D399" s="18">
        <v>36546.0</v>
      </c>
      <c r="E399" s="3">
        <v>6.498488</v>
      </c>
      <c r="F399" s="18">
        <v>36581.0</v>
      </c>
      <c r="G399" s="3">
        <v>4.422048</v>
      </c>
      <c r="H399" s="3">
        <v>-0.3195</v>
      </c>
      <c r="I399" s="3">
        <v>-1999.69</v>
      </c>
      <c r="J399" s="3">
        <v>-0.3212</v>
      </c>
      <c r="K399" s="3">
        <v>958.0</v>
      </c>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9.57"/>
    <col customWidth="1" min="10" max="13" width="8.71"/>
    <col customWidth="1" min="14" max="14" width="22.0"/>
    <col customWidth="1" min="15" max="15" width="8.71"/>
    <col customWidth="1" min="16" max="17" width="21.14"/>
    <col customWidth="1" min="18" max="29" width="8.71"/>
  </cols>
  <sheetData>
    <row r="1">
      <c r="A1" s="3" t="s">
        <v>904</v>
      </c>
      <c r="B1" s="3" t="s">
        <v>905</v>
      </c>
      <c r="C1" s="3" t="s">
        <v>906</v>
      </c>
      <c r="D1" s="3" t="s">
        <v>907</v>
      </c>
      <c r="E1" s="3" t="s">
        <v>908</v>
      </c>
      <c r="F1" s="3" t="s">
        <v>909</v>
      </c>
      <c r="G1" s="3" t="s">
        <v>910</v>
      </c>
      <c r="H1" s="3" t="s">
        <v>911</v>
      </c>
      <c r="I1" s="3" t="s">
        <v>912</v>
      </c>
      <c r="J1" s="3" t="s">
        <v>913</v>
      </c>
      <c r="K1" s="3" t="s">
        <v>914</v>
      </c>
      <c r="L1" s="3" t="s">
        <v>915</v>
      </c>
      <c r="M1" s="3" t="s">
        <v>916</v>
      </c>
      <c r="N1" s="3" t="s">
        <v>917</v>
      </c>
      <c r="P1" s="1"/>
      <c r="Q1" s="1"/>
    </row>
    <row r="2">
      <c r="A2" s="3">
        <v>2000.0</v>
      </c>
      <c r="B2" s="6">
        <v>-0.017</v>
      </c>
      <c r="C2" s="6">
        <v>-0.001</v>
      </c>
      <c r="D2" s="6">
        <v>0.097</v>
      </c>
      <c r="E2" s="6">
        <v>-0.033</v>
      </c>
      <c r="F2" s="6">
        <v>0.004</v>
      </c>
      <c r="G2" s="6">
        <v>0.026</v>
      </c>
      <c r="H2" s="6">
        <v>0.012</v>
      </c>
      <c r="I2" s="6">
        <v>0.039</v>
      </c>
      <c r="J2" s="6">
        <v>-0.011</v>
      </c>
      <c r="K2" s="6">
        <v>0.033</v>
      </c>
      <c r="L2" s="6">
        <v>0.017</v>
      </c>
      <c r="M2" s="6">
        <v>0.032</v>
      </c>
      <c r="N2" s="6">
        <v>0.2098360039531075</v>
      </c>
      <c r="P2" s="1"/>
      <c r="Q2" s="6"/>
      <c r="R2" s="6"/>
      <c r="S2" s="6"/>
      <c r="T2" s="6"/>
      <c r="U2" s="6"/>
      <c r="V2" s="6"/>
      <c r="W2" s="6"/>
      <c r="X2" s="6"/>
      <c r="Y2" s="6"/>
      <c r="Z2" s="6"/>
      <c r="AA2" s="6"/>
      <c r="AB2" s="6"/>
      <c r="AC2" s="6"/>
    </row>
    <row r="3">
      <c r="A3" s="3">
        <v>2001.0</v>
      </c>
      <c r="B3" s="6">
        <v>0.002</v>
      </c>
      <c r="C3" s="6">
        <v>-0.01</v>
      </c>
      <c r="D3" s="6">
        <v>0.001</v>
      </c>
      <c r="E3" s="6">
        <v>0.017</v>
      </c>
      <c r="F3" s="6">
        <v>0.032</v>
      </c>
      <c r="G3" s="6">
        <v>0.074</v>
      </c>
      <c r="H3" s="6">
        <v>-0.015</v>
      </c>
      <c r="I3" s="6">
        <v>0.038</v>
      </c>
      <c r="J3" s="6">
        <v>-0.027</v>
      </c>
      <c r="K3" s="6">
        <v>0.011</v>
      </c>
      <c r="L3" s="6">
        <v>0.002</v>
      </c>
      <c r="M3" s="6">
        <v>0.002</v>
      </c>
      <c r="N3" s="6">
        <v>0.1302511253490519</v>
      </c>
      <c r="P3" s="1"/>
      <c r="Q3" s="6"/>
      <c r="R3" s="6"/>
      <c r="S3" s="6"/>
      <c r="T3" s="6"/>
      <c r="U3" s="6"/>
      <c r="V3" s="6"/>
      <c r="W3" s="6"/>
      <c r="X3" s="6"/>
      <c r="Y3" s="6"/>
      <c r="Z3" s="6"/>
      <c r="AA3" s="6"/>
      <c r="AB3" s="6"/>
      <c r="AC3" s="6"/>
    </row>
    <row r="4">
      <c r="A4" s="3">
        <v>2002.0</v>
      </c>
      <c r="B4" s="6">
        <v>0.006</v>
      </c>
      <c r="C4" s="6">
        <v>0.038</v>
      </c>
      <c r="D4" s="6">
        <v>0.038</v>
      </c>
      <c r="E4" s="6">
        <v>-0.012</v>
      </c>
      <c r="F4" s="6">
        <v>0.014</v>
      </c>
      <c r="G4" s="6">
        <v>-0.009</v>
      </c>
      <c r="H4" s="6">
        <v>-0.022</v>
      </c>
      <c r="I4" s="6">
        <v>0.031</v>
      </c>
      <c r="J4" s="6">
        <v>-0.006</v>
      </c>
      <c r="K4" s="6">
        <v>0.0</v>
      </c>
      <c r="L4" s="6">
        <v>0.006</v>
      </c>
      <c r="M4" s="6">
        <v>0.015</v>
      </c>
      <c r="N4" s="6">
        <v>0.1013089516142196</v>
      </c>
      <c r="P4" s="1"/>
      <c r="Q4" s="6"/>
      <c r="R4" s="6"/>
      <c r="S4" s="6"/>
      <c r="T4" s="6"/>
      <c r="U4" s="6"/>
      <c r="V4" s="6"/>
      <c r="W4" s="6"/>
      <c r="X4" s="6"/>
      <c r="Y4" s="6"/>
      <c r="Z4" s="6"/>
      <c r="AA4" s="6"/>
      <c r="AB4" s="6"/>
      <c r="AC4" s="6"/>
    </row>
    <row r="5">
      <c r="A5" s="3">
        <v>2003.0</v>
      </c>
      <c r="B5" s="6">
        <v>0.019</v>
      </c>
      <c r="C5" s="6">
        <v>-0.008</v>
      </c>
      <c r="D5" s="6">
        <v>0.031</v>
      </c>
      <c r="E5" s="6">
        <v>0.02</v>
      </c>
      <c r="F5" s="6">
        <v>0.051</v>
      </c>
      <c r="G5" s="6">
        <v>0.028</v>
      </c>
      <c r="H5" s="6">
        <v>-0.006</v>
      </c>
      <c r="I5" s="6">
        <v>0.026</v>
      </c>
      <c r="J5" s="6">
        <v>0.019</v>
      </c>
      <c r="K5" s="6">
        <v>0.018</v>
      </c>
      <c r="L5" s="6">
        <v>-0.014</v>
      </c>
      <c r="M5" s="6">
        <v>0.041</v>
      </c>
      <c r="N5" s="6">
        <v>0.2471648881798456</v>
      </c>
      <c r="P5" s="1"/>
      <c r="Q5" s="6"/>
      <c r="R5" s="6"/>
      <c r="S5" s="6"/>
      <c r="T5" s="6"/>
      <c r="U5" s="6"/>
      <c r="V5" s="6"/>
      <c r="W5" s="6"/>
      <c r="X5" s="6"/>
      <c r="Y5" s="6"/>
      <c r="Z5" s="6"/>
      <c r="AA5" s="6"/>
      <c r="AB5" s="6"/>
      <c r="AC5" s="6"/>
    </row>
    <row r="6">
      <c r="A6" s="3">
        <v>2004.0</v>
      </c>
      <c r="B6" s="6">
        <v>0.02</v>
      </c>
      <c r="C6" s="6">
        <v>0.033</v>
      </c>
      <c r="D6" s="6">
        <v>0.022</v>
      </c>
      <c r="E6" s="6">
        <v>0.018</v>
      </c>
      <c r="F6" s="6">
        <v>0.03</v>
      </c>
      <c r="G6" s="6">
        <v>0.03</v>
      </c>
      <c r="H6" s="6">
        <v>0.049</v>
      </c>
      <c r="I6" s="6">
        <v>0.014</v>
      </c>
      <c r="J6" s="6">
        <v>0.048</v>
      </c>
      <c r="K6" s="6">
        <v>0.093</v>
      </c>
      <c r="L6" s="6">
        <v>0.022</v>
      </c>
      <c r="M6" s="6">
        <v>0.051</v>
      </c>
      <c r="N6" s="6">
        <v>0.5220261569208138</v>
      </c>
      <c r="P6" s="1"/>
      <c r="Q6" s="6"/>
      <c r="R6" s="6"/>
      <c r="S6" s="6"/>
      <c r="T6" s="6"/>
      <c r="U6" s="6"/>
      <c r="V6" s="6"/>
      <c r="W6" s="6"/>
      <c r="X6" s="6"/>
      <c r="Y6" s="6"/>
      <c r="Z6" s="6"/>
      <c r="AA6" s="6"/>
      <c r="AB6" s="6"/>
      <c r="AC6" s="6"/>
    </row>
    <row r="7">
      <c r="A7" s="3">
        <v>2005.0</v>
      </c>
      <c r="B7" s="6">
        <v>0.048</v>
      </c>
      <c r="C7" s="6">
        <v>0.001</v>
      </c>
      <c r="D7" s="6">
        <v>0.018</v>
      </c>
      <c r="E7" s="6">
        <v>-0.042</v>
      </c>
      <c r="F7" s="6">
        <v>0.027</v>
      </c>
      <c r="G7" s="6">
        <v>0.052</v>
      </c>
      <c r="H7" s="6">
        <v>0.053</v>
      </c>
      <c r="I7" s="6">
        <v>0.036</v>
      </c>
      <c r="J7" s="6">
        <v>0.035</v>
      </c>
      <c r="K7" s="6">
        <v>-0.063</v>
      </c>
      <c r="L7" s="6">
        <v>0.058</v>
      </c>
      <c r="M7" s="6">
        <v>0.045</v>
      </c>
      <c r="N7" s="6">
        <v>0.2928997635909119</v>
      </c>
      <c r="P7" s="1"/>
      <c r="Q7" s="6"/>
      <c r="R7" s="6"/>
      <c r="S7" s="6"/>
      <c r="T7" s="6"/>
      <c r="U7" s="6"/>
      <c r="V7" s="6"/>
      <c r="W7" s="6"/>
      <c r="X7" s="6"/>
      <c r="Y7" s="6"/>
      <c r="Z7" s="6"/>
      <c r="AA7" s="6"/>
      <c r="AB7" s="6"/>
      <c r="AC7" s="6"/>
    </row>
    <row r="8">
      <c r="A8" s="3">
        <v>2006.0</v>
      </c>
      <c r="B8" s="6">
        <v>0.036</v>
      </c>
      <c r="C8" s="6">
        <v>-0.026</v>
      </c>
      <c r="D8" s="6">
        <v>0.127</v>
      </c>
      <c r="E8" s="6">
        <v>0.049</v>
      </c>
      <c r="F8" s="6">
        <v>-0.069</v>
      </c>
      <c r="G8" s="6">
        <v>0.038</v>
      </c>
      <c r="H8" s="6">
        <v>0.008</v>
      </c>
      <c r="I8" s="6">
        <v>0.0</v>
      </c>
      <c r="J8" s="6">
        <v>0.078</v>
      </c>
      <c r="K8" s="6">
        <v>0.063</v>
      </c>
      <c r="L8" s="6">
        <v>0.024</v>
      </c>
      <c r="M8" s="6">
        <v>0.021</v>
      </c>
      <c r="N8" s="6">
        <v>0.3922056990538181</v>
      </c>
      <c r="P8" s="1"/>
      <c r="Q8" s="6"/>
      <c r="R8" s="6"/>
      <c r="S8" s="6"/>
      <c r="T8" s="6"/>
      <c r="U8" s="6"/>
      <c r="V8" s="6"/>
      <c r="W8" s="6"/>
      <c r="X8" s="6"/>
      <c r="Y8" s="6"/>
      <c r="Z8" s="6"/>
      <c r="AA8" s="6"/>
      <c r="AB8" s="6"/>
      <c r="AC8" s="6"/>
    </row>
    <row r="9">
      <c r="A9" s="3">
        <v>2007.0</v>
      </c>
      <c r="B9" s="6">
        <v>0.034</v>
      </c>
      <c r="C9" s="6">
        <v>0.051</v>
      </c>
      <c r="D9" s="6">
        <v>0.014</v>
      </c>
      <c r="E9" s="6">
        <v>0.016</v>
      </c>
      <c r="F9" s="6">
        <v>0.054</v>
      </c>
      <c r="G9" s="6">
        <v>-0.044</v>
      </c>
      <c r="H9" s="6">
        <v>-0.04</v>
      </c>
      <c r="I9" s="6">
        <v>0.0</v>
      </c>
      <c r="J9" s="6">
        <v>0.065</v>
      </c>
      <c r="K9" s="6">
        <v>0.011</v>
      </c>
      <c r="L9" s="6">
        <v>-0.02</v>
      </c>
      <c r="M9" s="6">
        <v>-0.001</v>
      </c>
      <c r="N9" s="6">
        <v>0.1416079413883822</v>
      </c>
      <c r="P9" s="1"/>
      <c r="Q9" s="6"/>
      <c r="R9" s="6"/>
      <c r="S9" s="6"/>
      <c r="T9" s="6"/>
      <c r="U9" s="6"/>
      <c r="V9" s="6"/>
      <c r="W9" s="6"/>
      <c r="X9" s="6"/>
      <c r="Y9" s="6"/>
      <c r="Z9" s="6"/>
      <c r="AA9" s="6"/>
      <c r="AB9" s="6"/>
      <c r="AC9" s="6"/>
    </row>
    <row r="10">
      <c r="A10" s="3">
        <v>2008.0</v>
      </c>
      <c r="B10" s="6">
        <v>-0.054</v>
      </c>
      <c r="C10" s="6">
        <v>0.003</v>
      </c>
      <c r="D10" s="6">
        <v>-0.02</v>
      </c>
      <c r="E10" s="6">
        <v>0.014</v>
      </c>
      <c r="F10" s="6">
        <v>0.099</v>
      </c>
      <c r="G10" s="6">
        <v>-0.039</v>
      </c>
      <c r="H10" s="6">
        <v>-0.051</v>
      </c>
      <c r="I10" s="6">
        <v>-0.001</v>
      </c>
      <c r="J10" s="6">
        <v>0.008</v>
      </c>
      <c r="K10" s="6">
        <v>-0.004</v>
      </c>
      <c r="L10" s="6">
        <v>0.002</v>
      </c>
      <c r="M10" s="6">
        <v>0.0</v>
      </c>
      <c r="N10" s="6">
        <v>-0.05027805573857203</v>
      </c>
      <c r="P10" s="1"/>
      <c r="Q10" s="6"/>
      <c r="R10" s="6"/>
      <c r="S10" s="6"/>
      <c r="T10" s="6"/>
      <c r="U10" s="6"/>
      <c r="V10" s="6"/>
      <c r="W10" s="6"/>
      <c r="X10" s="6"/>
      <c r="Y10" s="6"/>
      <c r="Z10" s="6"/>
      <c r="AA10" s="6"/>
      <c r="AB10" s="6"/>
      <c r="AC10" s="6"/>
    </row>
    <row r="11">
      <c r="A11" s="3">
        <v>2009.0</v>
      </c>
      <c r="B11" s="6">
        <v>0.0</v>
      </c>
      <c r="C11" s="6">
        <v>0.0</v>
      </c>
      <c r="D11" s="6">
        <v>0.0</v>
      </c>
      <c r="E11" s="6">
        <v>0.014</v>
      </c>
      <c r="F11" s="6">
        <v>0.118</v>
      </c>
      <c r="G11" s="6">
        <v>0.036</v>
      </c>
      <c r="H11" s="6">
        <v>0.043</v>
      </c>
      <c r="I11" s="6">
        <v>0.03</v>
      </c>
      <c r="J11" s="6">
        <v>0.035</v>
      </c>
      <c r="K11" s="6">
        <v>-0.008</v>
      </c>
      <c r="L11" s="6">
        <v>-0.002</v>
      </c>
      <c r="M11" s="6">
        <v>0.052</v>
      </c>
      <c r="N11" s="6">
        <v>0.3600640152327506</v>
      </c>
      <c r="P11" s="1"/>
      <c r="Q11" s="6"/>
      <c r="R11" s="6"/>
      <c r="S11" s="6"/>
      <c r="T11" s="6"/>
      <c r="U11" s="6"/>
      <c r="V11" s="6"/>
      <c r="W11" s="6"/>
      <c r="X11" s="6"/>
      <c r="Y11" s="6"/>
      <c r="Z11" s="6"/>
      <c r="AA11" s="6"/>
      <c r="AB11" s="6"/>
      <c r="AC11" s="6"/>
    </row>
    <row r="12">
      <c r="A12" s="3">
        <v>2010.0</v>
      </c>
      <c r="B12" s="6">
        <v>-0.061</v>
      </c>
      <c r="C12" s="6">
        <v>0.01</v>
      </c>
      <c r="D12" s="6">
        <v>0.018</v>
      </c>
      <c r="E12" s="6">
        <v>-0.024</v>
      </c>
      <c r="F12" s="6">
        <v>-0.06</v>
      </c>
      <c r="G12" s="6">
        <v>-0.001</v>
      </c>
      <c r="H12" s="6">
        <v>0.012</v>
      </c>
      <c r="I12" s="6">
        <v>-0.016</v>
      </c>
      <c r="J12" s="6">
        <v>0.077</v>
      </c>
      <c r="K12" s="6">
        <v>0.032</v>
      </c>
      <c r="L12" s="6">
        <v>-0.001</v>
      </c>
      <c r="M12" s="6">
        <v>0.064</v>
      </c>
      <c r="N12" s="6">
        <v>0.04101270830259618</v>
      </c>
      <c r="P12" s="1"/>
      <c r="Q12" s="6"/>
      <c r="R12" s="6"/>
      <c r="S12" s="6"/>
      <c r="T12" s="6"/>
      <c r="U12" s="6"/>
      <c r="V12" s="6"/>
      <c r="W12" s="6"/>
      <c r="X12" s="6"/>
      <c r="Y12" s="6"/>
      <c r="Z12" s="6"/>
      <c r="AA12" s="6"/>
      <c r="AB12" s="6"/>
      <c r="AC12" s="6"/>
    </row>
    <row r="13">
      <c r="A13" s="3">
        <v>2011.0</v>
      </c>
      <c r="B13" s="6">
        <v>-0.034</v>
      </c>
      <c r="C13" s="6">
        <v>0.005</v>
      </c>
      <c r="D13" s="6">
        <v>-0.034</v>
      </c>
      <c r="E13" s="6">
        <v>-0.028</v>
      </c>
      <c r="F13" s="6">
        <v>-0.019</v>
      </c>
      <c r="G13" s="6">
        <v>-0.015</v>
      </c>
      <c r="H13" s="6">
        <v>-0.019</v>
      </c>
      <c r="I13" s="6">
        <v>-0.031</v>
      </c>
      <c r="J13" s="6">
        <v>0.002</v>
      </c>
      <c r="K13" s="6">
        <v>0.003</v>
      </c>
      <c r="L13" s="6">
        <v>-0.056</v>
      </c>
      <c r="M13" s="6">
        <v>0.029</v>
      </c>
      <c r="N13" s="6">
        <v>-0.1825887220706112</v>
      </c>
      <c r="P13" s="1"/>
      <c r="Q13" s="6"/>
      <c r="R13" s="6"/>
      <c r="S13" s="6"/>
      <c r="T13" s="6"/>
      <c r="U13" s="6"/>
      <c r="V13" s="6"/>
      <c r="W13" s="6"/>
      <c r="X13" s="6"/>
      <c r="Y13" s="6"/>
      <c r="Z13" s="6"/>
      <c r="AA13" s="6"/>
      <c r="AB13" s="6"/>
      <c r="AC13" s="6"/>
    </row>
    <row r="14">
      <c r="A14" s="3">
        <v>2012.0</v>
      </c>
      <c r="B14" s="6">
        <v>0.027</v>
      </c>
      <c r="C14" s="6">
        <v>0.026</v>
      </c>
      <c r="D14" s="6">
        <v>0.004</v>
      </c>
      <c r="E14" s="6">
        <v>0.014</v>
      </c>
      <c r="F14" s="6">
        <v>-0.005</v>
      </c>
      <c r="G14" s="6">
        <v>0.039</v>
      </c>
      <c r="H14" s="6">
        <v>0.032</v>
      </c>
      <c r="I14" s="6">
        <v>0.019</v>
      </c>
      <c r="J14" s="6">
        <v>0.004</v>
      </c>
      <c r="K14" s="6">
        <v>0.033</v>
      </c>
      <c r="L14" s="6">
        <v>0.002</v>
      </c>
      <c r="M14" s="6">
        <v>0.031</v>
      </c>
      <c r="N14" s="6">
        <v>0.2495176724765773</v>
      </c>
      <c r="P14" s="1"/>
      <c r="Q14" s="6"/>
      <c r="R14" s="6"/>
      <c r="S14" s="6"/>
      <c r="T14" s="6"/>
      <c r="U14" s="6"/>
      <c r="V14" s="6"/>
      <c r="W14" s="6"/>
      <c r="X14" s="6"/>
      <c r="Y14" s="6"/>
      <c r="Z14" s="6"/>
      <c r="AA14" s="6"/>
      <c r="AB14" s="6"/>
      <c r="AC14" s="6"/>
    </row>
    <row r="15">
      <c r="A15" s="3">
        <v>2013.0</v>
      </c>
      <c r="B15" s="6">
        <v>0.04</v>
      </c>
      <c r="C15" s="6">
        <v>0.031</v>
      </c>
      <c r="D15" s="6">
        <v>0.012</v>
      </c>
      <c r="E15" s="6">
        <v>0.028</v>
      </c>
      <c r="F15" s="6">
        <v>-0.009</v>
      </c>
      <c r="G15" s="6">
        <v>-0.01</v>
      </c>
      <c r="H15" s="6">
        <v>0.004</v>
      </c>
      <c r="I15" s="6">
        <v>-0.012</v>
      </c>
      <c r="J15" s="6">
        <v>0.046</v>
      </c>
      <c r="K15" s="6">
        <v>0.001</v>
      </c>
      <c r="L15" s="6">
        <v>0.007</v>
      </c>
      <c r="M15" s="6">
        <v>0.016</v>
      </c>
      <c r="N15" s="6">
        <v>0.1629313512386463</v>
      </c>
      <c r="P15" s="1"/>
      <c r="Q15" s="6"/>
      <c r="R15" s="6"/>
      <c r="S15" s="6"/>
      <c r="T15" s="6"/>
      <c r="U15" s="6"/>
      <c r="V15" s="6"/>
      <c r="W15" s="6"/>
      <c r="X15" s="6"/>
      <c r="Y15" s="6"/>
      <c r="Z15" s="6"/>
      <c r="AA15" s="6"/>
      <c r="AB15" s="6"/>
      <c r="AC15" s="6"/>
    </row>
    <row r="16">
      <c r="A16" s="3">
        <v>2014.0</v>
      </c>
      <c r="B16" s="6">
        <v>-0.006</v>
      </c>
      <c r="C16" s="6">
        <v>0.025</v>
      </c>
      <c r="D16" s="6">
        <v>-0.012</v>
      </c>
      <c r="E16" s="6">
        <v>0.02</v>
      </c>
      <c r="F16" s="6">
        <v>0.003</v>
      </c>
      <c r="G16" s="6">
        <v>-0.027</v>
      </c>
      <c r="H16" s="6">
        <v>0.018</v>
      </c>
      <c r="I16" s="6">
        <v>0.033</v>
      </c>
      <c r="J16" s="6">
        <v>-0.046</v>
      </c>
      <c r="K16" s="6">
        <v>0.0</v>
      </c>
      <c r="L16" s="6">
        <v>0.009</v>
      </c>
      <c r="M16" s="6">
        <v>0.048</v>
      </c>
      <c r="N16" s="6">
        <v>0.06299216269240171</v>
      </c>
      <c r="P16" s="1"/>
      <c r="Q16" s="6"/>
      <c r="R16" s="6"/>
      <c r="S16" s="6"/>
      <c r="T16" s="6"/>
      <c r="U16" s="6"/>
      <c r="V16" s="6"/>
      <c r="W16" s="6"/>
      <c r="X16" s="6"/>
      <c r="Y16" s="6"/>
      <c r="Z16" s="6"/>
      <c r="AA16" s="6"/>
      <c r="AB16" s="6"/>
      <c r="AC16" s="6"/>
    </row>
    <row r="17">
      <c r="A17" s="3">
        <v>2015.0</v>
      </c>
      <c r="B17" s="6">
        <v>0.02</v>
      </c>
      <c r="C17" s="6">
        <v>0.056</v>
      </c>
      <c r="D17" s="6">
        <v>0.021</v>
      </c>
      <c r="E17" s="6">
        <v>0.002</v>
      </c>
      <c r="F17" s="6">
        <v>-0.004</v>
      </c>
      <c r="G17" s="6">
        <v>-0.032</v>
      </c>
      <c r="H17" s="6">
        <v>0.031</v>
      </c>
      <c r="I17" s="6">
        <v>-0.056</v>
      </c>
      <c r="J17" s="6">
        <v>0.007</v>
      </c>
      <c r="K17" s="6">
        <v>0.034</v>
      </c>
      <c r="L17" s="6">
        <v>0.041</v>
      </c>
      <c r="M17" s="6">
        <v>0.013</v>
      </c>
      <c r="N17" s="6">
        <v>0.1353587022656539</v>
      </c>
      <c r="P17" s="1"/>
      <c r="Q17" s="6"/>
      <c r="R17" s="6"/>
      <c r="S17" s="6"/>
      <c r="T17" s="6"/>
      <c r="U17" s="6"/>
      <c r="V17" s="6"/>
      <c r="W17" s="6"/>
      <c r="X17" s="6"/>
      <c r="Y17" s="6"/>
      <c r="Z17" s="6"/>
      <c r="AA17" s="6"/>
      <c r="AB17" s="6"/>
      <c r="AC17" s="6"/>
    </row>
    <row r="18">
      <c r="A18" s="3">
        <v>2016.0</v>
      </c>
      <c r="B18" s="6">
        <v>-0.035</v>
      </c>
      <c r="C18" s="6">
        <v>-0.001</v>
      </c>
      <c r="D18" s="6">
        <v>0.007</v>
      </c>
      <c r="E18" s="6">
        <v>0.021</v>
      </c>
      <c r="F18" s="6">
        <v>0.018</v>
      </c>
      <c r="G18" s="6">
        <v>-0.026</v>
      </c>
      <c r="H18" s="6">
        <v>0.111</v>
      </c>
      <c r="I18" s="6">
        <v>-0.001</v>
      </c>
      <c r="J18" s="6">
        <v>-0.004</v>
      </c>
      <c r="K18" s="6">
        <v>0.005</v>
      </c>
      <c r="L18" s="6">
        <v>-0.045</v>
      </c>
      <c r="M18" s="6">
        <v>0.021</v>
      </c>
      <c r="N18" s="6">
        <v>0.06460575640672706</v>
      </c>
      <c r="P18" s="1"/>
      <c r="Q18" s="6"/>
      <c r="R18" s="6"/>
      <c r="S18" s="6"/>
      <c r="T18" s="6"/>
      <c r="U18" s="6"/>
      <c r="V18" s="6"/>
      <c r="W18" s="6"/>
      <c r="X18" s="6"/>
      <c r="Y18" s="6"/>
      <c r="Z18" s="6"/>
      <c r="AA18" s="6"/>
      <c r="AB18" s="6"/>
      <c r="AC18" s="6"/>
    </row>
    <row r="19">
      <c r="A19" s="3">
        <v>2017.0</v>
      </c>
      <c r="B19" s="6">
        <v>0.018</v>
      </c>
      <c r="C19" s="6">
        <v>-0.011</v>
      </c>
      <c r="D19" s="6">
        <v>0.033</v>
      </c>
      <c r="E19" s="6">
        <v>0.027</v>
      </c>
      <c r="F19" s="6">
        <v>-0.009</v>
      </c>
      <c r="G19" s="6">
        <v>0.018</v>
      </c>
      <c r="H19" s="6">
        <v>-0.016</v>
      </c>
      <c r="I19" s="6">
        <v>0.052</v>
      </c>
      <c r="J19" s="6">
        <v>0.019</v>
      </c>
      <c r="K19" s="6">
        <v>0.101</v>
      </c>
      <c r="L19" s="6">
        <v>0.018</v>
      </c>
      <c r="M19" s="6">
        <v>0.011</v>
      </c>
      <c r="N19" s="6">
        <v>0.2879753223886092</v>
      </c>
      <c r="P19" s="1"/>
      <c r="Q19" s="6"/>
      <c r="R19" s="6"/>
      <c r="S19" s="6"/>
      <c r="T19" s="6"/>
      <c r="U19" s="6"/>
      <c r="V19" s="6"/>
      <c r="W19" s="6"/>
      <c r="X19" s="6"/>
      <c r="Y19" s="6"/>
      <c r="Z19" s="6"/>
      <c r="AA19" s="6"/>
      <c r="AB19" s="6"/>
      <c r="AC19" s="6"/>
    </row>
    <row r="20">
      <c r="A20" s="3">
        <v>2018.0</v>
      </c>
      <c r="B20" s="6">
        <v>0.02</v>
      </c>
      <c r="C20" s="6">
        <v>0.039</v>
      </c>
      <c r="D20" s="6">
        <v>-0.005</v>
      </c>
      <c r="E20" s="6">
        <v>0.025</v>
      </c>
      <c r="F20" s="6">
        <v>-0.027</v>
      </c>
      <c r="G20" s="6">
        <v>0.071</v>
      </c>
      <c r="H20" s="6">
        <v>0.015</v>
      </c>
      <c r="I20" s="6">
        <v>0.047</v>
      </c>
      <c r="J20" s="6">
        <v>-0.002</v>
      </c>
      <c r="K20" s="6">
        <v>-0.061</v>
      </c>
      <c r="L20" s="6">
        <v>-0.005</v>
      </c>
      <c r="M20" s="6">
        <v>0.01</v>
      </c>
      <c r="N20" s="6">
        <v>0.1272449245657614</v>
      </c>
      <c r="P20" s="1"/>
      <c r="Q20" s="6"/>
      <c r="R20" s="6"/>
      <c r="S20" s="6"/>
      <c r="T20" s="6"/>
      <c r="U20" s="6"/>
      <c r="V20" s="6"/>
      <c r="W20" s="6"/>
      <c r="X20" s="6"/>
      <c r="Y20" s="6"/>
      <c r="Z20" s="6"/>
      <c r="AA20" s="6"/>
      <c r="AB20" s="6"/>
      <c r="AC20" s="6"/>
    </row>
    <row r="21" ht="15.75" customHeight="1">
      <c r="A21" s="3">
        <v>2019.0</v>
      </c>
      <c r="B21" s="6">
        <v>0.014</v>
      </c>
      <c r="C21" s="6">
        <v>0.084</v>
      </c>
      <c r="D21" s="6">
        <v>0.022</v>
      </c>
      <c r="E21" s="6">
        <v>0.025</v>
      </c>
      <c r="F21" s="6">
        <v>0.031</v>
      </c>
      <c r="G21" s="6">
        <v>0.043</v>
      </c>
      <c r="H21" s="6">
        <v>0.039</v>
      </c>
      <c r="I21" s="6">
        <v>-0.07</v>
      </c>
      <c r="J21" s="6">
        <v>0.021</v>
      </c>
      <c r="K21" s="6">
        <v>-0.036</v>
      </c>
      <c r="L21" s="6">
        <v>0.011</v>
      </c>
      <c r="M21" s="6">
        <v>0.007</v>
      </c>
      <c r="N21" s="6">
        <v>0.198855583673778</v>
      </c>
      <c r="P21" s="1"/>
      <c r="Q21" s="6"/>
      <c r="R21" s="6"/>
      <c r="S21" s="6"/>
      <c r="T21" s="6"/>
      <c r="U21" s="6"/>
      <c r="V21" s="6"/>
      <c r="W21" s="6"/>
      <c r="X21" s="6"/>
      <c r="Y21" s="6"/>
      <c r="Z21" s="6"/>
      <c r="AA21" s="6"/>
      <c r="AB21" s="6"/>
      <c r="AC21" s="6"/>
    </row>
    <row r="22" ht="15.75" customHeight="1">
      <c r="A22" s="3">
        <v>2020.0</v>
      </c>
      <c r="B22" s="6">
        <v>0.04</v>
      </c>
      <c r="C22" s="6">
        <v>-0.113</v>
      </c>
      <c r="D22" s="6">
        <v>-0.051</v>
      </c>
      <c r="E22" s="6">
        <v>0.0</v>
      </c>
      <c r="F22" s="6">
        <v>0.0</v>
      </c>
      <c r="G22" s="6">
        <v>0.008</v>
      </c>
      <c r="H22" s="6">
        <v>0.094</v>
      </c>
      <c r="I22" s="6">
        <v>0.075</v>
      </c>
      <c r="J22" s="6">
        <v>-0.047</v>
      </c>
      <c r="K22" s="6">
        <v>0.018</v>
      </c>
      <c r="L22" s="6">
        <v>0.025</v>
      </c>
      <c r="M22" s="6">
        <v>0.025</v>
      </c>
      <c r="N22" s="6">
        <v>0.05778620602728202</v>
      </c>
      <c r="P22" s="1"/>
      <c r="Q22" s="6"/>
      <c r="R22" s="6"/>
      <c r="S22" s="6"/>
      <c r="T22" s="6"/>
      <c r="U22" s="6"/>
      <c r="V22" s="6"/>
      <c r="W22" s="6"/>
      <c r="X22" s="6"/>
      <c r="Y22" s="6"/>
      <c r="Z22" s="6"/>
      <c r="AA22" s="6"/>
      <c r="AB22" s="6"/>
      <c r="AC22" s="6"/>
    </row>
    <row r="23" ht="15.75" customHeight="1">
      <c r="A23" s="3">
        <v>2021.0</v>
      </c>
      <c r="B23" s="6">
        <v>-0.01</v>
      </c>
      <c r="C23" s="6">
        <v>0.018</v>
      </c>
      <c r="D23" s="6">
        <v>0.025</v>
      </c>
      <c r="E23" s="6">
        <v>0.032</v>
      </c>
      <c r="F23" s="6">
        <v>0.01</v>
      </c>
      <c r="G23" s="6">
        <v>0.034</v>
      </c>
      <c r="H23" s="6">
        <v>0.025</v>
      </c>
      <c r="I23" s="6">
        <v>0.017</v>
      </c>
      <c r="J23" s="6">
        <v>0.044</v>
      </c>
      <c r="K23" s="6">
        <v>-0.013</v>
      </c>
      <c r="L23" s="6">
        <v>-0.025</v>
      </c>
      <c r="M23" s="6">
        <v>0.044</v>
      </c>
      <c r="N23" s="6">
        <v>0.2172955428341508</v>
      </c>
      <c r="P23" s="1"/>
      <c r="Q23" s="6"/>
      <c r="R23" s="6"/>
      <c r="S23" s="6"/>
      <c r="T23" s="6"/>
      <c r="U23" s="6"/>
      <c r="V23" s="6"/>
      <c r="W23" s="6"/>
      <c r="X23" s="6"/>
      <c r="Y23" s="6"/>
      <c r="Z23" s="6"/>
      <c r="AA23" s="6"/>
      <c r="AB23" s="6"/>
      <c r="AC23" s="6"/>
    </row>
    <row r="24" ht="15.75" customHeight="1">
      <c r="A24" s="3">
        <v>2022.0</v>
      </c>
      <c r="B24" s="6">
        <v>-0.053</v>
      </c>
      <c r="C24" s="6">
        <v>0.016</v>
      </c>
      <c r="D24" s="6">
        <v>0.005</v>
      </c>
      <c r="E24" s="6">
        <v>-0.012</v>
      </c>
      <c r="F24" s="6">
        <v>-0.046</v>
      </c>
      <c r="G24" s="6">
        <v>-0.035</v>
      </c>
      <c r="H24" s="6">
        <v>0.01</v>
      </c>
      <c r="I24" s="6">
        <v>-0.006</v>
      </c>
      <c r="J24" s="6">
        <v>-0.051</v>
      </c>
      <c r="K24" s="6">
        <v>0.014</v>
      </c>
      <c r="L24" s="6">
        <v>0.012</v>
      </c>
      <c r="M24" s="6">
        <v>-0.037</v>
      </c>
      <c r="N24" s="6">
        <v>-0.1719413340700103</v>
      </c>
      <c r="P24" s="1"/>
      <c r="Q24" s="6"/>
      <c r="R24" s="6"/>
      <c r="S24" s="6"/>
      <c r="T24" s="6"/>
      <c r="U24" s="6"/>
      <c r="V24" s="6"/>
      <c r="W24" s="6"/>
      <c r="X24" s="6"/>
      <c r="Y24" s="6"/>
      <c r="Z24" s="6"/>
      <c r="AA24" s="6"/>
      <c r="AB24" s="6"/>
      <c r="AC24" s="6"/>
    </row>
    <row r="25" ht="15.75" customHeight="1">
      <c r="A25" s="3">
        <v>2023.0</v>
      </c>
      <c r="B25" s="6">
        <v>0.06</v>
      </c>
      <c r="C25" s="6">
        <v>-0.045</v>
      </c>
      <c r="D25" s="6">
        <v>-0.007</v>
      </c>
      <c r="E25" s="6">
        <v>0.019</v>
      </c>
      <c r="F25" s="6">
        <v>-0.01</v>
      </c>
      <c r="G25" s="6">
        <v>0.004</v>
      </c>
      <c r="H25" s="6">
        <v>0.011</v>
      </c>
      <c r="I25" s="6">
        <v>-0.023</v>
      </c>
      <c r="J25" s="6">
        <v>0.019</v>
      </c>
      <c r="K25" s="6">
        <v>-0.055</v>
      </c>
      <c r="L25" s="6">
        <v>0.033</v>
      </c>
      <c r="M25" s="6">
        <v>0.083</v>
      </c>
      <c r="N25" s="6">
        <v>0.08338312521013047</v>
      </c>
      <c r="P25" s="1"/>
      <c r="Q25" s="6"/>
      <c r="R25" s="6"/>
      <c r="S25" s="6"/>
      <c r="T25" s="6"/>
      <c r="U25" s="6"/>
      <c r="V25" s="6"/>
      <c r="W25" s="6"/>
      <c r="X25" s="6"/>
      <c r="Y25" s="6"/>
      <c r="Z25" s="6"/>
      <c r="AA25" s="6"/>
      <c r="AB25" s="6"/>
      <c r="AC25" s="6"/>
    </row>
    <row r="26" ht="15.75" customHeight="1">
      <c r="A26" s="3">
        <v>2024.0</v>
      </c>
      <c r="B26" s="6">
        <v>-0.004</v>
      </c>
      <c r="C26" s="6">
        <v>0.03</v>
      </c>
      <c r="D26" s="6">
        <v>0.041</v>
      </c>
      <c r="E26" s="6">
        <v>-0.041</v>
      </c>
      <c r="F26" s="6">
        <v>0.002</v>
      </c>
      <c r="G26" s="6">
        <v>0.056</v>
      </c>
      <c r="H26" s="6">
        <v>0.008</v>
      </c>
      <c r="I26" s="6">
        <v>0.062</v>
      </c>
      <c r="J26" s="6">
        <v>0.023</v>
      </c>
      <c r="K26" s="6">
        <v>0.001</v>
      </c>
      <c r="L26" s="6">
        <v>0.105</v>
      </c>
      <c r="M26" s="6">
        <v>-0.025</v>
      </c>
      <c r="N26" s="6">
        <v>0.2798503551805271</v>
      </c>
      <c r="P26" s="1"/>
      <c r="Q26" s="6"/>
      <c r="R26" s="6"/>
      <c r="S26" s="6"/>
      <c r="T26" s="6"/>
      <c r="U26" s="6"/>
      <c r="V26" s="6"/>
      <c r="W26" s="6"/>
      <c r="X26" s="6"/>
      <c r="Y26" s="6"/>
      <c r="Z26" s="6"/>
      <c r="AA26" s="6"/>
      <c r="AB26" s="6"/>
      <c r="AC26" s="6"/>
    </row>
    <row r="27" ht="15.75" customHeight="1">
      <c r="A27" s="3">
        <v>2025.0</v>
      </c>
      <c r="B27" s="6">
        <v>0.04</v>
      </c>
      <c r="C27" s="6">
        <v>-0.017</v>
      </c>
      <c r="D27" s="6">
        <v>0.003</v>
      </c>
      <c r="E27" s="6">
        <v>-0.006</v>
      </c>
      <c r="F27" s="6">
        <v>0.043</v>
      </c>
      <c r="G27" s="6">
        <v>0.034</v>
      </c>
      <c r="H27" s="6">
        <v>-0.03</v>
      </c>
      <c r="I27" s="6">
        <v>0.02448497598295396</v>
      </c>
      <c r="J27" s="6">
        <v>-0.01324223111086809</v>
      </c>
      <c r="K27" s="6">
        <v>0.003447624292945761</v>
      </c>
      <c r="L27" s="6">
        <v>-0.05724860882929683</v>
      </c>
      <c r="M27" s="6">
        <v>-0.01212597683585892</v>
      </c>
      <c r="N27" s="6">
        <v>0.00730354127837418</v>
      </c>
      <c r="O27" s="6"/>
      <c r="P27" s="1"/>
      <c r="Q27" s="6"/>
      <c r="R27" s="6"/>
      <c r="S27" s="6"/>
      <c r="T27" s="6"/>
      <c r="U27" s="6"/>
      <c r="V27" s="6"/>
      <c r="W27" s="6"/>
      <c r="X27" s="6"/>
      <c r="Y27" s="6"/>
      <c r="Z27" s="6"/>
      <c r="AA27" s="6"/>
      <c r="AB27" s="6"/>
      <c r="AC27" s="6"/>
    </row>
    <row r="28" ht="15.75" customHeight="1">
      <c r="A28" s="3">
        <v>2026.0</v>
      </c>
      <c r="B28" s="6">
        <v>-0.00902832750059901</v>
      </c>
      <c r="C28" s="6">
        <v>-0.04245727472069527</v>
      </c>
      <c r="D28" s="6"/>
      <c r="E28" s="6"/>
      <c r="F28" s="6"/>
      <c r="G28" s="6"/>
      <c r="H28" s="6"/>
      <c r="I28" s="6"/>
      <c r="J28" s="6"/>
      <c r="K28" s="6"/>
      <c r="L28" s="6"/>
      <c r="M28" s="6"/>
      <c r="N28" s="6">
        <v>-0.0511022840403329</v>
      </c>
      <c r="O28" s="6"/>
      <c r="P28" s="1"/>
      <c r="Q28" s="6"/>
      <c r="R28" s="6"/>
      <c r="S28" s="6"/>
      <c r="T28" s="6"/>
      <c r="U28" s="6"/>
      <c r="V28" s="6"/>
      <c r="W28" s="6"/>
      <c r="X28" s="6"/>
      <c r="Y28" s="6"/>
      <c r="Z28" s="6"/>
      <c r="AA28" s="6"/>
      <c r="AB28" s="6"/>
      <c r="AC28" s="6"/>
    </row>
    <row r="29" ht="15.75" customHeight="1">
      <c r="A29" s="3" t="s">
        <v>918</v>
      </c>
      <c r="B29" s="6">
        <v>0.005961913796274111</v>
      </c>
      <c r="C29" s="6">
        <v>0.007094175010344619</v>
      </c>
      <c r="D29" s="6">
        <v>0.01576923076923077</v>
      </c>
      <c r="E29" s="6">
        <v>0.006269230769230768</v>
      </c>
      <c r="F29" s="6">
        <v>0.01069230769230769</v>
      </c>
      <c r="G29" s="6">
        <v>0.01357692307692307</v>
      </c>
      <c r="H29" s="6">
        <v>0.01446153846153846</v>
      </c>
      <c r="I29" s="6">
        <v>0.01259557599934438</v>
      </c>
      <c r="J29" s="6">
        <v>0.0131829911111205</v>
      </c>
      <c r="K29" s="6">
        <v>0.009017216318959454</v>
      </c>
      <c r="L29" s="6">
        <v>0.006490438121950121</v>
      </c>
      <c r="M29" s="6">
        <f>AVERAGE(M2:M27)</f>
        <v>0.02253361628</v>
      </c>
      <c r="N29" s="1"/>
      <c r="P29" s="1"/>
      <c r="Q29" s="1"/>
    </row>
    <row r="30" ht="15.75" customHeight="1">
      <c r="B30" s="6"/>
      <c r="C30" s="6"/>
      <c r="D30" s="6"/>
      <c r="E30" s="6"/>
      <c r="F30" s="6"/>
      <c r="G30" s="6"/>
      <c r="H30" s="6"/>
      <c r="I30" s="6"/>
      <c r="J30" s="6"/>
      <c r="K30" s="6"/>
      <c r="L30" s="6"/>
      <c r="M30" s="6"/>
      <c r="N30" s="19"/>
      <c r="P30" s="1"/>
      <c r="Q30" s="1"/>
    </row>
    <row r="31" ht="15.75" customHeight="1">
      <c r="B31" s="6"/>
      <c r="C31" s="6"/>
      <c r="D31" s="6"/>
      <c r="E31" s="6"/>
      <c r="F31" s="6"/>
      <c r="G31" s="6"/>
      <c r="H31" s="6"/>
      <c r="I31" s="6"/>
      <c r="J31" s="6"/>
      <c r="K31" s="6"/>
      <c r="L31" s="6"/>
      <c r="M31" s="6"/>
      <c r="N31" s="20"/>
      <c r="P31" s="1"/>
      <c r="Q31" s="1"/>
    </row>
    <row r="32" ht="15.75" customHeight="1">
      <c r="B32" s="6"/>
      <c r="C32" s="6"/>
      <c r="D32" s="6"/>
      <c r="E32" s="6"/>
      <c r="F32" s="6"/>
      <c r="G32" s="6"/>
      <c r="H32" s="6"/>
      <c r="I32" s="6"/>
      <c r="J32" s="6"/>
      <c r="K32" s="6"/>
      <c r="L32" s="6"/>
      <c r="M32" s="6"/>
      <c r="N32" s="20"/>
      <c r="P32" s="1"/>
      <c r="Q32" s="1"/>
    </row>
    <row r="33" ht="15.75" customHeight="1">
      <c r="B33" s="6"/>
      <c r="C33" s="6"/>
      <c r="D33" s="6"/>
      <c r="E33" s="6"/>
      <c r="F33" s="6"/>
      <c r="G33" s="6"/>
      <c r="H33" s="6"/>
      <c r="I33" s="6"/>
      <c r="J33" s="6"/>
      <c r="K33" s="6"/>
      <c r="L33" s="6"/>
      <c r="M33" s="6"/>
      <c r="N33" s="1"/>
      <c r="O33" s="6"/>
      <c r="P33" s="19"/>
      <c r="Q33" s="1"/>
    </row>
    <row r="34" ht="15.75" customHeight="1">
      <c r="B34" s="6"/>
      <c r="C34" s="6"/>
      <c r="D34" s="6"/>
      <c r="E34" s="6"/>
      <c r="F34" s="6"/>
      <c r="G34" s="6"/>
      <c r="H34" s="6"/>
      <c r="I34" s="6"/>
      <c r="J34" s="6"/>
      <c r="K34" s="6"/>
      <c r="L34" s="6"/>
      <c r="M34" s="6"/>
      <c r="N34" s="1"/>
      <c r="P34" s="1"/>
      <c r="Q34" s="21"/>
    </row>
    <row r="35" ht="15.75" customHeight="1">
      <c r="I35" s="1"/>
      <c r="N35" s="1"/>
      <c r="P35" s="1"/>
      <c r="Q35" s="1"/>
    </row>
    <row r="36" ht="15.75" customHeight="1">
      <c r="B36" s="6"/>
      <c r="C36" s="6"/>
      <c r="D36" s="6"/>
      <c r="E36" s="6"/>
      <c r="F36" s="6"/>
      <c r="G36" s="6"/>
      <c r="H36" s="6"/>
      <c r="I36" s="6"/>
      <c r="J36" s="6"/>
      <c r="K36" s="6"/>
      <c r="L36" s="6"/>
      <c r="M36" s="6"/>
      <c r="N36" s="22"/>
      <c r="P36" s="1"/>
      <c r="Q36" s="1"/>
    </row>
    <row r="37" ht="15.75" customHeight="1">
      <c r="B37" s="6"/>
      <c r="H37" s="6"/>
      <c r="I37" s="6"/>
      <c r="J37" s="6"/>
      <c r="K37" s="6"/>
      <c r="L37" s="6"/>
      <c r="M37" s="6"/>
      <c r="N37" s="1"/>
      <c r="P37" s="1"/>
      <c r="Q37" s="1"/>
    </row>
    <row r="38" ht="15.75" customHeight="1">
      <c r="I38" s="1"/>
      <c r="N38" s="1"/>
      <c r="P38" s="1"/>
      <c r="Q38" s="1"/>
    </row>
    <row r="39" ht="15.75" customHeight="1">
      <c r="I39" s="1"/>
      <c r="N39" s="1"/>
      <c r="P39" s="1"/>
      <c r="Q39" s="1"/>
    </row>
    <row r="40" ht="15.75" customHeight="1">
      <c r="I40" s="1"/>
      <c r="N40" s="1"/>
      <c r="P40" s="1"/>
      <c r="Q40" s="1"/>
    </row>
    <row r="41" ht="15.75" customHeight="1">
      <c r="I41" s="1"/>
      <c r="N41" s="1"/>
      <c r="P41" s="1"/>
      <c r="Q41" s="1"/>
    </row>
    <row r="42" ht="15.75" customHeight="1">
      <c r="I42" s="1"/>
      <c r="N42" s="1"/>
      <c r="P42" s="1"/>
      <c r="Q42" s="1"/>
    </row>
    <row r="43" ht="15.75" customHeight="1">
      <c r="I43" s="1"/>
      <c r="N43" s="1"/>
      <c r="P43" s="1"/>
      <c r="Q43" s="1"/>
    </row>
    <row r="44" ht="15.75" customHeight="1">
      <c r="I44" s="1"/>
      <c r="N44" s="1"/>
      <c r="P44" s="1"/>
      <c r="Q44" s="1"/>
    </row>
    <row r="45" ht="15.75" customHeight="1">
      <c r="I45" s="1"/>
      <c r="N45" s="1"/>
      <c r="P45" s="1"/>
      <c r="Q45" s="1"/>
    </row>
    <row r="46" ht="15.75" customHeight="1">
      <c r="I46" s="1"/>
      <c r="N46" s="1"/>
      <c r="P46" s="1"/>
      <c r="Q46" s="1"/>
    </row>
    <row r="47" ht="15.75" customHeight="1">
      <c r="I47" s="1"/>
      <c r="N47" s="1"/>
      <c r="P47" s="1"/>
      <c r="Q47" s="1"/>
    </row>
    <row r="48" ht="15.75" customHeight="1">
      <c r="I48" s="1"/>
      <c r="N48" s="1"/>
      <c r="P48" s="1"/>
      <c r="Q48" s="1"/>
    </row>
    <row r="49" ht="15.75" customHeight="1">
      <c r="I49" s="1"/>
      <c r="N49" s="1"/>
      <c r="P49" s="1"/>
      <c r="Q49" s="1"/>
    </row>
    <row r="50" ht="15.75" customHeight="1">
      <c r="I50" s="1"/>
      <c r="N50" s="1"/>
      <c r="P50" s="1"/>
      <c r="Q50" s="1"/>
    </row>
    <row r="51" ht="15.75" customHeight="1">
      <c r="I51" s="1"/>
      <c r="N51" s="1"/>
      <c r="P51" s="1"/>
      <c r="Q51" s="1"/>
    </row>
    <row r="52" ht="15.75" customHeight="1">
      <c r="I52" s="1"/>
      <c r="N52" s="1"/>
      <c r="P52" s="1"/>
      <c r="Q52" s="1"/>
    </row>
    <row r="53" ht="15.75" customHeight="1">
      <c r="I53" s="1"/>
      <c r="N53" s="1"/>
      <c r="P53" s="1"/>
      <c r="Q53" s="1"/>
    </row>
    <row r="54" ht="15.75" customHeight="1">
      <c r="I54" s="1"/>
      <c r="N54" s="1"/>
      <c r="P54" s="1"/>
      <c r="Q54" s="1"/>
    </row>
    <row r="55" ht="15.75" customHeight="1">
      <c r="I55" s="1"/>
      <c r="N55" s="1"/>
      <c r="P55" s="1"/>
      <c r="Q55" s="1"/>
    </row>
    <row r="56" ht="15.75" customHeight="1">
      <c r="I56" s="1"/>
      <c r="N56" s="1"/>
      <c r="P56" s="1"/>
      <c r="Q56" s="1"/>
    </row>
    <row r="57" ht="15.75" customHeight="1">
      <c r="I57" s="1"/>
      <c r="N57" s="1"/>
      <c r="P57" s="1"/>
      <c r="Q57" s="1"/>
    </row>
    <row r="58" ht="15.75" customHeight="1">
      <c r="I58" s="1"/>
      <c r="N58" s="1"/>
      <c r="P58" s="1"/>
      <c r="Q58" s="1"/>
    </row>
    <row r="59" ht="15.75" customHeight="1">
      <c r="I59" s="1"/>
      <c r="N59" s="1"/>
      <c r="P59" s="1"/>
      <c r="Q59" s="1"/>
    </row>
    <row r="60" ht="15.75" customHeight="1">
      <c r="I60" s="1"/>
      <c r="N60" s="1"/>
      <c r="P60" s="1"/>
      <c r="Q60" s="1"/>
    </row>
    <row r="61" ht="15.75" customHeight="1">
      <c r="I61" s="1"/>
      <c r="N61" s="1"/>
      <c r="P61" s="1"/>
      <c r="Q61" s="1"/>
    </row>
    <row r="62" ht="15.75" customHeight="1">
      <c r="I62" s="1"/>
      <c r="N62" s="1"/>
      <c r="P62" s="1"/>
      <c r="Q62" s="1"/>
    </row>
    <row r="63" ht="15.75" customHeight="1">
      <c r="I63" s="1"/>
      <c r="N63" s="1"/>
      <c r="P63" s="1"/>
      <c r="Q63" s="1"/>
    </row>
    <row r="64" ht="15.75" customHeight="1">
      <c r="I64" s="1"/>
      <c r="N64" s="1"/>
      <c r="P64" s="1"/>
      <c r="Q64" s="1"/>
    </row>
    <row r="65" ht="15.75" customHeight="1">
      <c r="I65" s="1"/>
      <c r="N65" s="1"/>
      <c r="P65" s="1"/>
      <c r="Q65" s="1"/>
    </row>
    <row r="66" ht="15.75" customHeight="1">
      <c r="I66" s="1"/>
      <c r="N66" s="1"/>
      <c r="P66" s="1"/>
      <c r="Q66" s="1"/>
    </row>
    <row r="67" ht="15.75" customHeight="1">
      <c r="I67" s="1"/>
      <c r="N67" s="1"/>
      <c r="P67" s="1"/>
      <c r="Q67" s="1"/>
    </row>
    <row r="68" ht="15.75" customHeight="1">
      <c r="I68" s="1"/>
      <c r="N68" s="1"/>
      <c r="P68" s="1"/>
      <c r="Q68" s="1"/>
    </row>
    <row r="69" ht="15.75" customHeight="1">
      <c r="I69" s="1"/>
      <c r="N69" s="1"/>
      <c r="P69" s="1"/>
      <c r="Q69" s="1"/>
    </row>
    <row r="70" ht="15.75" customHeight="1">
      <c r="I70" s="1"/>
      <c r="N70" s="1"/>
      <c r="P70" s="1"/>
      <c r="Q70" s="1"/>
    </row>
    <row r="71" ht="15.75" customHeight="1">
      <c r="I71" s="1"/>
      <c r="N71" s="1"/>
      <c r="P71" s="1"/>
      <c r="Q71" s="1"/>
    </row>
    <row r="72" ht="15.75" customHeight="1">
      <c r="I72" s="1"/>
      <c r="N72" s="1"/>
      <c r="P72" s="1"/>
      <c r="Q72" s="1"/>
    </row>
    <row r="73" ht="15.75" customHeight="1">
      <c r="I73" s="1"/>
      <c r="N73" s="1"/>
      <c r="P73" s="1"/>
      <c r="Q73" s="1"/>
    </row>
    <row r="74" ht="15.75" customHeight="1">
      <c r="I74" s="1"/>
      <c r="N74" s="1"/>
      <c r="P74" s="1"/>
      <c r="Q74" s="1"/>
    </row>
    <row r="75" ht="15.75" customHeight="1">
      <c r="I75" s="1"/>
      <c r="N75" s="1"/>
      <c r="P75" s="1"/>
      <c r="Q75" s="1"/>
    </row>
    <row r="76" ht="15.75" customHeight="1">
      <c r="I76" s="1"/>
      <c r="N76" s="1"/>
      <c r="P76" s="1"/>
      <c r="Q76" s="1"/>
    </row>
    <row r="77" ht="15.75" customHeight="1">
      <c r="I77" s="1"/>
      <c r="N77" s="1"/>
      <c r="P77" s="1"/>
      <c r="Q77" s="1"/>
    </row>
    <row r="78" ht="15.75" customHeight="1">
      <c r="I78" s="1"/>
      <c r="N78" s="1"/>
      <c r="P78" s="1"/>
      <c r="Q78" s="1"/>
    </row>
    <row r="79" ht="15.75" customHeight="1">
      <c r="I79" s="1"/>
      <c r="N79" s="1"/>
      <c r="P79" s="1"/>
      <c r="Q79" s="1"/>
    </row>
    <row r="80" ht="15.75" customHeight="1">
      <c r="I80" s="1"/>
      <c r="N80" s="1"/>
      <c r="P80" s="1"/>
      <c r="Q80" s="1"/>
    </row>
    <row r="81" ht="15.75" customHeight="1">
      <c r="I81" s="1"/>
      <c r="N81" s="1"/>
      <c r="P81" s="1"/>
      <c r="Q81" s="1"/>
    </row>
    <row r="82" ht="15.75" customHeight="1">
      <c r="I82" s="1"/>
      <c r="N82" s="1"/>
      <c r="P82" s="1"/>
      <c r="Q82" s="1"/>
    </row>
    <row r="83" ht="15.75" customHeight="1">
      <c r="I83" s="1"/>
      <c r="N83" s="1"/>
      <c r="P83" s="1"/>
      <c r="Q83" s="1"/>
    </row>
    <row r="84" ht="15.75" customHeight="1">
      <c r="I84" s="1"/>
      <c r="N84" s="1"/>
      <c r="P84" s="1"/>
      <c r="Q84" s="1"/>
    </row>
    <row r="85" ht="15.75" customHeight="1">
      <c r="I85" s="1"/>
      <c r="N85" s="1"/>
      <c r="P85" s="1"/>
      <c r="Q85" s="1"/>
    </row>
    <row r="86" ht="15.75" customHeight="1">
      <c r="I86" s="1"/>
      <c r="N86" s="1"/>
      <c r="P86" s="1"/>
      <c r="Q86" s="1"/>
    </row>
    <row r="87" ht="15.75" customHeight="1">
      <c r="I87" s="1"/>
      <c r="N87" s="1"/>
      <c r="P87" s="1"/>
      <c r="Q87" s="1"/>
    </row>
    <row r="88" ht="15.75" customHeight="1">
      <c r="I88" s="1"/>
      <c r="N88" s="1"/>
      <c r="P88" s="1"/>
      <c r="Q88" s="1"/>
    </row>
    <row r="89" ht="15.75" customHeight="1">
      <c r="I89" s="1"/>
      <c r="N89" s="1"/>
      <c r="P89" s="1"/>
      <c r="Q89" s="1"/>
    </row>
    <row r="90" ht="15.75" customHeight="1">
      <c r="I90" s="1"/>
      <c r="N90" s="1"/>
      <c r="P90" s="1"/>
      <c r="Q90" s="1"/>
    </row>
    <row r="91" ht="15.75" customHeight="1">
      <c r="I91" s="1"/>
      <c r="N91" s="1"/>
      <c r="P91" s="1"/>
      <c r="Q91" s="1"/>
    </row>
    <row r="92" ht="15.75" customHeight="1">
      <c r="I92" s="1"/>
      <c r="N92" s="1"/>
      <c r="P92" s="1"/>
      <c r="Q92" s="1"/>
    </row>
    <row r="93" ht="15.75" customHeight="1">
      <c r="I93" s="1"/>
      <c r="N93" s="1"/>
      <c r="P93" s="1"/>
      <c r="Q93" s="1"/>
    </row>
    <row r="94" ht="15.75" customHeight="1">
      <c r="I94" s="1"/>
      <c r="N94" s="1"/>
      <c r="P94" s="1"/>
      <c r="Q94" s="1"/>
    </row>
    <row r="95" ht="15.75" customHeight="1">
      <c r="I95" s="1"/>
      <c r="N95" s="1"/>
      <c r="P95" s="1"/>
      <c r="Q95" s="1"/>
    </row>
    <row r="96" ht="15.75" customHeight="1">
      <c r="I96" s="1"/>
      <c r="N96" s="1"/>
      <c r="P96" s="1"/>
      <c r="Q96" s="1"/>
    </row>
    <row r="97" ht="15.75" customHeight="1">
      <c r="I97" s="1"/>
      <c r="N97" s="1"/>
      <c r="P97" s="1"/>
      <c r="Q97" s="1"/>
    </row>
    <row r="98" ht="15.75" customHeight="1">
      <c r="I98" s="1"/>
      <c r="N98" s="1"/>
      <c r="P98" s="1"/>
      <c r="Q98" s="1"/>
    </row>
    <row r="99" ht="15.75" customHeight="1">
      <c r="I99" s="1"/>
      <c r="N99" s="1"/>
      <c r="P99" s="1"/>
      <c r="Q99" s="1"/>
    </row>
    <row r="100" ht="15.75" customHeight="1">
      <c r="I100" s="1"/>
      <c r="N100" s="1"/>
      <c r="P100" s="1"/>
      <c r="Q100" s="1"/>
    </row>
    <row r="101" ht="15.75" customHeight="1">
      <c r="I101" s="1"/>
      <c r="N101" s="1"/>
      <c r="P101" s="1"/>
      <c r="Q101" s="1"/>
    </row>
    <row r="102" ht="15.75" customHeight="1">
      <c r="I102" s="1"/>
      <c r="N102" s="1"/>
      <c r="P102" s="1"/>
      <c r="Q102" s="1"/>
    </row>
    <row r="103" ht="15.75" customHeight="1">
      <c r="I103" s="1"/>
      <c r="N103" s="1"/>
      <c r="P103" s="1"/>
      <c r="Q103" s="1"/>
    </row>
    <row r="104" ht="15.75" customHeight="1">
      <c r="I104" s="1"/>
      <c r="N104" s="1"/>
      <c r="P104" s="1"/>
      <c r="Q104" s="1"/>
    </row>
    <row r="105" ht="15.75" customHeight="1">
      <c r="I105" s="1"/>
      <c r="N105" s="1"/>
      <c r="P105" s="1"/>
      <c r="Q105" s="1"/>
    </row>
    <row r="106" ht="15.75" customHeight="1">
      <c r="I106" s="1"/>
      <c r="N106" s="1"/>
      <c r="P106" s="1"/>
      <c r="Q106" s="1"/>
    </row>
    <row r="107" ht="15.75" customHeight="1">
      <c r="I107" s="1"/>
      <c r="N107" s="1"/>
      <c r="P107" s="1"/>
      <c r="Q107" s="1"/>
    </row>
    <row r="108" ht="15.75" customHeight="1">
      <c r="I108" s="1"/>
      <c r="N108" s="1"/>
      <c r="P108" s="1"/>
      <c r="Q108" s="1"/>
    </row>
    <row r="109" ht="15.75" customHeight="1">
      <c r="I109" s="1"/>
      <c r="N109" s="1"/>
      <c r="P109" s="1"/>
      <c r="Q109" s="1"/>
    </row>
    <row r="110" ht="15.75" customHeight="1">
      <c r="I110" s="1"/>
      <c r="N110" s="1"/>
      <c r="P110" s="1"/>
      <c r="Q110" s="1"/>
    </row>
    <row r="111" ht="15.75" customHeight="1">
      <c r="I111" s="1"/>
      <c r="N111" s="1"/>
      <c r="P111" s="1"/>
      <c r="Q111" s="1"/>
    </row>
    <row r="112" ht="15.75" customHeight="1">
      <c r="I112" s="1"/>
      <c r="N112" s="1"/>
      <c r="P112" s="1"/>
      <c r="Q112" s="1"/>
    </row>
    <row r="113" ht="15.75" customHeight="1">
      <c r="I113" s="1"/>
      <c r="N113" s="1"/>
      <c r="P113" s="1"/>
      <c r="Q113" s="1"/>
    </row>
    <row r="114" ht="15.75" customHeight="1">
      <c r="I114" s="1"/>
      <c r="N114" s="1"/>
      <c r="P114" s="1"/>
      <c r="Q114" s="1"/>
    </row>
    <row r="115" ht="15.75" customHeight="1">
      <c r="I115" s="1"/>
      <c r="N115" s="1"/>
      <c r="P115" s="1"/>
      <c r="Q115" s="1"/>
    </row>
    <row r="116" ht="15.75" customHeight="1">
      <c r="I116" s="1"/>
      <c r="N116" s="1"/>
      <c r="P116" s="1"/>
      <c r="Q116" s="1"/>
    </row>
    <row r="117" ht="15.75" customHeight="1">
      <c r="I117" s="1"/>
      <c r="N117" s="1"/>
      <c r="P117" s="1"/>
      <c r="Q117" s="1"/>
    </row>
    <row r="118" ht="15.75" customHeight="1">
      <c r="I118" s="1"/>
      <c r="N118" s="1"/>
      <c r="P118" s="1"/>
      <c r="Q118" s="1"/>
    </row>
    <row r="119" ht="15.75" customHeight="1">
      <c r="I119" s="1"/>
      <c r="N119" s="1"/>
      <c r="P119" s="1"/>
      <c r="Q119" s="1"/>
    </row>
    <row r="120" ht="15.75" customHeight="1">
      <c r="I120" s="1"/>
      <c r="N120" s="1"/>
      <c r="P120" s="1"/>
      <c r="Q120" s="1"/>
    </row>
    <row r="121" ht="15.75" customHeight="1">
      <c r="I121" s="1"/>
      <c r="N121" s="1"/>
      <c r="P121" s="1"/>
      <c r="Q121" s="1"/>
    </row>
    <row r="122" ht="15.75" customHeight="1">
      <c r="I122" s="1"/>
      <c r="N122" s="1"/>
      <c r="P122" s="1"/>
      <c r="Q122" s="1"/>
    </row>
    <row r="123" ht="15.75" customHeight="1">
      <c r="I123" s="1"/>
      <c r="N123" s="1"/>
      <c r="P123" s="1"/>
      <c r="Q123" s="1"/>
    </row>
    <row r="124" ht="15.75" customHeight="1">
      <c r="I124" s="1"/>
      <c r="N124" s="1"/>
      <c r="P124" s="1"/>
      <c r="Q124" s="1"/>
    </row>
    <row r="125" ht="15.75" customHeight="1">
      <c r="I125" s="1"/>
      <c r="N125" s="1"/>
      <c r="P125" s="1"/>
      <c r="Q125" s="1"/>
    </row>
    <row r="126" ht="15.75" customHeight="1">
      <c r="I126" s="1"/>
      <c r="N126" s="1"/>
      <c r="P126" s="1"/>
      <c r="Q126" s="1"/>
    </row>
    <row r="127" ht="15.75" customHeight="1">
      <c r="I127" s="1"/>
      <c r="N127" s="1"/>
      <c r="P127" s="1"/>
      <c r="Q127" s="1"/>
    </row>
    <row r="128" ht="15.75" customHeight="1">
      <c r="I128" s="1"/>
      <c r="N128" s="1"/>
      <c r="P128" s="1"/>
      <c r="Q128" s="1"/>
    </row>
    <row r="129" ht="15.75" customHeight="1">
      <c r="I129" s="1"/>
      <c r="N129" s="1"/>
      <c r="P129" s="1"/>
      <c r="Q129" s="1"/>
    </row>
    <row r="130" ht="15.75" customHeight="1">
      <c r="I130" s="1"/>
      <c r="N130" s="1"/>
      <c r="P130" s="1"/>
      <c r="Q130" s="1"/>
    </row>
    <row r="131" ht="15.75" customHeight="1">
      <c r="I131" s="1"/>
      <c r="N131" s="1"/>
      <c r="P131" s="1"/>
      <c r="Q131" s="1"/>
    </row>
    <row r="132" ht="15.75" customHeight="1">
      <c r="I132" s="1"/>
      <c r="N132" s="1"/>
      <c r="P132" s="1"/>
      <c r="Q132" s="1"/>
    </row>
    <row r="133" ht="15.75" customHeight="1">
      <c r="I133" s="1"/>
      <c r="N133" s="1"/>
      <c r="P133" s="1"/>
      <c r="Q133" s="1"/>
    </row>
    <row r="134" ht="15.75" customHeight="1">
      <c r="I134" s="1"/>
      <c r="N134" s="1"/>
      <c r="P134" s="1"/>
      <c r="Q134" s="1"/>
    </row>
    <row r="135" ht="15.75" customHeight="1">
      <c r="I135" s="1"/>
      <c r="N135" s="1"/>
      <c r="P135" s="1"/>
      <c r="Q135" s="1"/>
    </row>
    <row r="136" ht="15.75" customHeight="1">
      <c r="I136" s="1"/>
      <c r="N136" s="1"/>
      <c r="P136" s="1"/>
      <c r="Q136" s="1"/>
    </row>
    <row r="137" ht="15.75" customHeight="1">
      <c r="I137" s="1"/>
      <c r="N137" s="1"/>
      <c r="P137" s="1"/>
      <c r="Q137" s="1"/>
    </row>
    <row r="138" ht="15.75" customHeight="1">
      <c r="I138" s="1"/>
      <c r="N138" s="1"/>
      <c r="P138" s="1"/>
      <c r="Q138" s="1"/>
    </row>
    <row r="139" ht="15.75" customHeight="1">
      <c r="I139" s="1"/>
      <c r="N139" s="1"/>
      <c r="P139" s="1"/>
      <c r="Q139" s="1"/>
    </row>
    <row r="140" ht="15.75" customHeight="1">
      <c r="I140" s="1"/>
      <c r="N140" s="1"/>
      <c r="P140" s="1"/>
      <c r="Q140" s="1"/>
    </row>
    <row r="141" ht="15.75" customHeight="1">
      <c r="I141" s="1"/>
      <c r="N141" s="1"/>
      <c r="P141" s="1"/>
      <c r="Q141" s="1"/>
    </row>
    <row r="142" ht="15.75" customHeight="1">
      <c r="I142" s="1"/>
      <c r="N142" s="1"/>
      <c r="P142" s="1"/>
      <c r="Q142" s="1"/>
    </row>
    <row r="143" ht="15.75" customHeight="1">
      <c r="I143" s="1"/>
      <c r="N143" s="1"/>
      <c r="P143" s="1"/>
      <c r="Q143" s="1"/>
    </row>
    <row r="144" ht="15.75" customHeight="1">
      <c r="I144" s="1"/>
      <c r="N144" s="1"/>
      <c r="P144" s="1"/>
      <c r="Q144" s="1"/>
    </row>
    <row r="145" ht="15.75" customHeight="1">
      <c r="I145" s="1"/>
      <c r="N145" s="1"/>
      <c r="P145" s="1"/>
      <c r="Q145" s="1"/>
    </row>
    <row r="146" ht="15.75" customHeight="1">
      <c r="I146" s="1"/>
      <c r="N146" s="1"/>
      <c r="P146" s="1"/>
      <c r="Q146" s="1"/>
    </row>
    <row r="147" ht="15.75" customHeight="1">
      <c r="I147" s="1"/>
      <c r="N147" s="1"/>
      <c r="P147" s="1"/>
      <c r="Q147" s="1"/>
    </row>
    <row r="148" ht="15.75" customHeight="1">
      <c r="I148" s="1"/>
      <c r="N148" s="1"/>
      <c r="P148" s="1"/>
      <c r="Q148" s="1"/>
    </row>
    <row r="149" ht="15.75" customHeight="1">
      <c r="I149" s="1"/>
      <c r="N149" s="1"/>
      <c r="P149" s="1"/>
      <c r="Q149" s="1"/>
    </row>
    <row r="150" ht="15.75" customHeight="1">
      <c r="I150" s="1"/>
      <c r="N150" s="1"/>
      <c r="P150" s="1"/>
      <c r="Q150" s="1"/>
    </row>
    <row r="151" ht="15.75" customHeight="1">
      <c r="I151" s="1"/>
      <c r="N151" s="1"/>
      <c r="P151" s="1"/>
      <c r="Q151" s="1"/>
    </row>
    <row r="152" ht="15.75" customHeight="1">
      <c r="I152" s="1"/>
      <c r="N152" s="1"/>
      <c r="P152" s="1"/>
      <c r="Q152" s="1"/>
    </row>
    <row r="153" ht="15.75" customHeight="1">
      <c r="I153" s="1"/>
      <c r="N153" s="1"/>
      <c r="P153" s="1"/>
      <c r="Q153" s="1"/>
    </row>
    <row r="154" ht="15.75" customHeight="1">
      <c r="I154" s="1"/>
      <c r="N154" s="1"/>
      <c r="P154" s="1"/>
      <c r="Q154" s="1"/>
    </row>
    <row r="155" ht="15.75" customHeight="1">
      <c r="I155" s="1"/>
      <c r="N155" s="1"/>
      <c r="P155" s="1"/>
      <c r="Q155" s="1"/>
    </row>
    <row r="156" ht="15.75" customHeight="1">
      <c r="I156" s="1"/>
      <c r="N156" s="1"/>
      <c r="P156" s="1"/>
      <c r="Q156" s="1"/>
    </row>
    <row r="157" ht="15.75" customHeight="1">
      <c r="I157" s="1"/>
      <c r="N157" s="1"/>
      <c r="P157" s="1"/>
      <c r="Q157" s="1"/>
    </row>
    <row r="158" ht="15.75" customHeight="1">
      <c r="I158" s="1"/>
      <c r="N158" s="1"/>
      <c r="P158" s="1"/>
      <c r="Q158" s="1"/>
    </row>
    <row r="159" ht="15.75" customHeight="1">
      <c r="I159" s="1"/>
      <c r="N159" s="1"/>
      <c r="P159" s="1"/>
      <c r="Q159" s="1"/>
    </row>
    <row r="160" ht="15.75" customHeight="1">
      <c r="I160" s="1"/>
      <c r="N160" s="1"/>
      <c r="P160" s="1"/>
      <c r="Q160" s="1"/>
    </row>
    <row r="161" ht="15.75" customHeight="1">
      <c r="I161" s="1"/>
      <c r="N161" s="1"/>
      <c r="P161" s="1"/>
      <c r="Q161" s="1"/>
    </row>
    <row r="162" ht="15.75" customHeight="1">
      <c r="I162" s="1"/>
      <c r="N162" s="1"/>
      <c r="P162" s="1"/>
      <c r="Q162" s="1"/>
    </row>
    <row r="163" ht="15.75" customHeight="1">
      <c r="I163" s="1"/>
      <c r="N163" s="1"/>
      <c r="P163" s="1"/>
      <c r="Q163" s="1"/>
    </row>
    <row r="164" ht="15.75" customHeight="1">
      <c r="I164" s="1"/>
      <c r="N164" s="1"/>
      <c r="P164" s="1"/>
      <c r="Q164" s="1"/>
    </row>
    <row r="165" ht="15.75" customHeight="1">
      <c r="I165" s="1"/>
      <c r="N165" s="1"/>
      <c r="P165" s="1"/>
      <c r="Q165" s="1"/>
    </row>
    <row r="166" ht="15.75" customHeight="1">
      <c r="I166" s="1"/>
      <c r="N166" s="1"/>
      <c r="P166" s="1"/>
      <c r="Q166" s="1"/>
    </row>
    <row r="167" ht="15.75" customHeight="1">
      <c r="I167" s="1"/>
      <c r="N167" s="1"/>
      <c r="P167" s="1"/>
      <c r="Q167" s="1"/>
    </row>
    <row r="168" ht="15.75" customHeight="1">
      <c r="I168" s="1"/>
      <c r="N168" s="1"/>
      <c r="P168" s="1"/>
      <c r="Q168" s="1"/>
    </row>
    <row r="169" ht="15.75" customHeight="1">
      <c r="I169" s="1"/>
      <c r="N169" s="1"/>
      <c r="P169" s="1"/>
      <c r="Q169" s="1"/>
    </row>
    <row r="170" ht="15.75" customHeight="1">
      <c r="I170" s="1"/>
      <c r="N170" s="1"/>
      <c r="P170" s="1"/>
      <c r="Q170" s="1"/>
    </row>
    <row r="171" ht="15.75" customHeight="1">
      <c r="I171" s="1"/>
      <c r="N171" s="1"/>
      <c r="P171" s="1"/>
      <c r="Q171" s="1"/>
    </row>
    <row r="172" ht="15.75" customHeight="1">
      <c r="I172" s="1"/>
      <c r="N172" s="1"/>
      <c r="P172" s="1"/>
      <c r="Q172" s="1"/>
    </row>
    <row r="173" ht="15.75" customHeight="1">
      <c r="I173" s="1"/>
      <c r="N173" s="1"/>
      <c r="P173" s="1"/>
      <c r="Q173" s="1"/>
    </row>
    <row r="174" ht="15.75" customHeight="1">
      <c r="I174" s="1"/>
      <c r="N174" s="1"/>
      <c r="P174" s="1"/>
      <c r="Q174" s="1"/>
    </row>
    <row r="175" ht="15.75" customHeight="1">
      <c r="I175" s="1"/>
      <c r="N175" s="1"/>
      <c r="P175" s="1"/>
      <c r="Q175" s="1"/>
    </row>
    <row r="176" ht="15.75" customHeight="1">
      <c r="I176" s="1"/>
      <c r="N176" s="1"/>
      <c r="P176" s="1"/>
      <c r="Q176" s="1"/>
    </row>
    <row r="177" ht="15.75" customHeight="1">
      <c r="I177" s="1"/>
      <c r="N177" s="1"/>
      <c r="P177" s="1"/>
      <c r="Q177" s="1"/>
    </row>
    <row r="178" ht="15.75" customHeight="1">
      <c r="I178" s="1"/>
      <c r="N178" s="1"/>
      <c r="P178" s="1"/>
      <c r="Q178" s="1"/>
    </row>
    <row r="179" ht="15.75" customHeight="1">
      <c r="I179" s="1"/>
      <c r="N179" s="1"/>
      <c r="P179" s="1"/>
      <c r="Q179" s="1"/>
    </row>
    <row r="180" ht="15.75" customHeight="1">
      <c r="I180" s="1"/>
      <c r="N180" s="1"/>
      <c r="P180" s="1"/>
      <c r="Q180" s="1"/>
    </row>
    <row r="181" ht="15.75" customHeight="1">
      <c r="I181" s="1"/>
      <c r="N181" s="1"/>
      <c r="P181" s="1"/>
      <c r="Q181" s="1"/>
    </row>
    <row r="182" ht="15.75" customHeight="1">
      <c r="I182" s="1"/>
      <c r="N182" s="1"/>
      <c r="P182" s="1"/>
      <c r="Q182" s="1"/>
    </row>
    <row r="183" ht="15.75" customHeight="1">
      <c r="I183" s="1"/>
      <c r="N183" s="1"/>
      <c r="P183" s="1"/>
      <c r="Q183" s="1"/>
    </row>
    <row r="184" ht="15.75" customHeight="1">
      <c r="I184" s="1"/>
      <c r="N184" s="1"/>
      <c r="P184" s="1"/>
      <c r="Q184" s="1"/>
    </row>
    <row r="185" ht="15.75" customHeight="1">
      <c r="I185" s="1"/>
      <c r="N185" s="1"/>
      <c r="P185" s="1"/>
      <c r="Q185" s="1"/>
    </row>
    <row r="186" ht="15.75" customHeight="1">
      <c r="I186" s="1"/>
      <c r="N186" s="1"/>
      <c r="P186" s="1"/>
      <c r="Q186" s="1"/>
    </row>
    <row r="187" ht="15.75" customHeight="1">
      <c r="I187" s="1"/>
      <c r="N187" s="1"/>
      <c r="P187" s="1"/>
      <c r="Q187" s="1"/>
    </row>
    <row r="188" ht="15.75" customHeight="1">
      <c r="I188" s="1"/>
      <c r="N188" s="1"/>
      <c r="P188" s="1"/>
      <c r="Q188" s="1"/>
    </row>
    <row r="189" ht="15.75" customHeight="1">
      <c r="I189" s="1"/>
      <c r="N189" s="1"/>
      <c r="P189" s="1"/>
      <c r="Q189" s="1"/>
    </row>
    <row r="190" ht="15.75" customHeight="1">
      <c r="I190" s="1"/>
      <c r="N190" s="1"/>
      <c r="P190" s="1"/>
      <c r="Q190" s="1"/>
    </row>
    <row r="191" ht="15.75" customHeight="1">
      <c r="I191" s="1"/>
      <c r="N191" s="1"/>
      <c r="P191" s="1"/>
      <c r="Q191" s="1"/>
    </row>
    <row r="192" ht="15.75" customHeight="1">
      <c r="I192" s="1"/>
      <c r="N192" s="1"/>
      <c r="P192" s="1"/>
      <c r="Q192" s="1"/>
    </row>
    <row r="193" ht="15.75" customHeight="1">
      <c r="I193" s="1"/>
      <c r="N193" s="1"/>
      <c r="P193" s="1"/>
      <c r="Q193" s="1"/>
    </row>
    <row r="194" ht="15.75" customHeight="1">
      <c r="I194" s="1"/>
      <c r="N194" s="1"/>
      <c r="P194" s="1"/>
      <c r="Q194" s="1"/>
    </row>
    <row r="195" ht="15.75" customHeight="1">
      <c r="I195" s="1"/>
      <c r="N195" s="1"/>
      <c r="P195" s="1"/>
      <c r="Q195" s="1"/>
    </row>
    <row r="196" ht="15.75" customHeight="1">
      <c r="I196" s="1"/>
      <c r="N196" s="1"/>
      <c r="P196" s="1"/>
      <c r="Q196" s="1"/>
    </row>
    <row r="197" ht="15.75" customHeight="1">
      <c r="I197" s="1"/>
      <c r="N197" s="1"/>
      <c r="P197" s="1"/>
      <c r="Q197" s="1"/>
    </row>
    <row r="198" ht="15.75" customHeight="1">
      <c r="I198" s="1"/>
      <c r="N198" s="1"/>
      <c r="P198" s="1"/>
      <c r="Q198" s="1"/>
    </row>
    <row r="199" ht="15.75" customHeight="1">
      <c r="I199" s="1"/>
      <c r="N199" s="1"/>
      <c r="P199" s="1"/>
      <c r="Q199" s="1"/>
    </row>
    <row r="200" ht="15.75" customHeight="1">
      <c r="I200" s="1"/>
      <c r="N200" s="1"/>
      <c r="P200" s="1"/>
      <c r="Q200" s="1"/>
    </row>
    <row r="201" ht="15.75" customHeight="1">
      <c r="I201" s="1"/>
      <c r="N201" s="1"/>
      <c r="P201" s="1"/>
      <c r="Q201" s="1"/>
    </row>
    <row r="202" ht="15.75" customHeight="1">
      <c r="I202" s="1"/>
      <c r="N202" s="1"/>
      <c r="P202" s="1"/>
      <c r="Q202" s="1"/>
    </row>
    <row r="203" ht="15.75" customHeight="1">
      <c r="I203" s="1"/>
      <c r="N203" s="1"/>
      <c r="P203" s="1"/>
      <c r="Q203" s="1"/>
    </row>
    <row r="204" ht="15.75" customHeight="1">
      <c r="I204" s="1"/>
      <c r="N204" s="1"/>
      <c r="P204" s="1"/>
      <c r="Q204" s="1"/>
    </row>
    <row r="205" ht="15.75" customHeight="1">
      <c r="I205" s="1"/>
      <c r="N205" s="1"/>
      <c r="P205" s="1"/>
      <c r="Q205" s="1"/>
    </row>
    <row r="206" ht="15.75" customHeight="1">
      <c r="I206" s="1"/>
      <c r="N206" s="1"/>
      <c r="P206" s="1"/>
      <c r="Q206" s="1"/>
    </row>
    <row r="207" ht="15.75" customHeight="1">
      <c r="I207" s="1"/>
      <c r="N207" s="1"/>
      <c r="P207" s="1"/>
      <c r="Q207" s="1"/>
    </row>
    <row r="208" ht="15.75" customHeight="1">
      <c r="I208" s="1"/>
      <c r="N208" s="1"/>
      <c r="P208" s="1"/>
      <c r="Q208" s="1"/>
    </row>
    <row r="209" ht="15.75" customHeight="1">
      <c r="I209" s="1"/>
      <c r="N209" s="1"/>
      <c r="P209" s="1"/>
      <c r="Q209" s="1"/>
    </row>
    <row r="210" ht="15.75" customHeight="1">
      <c r="I210" s="1"/>
      <c r="N210" s="1"/>
      <c r="P210" s="1"/>
      <c r="Q210" s="1"/>
    </row>
    <row r="211" ht="15.75" customHeight="1">
      <c r="I211" s="1"/>
      <c r="N211" s="1"/>
      <c r="P211" s="1"/>
      <c r="Q211" s="1"/>
    </row>
    <row r="212" ht="15.75" customHeight="1">
      <c r="I212" s="1"/>
      <c r="N212" s="1"/>
      <c r="P212" s="1"/>
      <c r="Q212" s="1"/>
    </row>
    <row r="213" ht="15.75" customHeight="1">
      <c r="I213" s="1"/>
      <c r="N213" s="1"/>
      <c r="P213" s="1"/>
      <c r="Q213" s="1"/>
    </row>
    <row r="214" ht="15.75" customHeight="1">
      <c r="I214" s="1"/>
      <c r="N214" s="1"/>
      <c r="P214" s="1"/>
      <c r="Q214" s="1"/>
    </row>
    <row r="215" ht="15.75" customHeight="1">
      <c r="I215" s="1"/>
      <c r="N215" s="1"/>
      <c r="P215" s="1"/>
      <c r="Q215" s="1"/>
    </row>
    <row r="216" ht="15.75" customHeight="1">
      <c r="I216" s="1"/>
      <c r="N216" s="1"/>
      <c r="P216" s="1"/>
      <c r="Q216" s="1"/>
    </row>
    <row r="217" ht="15.75" customHeight="1">
      <c r="I217" s="1"/>
      <c r="N217" s="1"/>
      <c r="P217" s="1"/>
      <c r="Q217" s="1"/>
    </row>
    <row r="218" ht="15.75" customHeight="1">
      <c r="I218" s="1"/>
      <c r="N218" s="1"/>
      <c r="P218" s="1"/>
      <c r="Q218" s="1"/>
    </row>
    <row r="219" ht="15.75" customHeight="1">
      <c r="I219" s="1"/>
      <c r="N219" s="1"/>
      <c r="P219" s="1"/>
      <c r="Q219" s="1"/>
    </row>
    <row r="220" ht="15.75" customHeight="1">
      <c r="I220" s="1"/>
      <c r="N220" s="1"/>
      <c r="P220" s="1"/>
      <c r="Q220" s="1"/>
    </row>
    <row r="221" ht="15.75" customHeight="1">
      <c r="I221" s="1"/>
      <c r="N221" s="1"/>
      <c r="P221" s="1"/>
      <c r="Q221" s="1"/>
    </row>
    <row r="222" ht="15.75" customHeight="1">
      <c r="I222" s="1"/>
      <c r="N222" s="1"/>
      <c r="P222" s="1"/>
      <c r="Q222" s="1"/>
    </row>
    <row r="223" ht="15.75" customHeight="1">
      <c r="I223" s="1"/>
      <c r="N223" s="1"/>
      <c r="P223" s="1"/>
      <c r="Q223" s="1"/>
    </row>
    <row r="224" ht="15.75" customHeight="1">
      <c r="I224" s="1"/>
      <c r="N224" s="1"/>
      <c r="P224" s="1"/>
      <c r="Q224" s="1"/>
    </row>
    <row r="225" ht="15.75" customHeight="1">
      <c r="I225" s="1"/>
      <c r="N225" s="1"/>
      <c r="P225" s="1"/>
      <c r="Q225" s="1"/>
    </row>
    <row r="226" ht="15.75" customHeight="1">
      <c r="I226" s="1"/>
      <c r="N226" s="1"/>
      <c r="P226" s="1"/>
      <c r="Q226" s="1"/>
    </row>
    <row r="227" ht="15.75" customHeight="1">
      <c r="I227" s="1"/>
      <c r="N227" s="1"/>
      <c r="P227" s="1"/>
      <c r="Q227" s="1"/>
    </row>
    <row r="228" ht="15.75" customHeight="1">
      <c r="I228" s="1"/>
      <c r="N228" s="1"/>
      <c r="P228" s="1"/>
      <c r="Q228" s="1"/>
    </row>
    <row r="229" ht="15.75" customHeight="1">
      <c r="I229" s="1"/>
      <c r="N229" s="1"/>
      <c r="P229" s="1"/>
      <c r="Q229" s="1"/>
    </row>
    <row r="230" ht="15.75" customHeight="1">
      <c r="I230" s="1"/>
      <c r="N230" s="1"/>
      <c r="P230" s="1"/>
      <c r="Q230" s="1"/>
    </row>
    <row r="231" ht="15.75" customHeight="1">
      <c r="I231" s="1"/>
      <c r="N231" s="1"/>
      <c r="P231" s="1"/>
      <c r="Q231" s="1"/>
    </row>
    <row r="232" ht="15.75" customHeight="1">
      <c r="I232" s="1"/>
      <c r="N232" s="1"/>
      <c r="P232" s="1"/>
      <c r="Q232" s="1"/>
    </row>
    <row r="233" ht="15.75" customHeight="1">
      <c r="I233" s="1"/>
      <c r="N233" s="1"/>
      <c r="P233" s="1"/>
      <c r="Q233" s="1"/>
    </row>
    <row r="234" ht="15.75" customHeight="1">
      <c r="I234" s="1"/>
      <c r="N234" s="1"/>
      <c r="P234" s="1"/>
      <c r="Q234" s="1"/>
    </row>
    <row r="235" ht="15.75" customHeight="1">
      <c r="I235" s="1"/>
      <c r="N235" s="1"/>
      <c r="P235" s="1"/>
      <c r="Q235" s="1"/>
    </row>
    <row r="236" ht="15.75" customHeight="1">
      <c r="I236" s="1"/>
      <c r="N236" s="1"/>
      <c r="P236" s="1"/>
      <c r="Q236" s="1"/>
    </row>
    <row r="237" ht="15.75" customHeight="1">
      <c r="I237" s="1"/>
      <c r="N237" s="1"/>
      <c r="P237" s="1"/>
      <c r="Q237" s="1"/>
    </row>
    <row r="238" ht="15.75" customHeight="1">
      <c r="I238" s="1"/>
      <c r="N238" s="1"/>
      <c r="P238" s="1"/>
      <c r="Q238" s="1"/>
    </row>
    <row r="239" ht="15.75" customHeight="1">
      <c r="I239" s="1"/>
      <c r="N239" s="1"/>
      <c r="P239" s="1"/>
      <c r="Q239" s="1"/>
    </row>
    <row r="240" ht="15.75" customHeight="1">
      <c r="I240" s="1"/>
      <c r="N240" s="1"/>
      <c r="P240" s="1"/>
      <c r="Q240" s="1"/>
    </row>
    <row r="241" ht="15.75" customHeight="1">
      <c r="I241" s="1"/>
      <c r="N241" s="1"/>
      <c r="P241" s="1"/>
      <c r="Q241" s="1"/>
    </row>
    <row r="242" ht="15.75" customHeight="1">
      <c r="I242" s="1"/>
      <c r="N242" s="1"/>
      <c r="P242" s="1"/>
      <c r="Q242" s="1"/>
    </row>
    <row r="243" ht="15.75" customHeight="1">
      <c r="I243" s="1"/>
      <c r="N243" s="1"/>
      <c r="P243" s="1"/>
      <c r="Q243" s="1"/>
    </row>
    <row r="244" ht="15.75" customHeight="1">
      <c r="I244" s="1"/>
      <c r="N244" s="1"/>
      <c r="P244" s="1"/>
      <c r="Q244" s="1"/>
    </row>
    <row r="245" ht="15.75" customHeight="1">
      <c r="I245" s="1"/>
      <c r="N245" s="1"/>
      <c r="P245" s="1"/>
      <c r="Q245" s="1"/>
    </row>
    <row r="246" ht="15.75" customHeight="1">
      <c r="I246" s="1"/>
      <c r="N246" s="1"/>
      <c r="P246" s="1"/>
      <c r="Q246" s="1"/>
    </row>
    <row r="247" ht="15.75" customHeight="1">
      <c r="I247" s="1"/>
      <c r="N247" s="1"/>
      <c r="P247" s="1"/>
      <c r="Q247" s="1"/>
    </row>
    <row r="248" ht="15.75" customHeight="1">
      <c r="I248" s="1"/>
      <c r="N248" s="1"/>
      <c r="P248" s="1"/>
      <c r="Q248" s="1"/>
    </row>
    <row r="249" ht="15.75" customHeight="1">
      <c r="I249" s="1"/>
      <c r="N249" s="1"/>
      <c r="P249" s="1"/>
      <c r="Q249" s="1"/>
    </row>
    <row r="250" ht="15.75" customHeight="1">
      <c r="I250" s="1"/>
      <c r="N250" s="1"/>
      <c r="P250" s="1"/>
      <c r="Q250" s="1"/>
    </row>
    <row r="251" ht="15.75" customHeight="1">
      <c r="I251" s="1"/>
      <c r="N251" s="1"/>
      <c r="P251" s="1"/>
      <c r="Q251" s="1"/>
    </row>
    <row r="252" ht="15.75" customHeight="1">
      <c r="I252" s="1"/>
      <c r="N252" s="1"/>
      <c r="P252" s="1"/>
      <c r="Q252" s="1"/>
    </row>
    <row r="253" ht="15.75" customHeight="1">
      <c r="I253" s="1"/>
      <c r="N253" s="1"/>
      <c r="P253" s="1"/>
      <c r="Q253" s="1"/>
    </row>
    <row r="254" ht="15.75" customHeight="1">
      <c r="I254" s="1"/>
      <c r="N254" s="1"/>
      <c r="P254" s="1"/>
      <c r="Q254" s="1"/>
    </row>
    <row r="255" ht="15.75" customHeight="1">
      <c r="I255" s="1"/>
      <c r="N255" s="1"/>
      <c r="P255" s="1"/>
      <c r="Q255" s="1"/>
    </row>
    <row r="256" ht="15.75" customHeight="1">
      <c r="I256" s="1"/>
      <c r="N256" s="1"/>
      <c r="P256" s="1"/>
      <c r="Q256" s="1"/>
    </row>
    <row r="257" ht="15.75" customHeight="1">
      <c r="I257" s="1"/>
      <c r="N257" s="1"/>
      <c r="P257" s="1"/>
      <c r="Q257" s="1"/>
    </row>
    <row r="258" ht="15.75" customHeight="1">
      <c r="I258" s="1"/>
      <c r="N258" s="1"/>
      <c r="P258" s="1"/>
      <c r="Q258" s="1"/>
    </row>
    <row r="259" ht="15.75" customHeight="1">
      <c r="I259" s="1"/>
      <c r="N259" s="1"/>
      <c r="P259" s="1"/>
      <c r="Q259" s="1"/>
    </row>
    <row r="260" ht="15.75" customHeight="1">
      <c r="I260" s="1"/>
      <c r="N260" s="1"/>
      <c r="P260" s="1"/>
      <c r="Q260" s="1"/>
    </row>
    <row r="261" ht="15.75" customHeight="1">
      <c r="I261" s="1"/>
      <c r="N261" s="1"/>
      <c r="P261" s="1"/>
      <c r="Q261" s="1"/>
    </row>
    <row r="262" ht="15.75" customHeight="1">
      <c r="I262" s="1"/>
      <c r="N262" s="1"/>
      <c r="P262" s="1"/>
      <c r="Q262" s="1"/>
    </row>
    <row r="263" ht="15.75" customHeight="1">
      <c r="I263" s="1"/>
      <c r="N263" s="1"/>
      <c r="P263" s="1"/>
      <c r="Q263" s="1"/>
    </row>
    <row r="264" ht="15.75" customHeight="1">
      <c r="I264" s="1"/>
      <c r="N264" s="1"/>
      <c r="P264" s="1"/>
      <c r="Q264" s="1"/>
    </row>
    <row r="265" ht="15.75" customHeight="1">
      <c r="I265" s="1"/>
      <c r="N265" s="1"/>
      <c r="P265" s="1"/>
      <c r="Q265" s="1"/>
    </row>
    <row r="266" ht="15.75" customHeight="1">
      <c r="I266" s="1"/>
      <c r="N266" s="1"/>
      <c r="P266" s="1"/>
      <c r="Q266" s="1"/>
    </row>
    <row r="267" ht="15.75" customHeight="1">
      <c r="I267" s="1"/>
      <c r="N267" s="1"/>
      <c r="P267" s="1"/>
      <c r="Q267" s="1"/>
    </row>
    <row r="268" ht="15.75" customHeight="1">
      <c r="I268" s="1"/>
      <c r="N268" s="1"/>
      <c r="P268" s="1"/>
      <c r="Q268" s="1"/>
    </row>
    <row r="269" ht="15.75" customHeight="1">
      <c r="I269" s="1"/>
      <c r="N269" s="1"/>
      <c r="P269" s="1"/>
      <c r="Q269" s="1"/>
    </row>
    <row r="270" ht="15.75" customHeight="1">
      <c r="I270" s="1"/>
      <c r="N270" s="1"/>
      <c r="P270" s="1"/>
      <c r="Q270" s="1"/>
    </row>
    <row r="271" ht="15.75" customHeight="1">
      <c r="I271" s="1"/>
      <c r="N271" s="1"/>
      <c r="P271" s="1"/>
      <c r="Q271" s="1"/>
    </row>
    <row r="272" ht="15.75" customHeight="1">
      <c r="I272" s="1"/>
      <c r="N272" s="1"/>
      <c r="P272" s="1"/>
      <c r="Q272" s="1"/>
    </row>
    <row r="273" ht="15.75" customHeight="1">
      <c r="I273" s="1"/>
      <c r="N273" s="1"/>
      <c r="P273" s="1"/>
      <c r="Q273" s="1"/>
    </row>
    <row r="274" ht="15.75" customHeight="1">
      <c r="I274" s="1"/>
      <c r="N274" s="1"/>
      <c r="P274" s="1"/>
      <c r="Q274" s="1"/>
    </row>
    <row r="275" ht="15.75" customHeight="1">
      <c r="I275" s="1"/>
      <c r="N275" s="1"/>
      <c r="P275" s="1"/>
      <c r="Q275" s="1"/>
    </row>
    <row r="276" ht="15.75" customHeight="1">
      <c r="I276" s="1"/>
      <c r="N276" s="1"/>
      <c r="P276" s="1"/>
      <c r="Q276" s="1"/>
    </row>
    <row r="277" ht="15.75" customHeight="1">
      <c r="I277" s="1"/>
      <c r="N277" s="1"/>
      <c r="P277" s="1"/>
      <c r="Q277" s="1"/>
    </row>
    <row r="278" ht="15.75" customHeight="1">
      <c r="I278" s="1"/>
      <c r="N278" s="1"/>
      <c r="P278" s="1"/>
      <c r="Q278" s="1"/>
    </row>
    <row r="279" ht="15.75" customHeight="1">
      <c r="I279" s="1"/>
      <c r="N279" s="1"/>
      <c r="P279" s="1"/>
      <c r="Q279" s="1"/>
    </row>
    <row r="280" ht="15.75" customHeight="1">
      <c r="I280" s="1"/>
      <c r="N280" s="1"/>
      <c r="P280" s="1"/>
      <c r="Q280" s="1"/>
    </row>
    <row r="281" ht="15.75" customHeight="1">
      <c r="I281" s="1"/>
      <c r="N281" s="1"/>
      <c r="P281" s="1"/>
      <c r="Q281" s="1"/>
    </row>
    <row r="282" ht="15.75" customHeight="1">
      <c r="I282" s="1"/>
      <c r="N282" s="1"/>
      <c r="P282" s="1"/>
      <c r="Q282" s="1"/>
    </row>
    <row r="283" ht="15.75" customHeight="1">
      <c r="I283" s="1"/>
      <c r="N283" s="1"/>
      <c r="P283" s="1"/>
      <c r="Q283" s="1"/>
    </row>
    <row r="284" ht="15.75" customHeight="1">
      <c r="I284" s="1"/>
      <c r="N284" s="1"/>
      <c r="P284" s="1"/>
      <c r="Q284" s="1"/>
    </row>
    <row r="285" ht="15.75" customHeight="1">
      <c r="I285" s="1"/>
      <c r="N285" s="1"/>
      <c r="P285" s="1"/>
      <c r="Q285" s="1"/>
    </row>
    <row r="286" ht="15.75" customHeight="1">
      <c r="I286" s="1"/>
      <c r="N286" s="1"/>
      <c r="P286" s="1"/>
      <c r="Q286" s="1"/>
    </row>
    <row r="287" ht="15.75" customHeight="1">
      <c r="I287" s="1"/>
      <c r="N287" s="1"/>
      <c r="P287" s="1"/>
      <c r="Q287" s="1"/>
    </row>
    <row r="288" ht="15.75" customHeight="1">
      <c r="I288" s="1"/>
      <c r="N288" s="1"/>
      <c r="P288" s="1"/>
      <c r="Q288" s="1"/>
    </row>
    <row r="289" ht="15.75" customHeight="1">
      <c r="I289" s="1"/>
      <c r="N289" s="1"/>
      <c r="P289" s="1"/>
      <c r="Q289" s="1"/>
    </row>
    <row r="290" ht="15.75" customHeight="1">
      <c r="I290" s="1"/>
      <c r="N290" s="1"/>
      <c r="P290" s="1"/>
      <c r="Q290" s="1"/>
    </row>
    <row r="291" ht="15.75" customHeight="1">
      <c r="I291" s="1"/>
      <c r="N291" s="1"/>
      <c r="P291" s="1"/>
      <c r="Q291" s="1"/>
    </row>
    <row r="292" ht="15.75" customHeight="1">
      <c r="I292" s="1"/>
      <c r="N292" s="1"/>
      <c r="P292" s="1"/>
      <c r="Q292" s="1"/>
    </row>
    <row r="293" ht="15.75" customHeight="1">
      <c r="I293" s="1"/>
      <c r="N293" s="1"/>
      <c r="P293" s="1"/>
      <c r="Q293" s="1"/>
    </row>
    <row r="294" ht="15.75" customHeight="1">
      <c r="I294" s="1"/>
      <c r="N294" s="1"/>
      <c r="P294" s="1"/>
      <c r="Q294" s="1"/>
    </row>
    <row r="295" ht="15.75" customHeight="1">
      <c r="I295" s="1"/>
      <c r="N295" s="1"/>
      <c r="P295" s="1"/>
      <c r="Q295" s="1"/>
    </row>
    <row r="296" ht="15.75" customHeight="1">
      <c r="I296" s="1"/>
      <c r="N296" s="1"/>
      <c r="P296" s="1"/>
      <c r="Q296" s="1"/>
    </row>
    <row r="297" ht="15.75" customHeight="1">
      <c r="I297" s="1"/>
      <c r="N297" s="1"/>
      <c r="P297" s="1"/>
      <c r="Q297" s="1"/>
    </row>
    <row r="298" ht="15.75" customHeight="1">
      <c r="I298" s="1"/>
      <c r="N298" s="1"/>
      <c r="P298" s="1"/>
      <c r="Q298" s="1"/>
    </row>
    <row r="299" ht="15.75" customHeight="1">
      <c r="I299" s="1"/>
      <c r="N299" s="1"/>
      <c r="P299" s="1"/>
      <c r="Q299" s="1"/>
    </row>
    <row r="300" ht="15.75" customHeight="1">
      <c r="I300" s="1"/>
      <c r="N300" s="1"/>
      <c r="P300" s="1"/>
      <c r="Q300" s="1"/>
    </row>
    <row r="301" ht="15.75" customHeight="1">
      <c r="I301" s="1"/>
      <c r="N301" s="1"/>
      <c r="P301" s="1"/>
      <c r="Q301" s="1"/>
    </row>
    <row r="302" ht="15.75" customHeight="1">
      <c r="I302" s="1"/>
      <c r="N302" s="1"/>
      <c r="P302" s="1"/>
      <c r="Q302" s="1"/>
    </row>
    <row r="303" ht="15.75" customHeight="1">
      <c r="I303" s="1"/>
      <c r="N303" s="1"/>
      <c r="P303" s="1"/>
      <c r="Q303" s="1"/>
    </row>
    <row r="304" ht="15.75" customHeight="1">
      <c r="I304" s="1"/>
      <c r="N304" s="1"/>
      <c r="P304" s="1"/>
      <c r="Q304" s="1"/>
    </row>
    <row r="305" ht="15.75" customHeight="1">
      <c r="I305" s="1"/>
      <c r="N305" s="1"/>
      <c r="P305" s="1"/>
      <c r="Q305" s="1"/>
    </row>
    <row r="306" ht="15.75" customHeight="1">
      <c r="I306" s="1"/>
      <c r="N306" s="1"/>
      <c r="P306" s="1"/>
      <c r="Q306" s="1"/>
    </row>
    <row r="307" ht="15.75" customHeight="1">
      <c r="I307" s="1"/>
      <c r="N307" s="1"/>
      <c r="P307" s="1"/>
      <c r="Q307" s="1"/>
    </row>
    <row r="308" ht="15.75" customHeight="1">
      <c r="I308" s="1"/>
      <c r="N308" s="1"/>
      <c r="P308" s="1"/>
      <c r="Q308" s="1"/>
    </row>
    <row r="309" ht="15.75" customHeight="1">
      <c r="I309" s="1"/>
      <c r="N309" s="1"/>
      <c r="P309" s="1"/>
      <c r="Q309" s="1"/>
    </row>
    <row r="310" ht="15.75" customHeight="1">
      <c r="I310" s="1"/>
      <c r="N310" s="1"/>
      <c r="P310" s="1"/>
      <c r="Q310" s="1"/>
    </row>
    <row r="311" ht="15.75" customHeight="1">
      <c r="I311" s="1"/>
      <c r="N311" s="1"/>
      <c r="P311" s="1"/>
      <c r="Q311" s="1"/>
    </row>
    <row r="312" ht="15.75" customHeight="1">
      <c r="I312" s="1"/>
      <c r="N312" s="1"/>
      <c r="P312" s="1"/>
      <c r="Q312" s="1"/>
    </row>
    <row r="313" ht="15.75" customHeight="1">
      <c r="I313" s="1"/>
      <c r="N313" s="1"/>
      <c r="P313" s="1"/>
      <c r="Q313" s="1"/>
    </row>
    <row r="314" ht="15.75" customHeight="1">
      <c r="I314" s="1"/>
      <c r="N314" s="1"/>
      <c r="P314" s="1"/>
      <c r="Q314" s="1"/>
    </row>
    <row r="315" ht="15.75" customHeight="1">
      <c r="I315" s="1"/>
      <c r="N315" s="1"/>
      <c r="P315" s="1"/>
      <c r="Q315" s="1"/>
    </row>
    <row r="316" ht="15.75" customHeight="1">
      <c r="I316" s="1"/>
      <c r="N316" s="1"/>
      <c r="P316" s="1"/>
      <c r="Q316" s="1"/>
    </row>
    <row r="317" ht="15.75" customHeight="1">
      <c r="I317" s="1"/>
      <c r="N317" s="1"/>
      <c r="P317" s="1"/>
      <c r="Q317" s="1"/>
    </row>
    <row r="318" ht="15.75" customHeight="1">
      <c r="I318" s="1"/>
      <c r="N318" s="1"/>
      <c r="P318" s="1"/>
      <c r="Q318" s="1"/>
    </row>
    <row r="319" ht="15.75" customHeight="1">
      <c r="I319" s="1"/>
      <c r="N319" s="1"/>
      <c r="P319" s="1"/>
      <c r="Q319" s="1"/>
    </row>
    <row r="320" ht="15.75" customHeight="1">
      <c r="I320" s="1"/>
      <c r="N320" s="1"/>
      <c r="P320" s="1"/>
      <c r="Q320" s="1"/>
    </row>
    <row r="321" ht="15.75" customHeight="1">
      <c r="I321" s="1"/>
      <c r="N321" s="1"/>
      <c r="P321" s="1"/>
      <c r="Q321" s="1"/>
    </row>
    <row r="322" ht="15.75" customHeight="1">
      <c r="I322" s="1"/>
      <c r="N322" s="1"/>
      <c r="P322" s="1"/>
      <c r="Q322" s="1"/>
    </row>
    <row r="323" ht="15.75" customHeight="1">
      <c r="I323" s="1"/>
      <c r="N323" s="1"/>
      <c r="P323" s="1"/>
      <c r="Q323" s="1"/>
    </row>
    <row r="324" ht="15.75" customHeight="1">
      <c r="I324" s="1"/>
      <c r="N324" s="1"/>
      <c r="P324" s="1"/>
      <c r="Q324" s="1"/>
    </row>
    <row r="325" ht="15.75" customHeight="1">
      <c r="I325" s="1"/>
      <c r="N325" s="1"/>
      <c r="P325" s="1"/>
      <c r="Q325" s="1"/>
    </row>
    <row r="326" ht="15.75" customHeight="1">
      <c r="I326" s="1"/>
      <c r="N326" s="1"/>
      <c r="P326" s="1"/>
      <c r="Q326" s="1"/>
    </row>
    <row r="327" ht="15.75" customHeight="1">
      <c r="I327" s="1"/>
      <c r="N327" s="1"/>
      <c r="P327" s="1"/>
      <c r="Q327" s="1"/>
    </row>
    <row r="328" ht="15.75" customHeight="1">
      <c r="I328" s="1"/>
      <c r="N328" s="1"/>
      <c r="P328" s="1"/>
      <c r="Q328" s="1"/>
    </row>
    <row r="329" ht="15.75" customHeight="1">
      <c r="I329" s="1"/>
      <c r="N329" s="1"/>
      <c r="P329" s="1"/>
      <c r="Q329" s="1"/>
    </row>
    <row r="330" ht="15.75" customHeight="1">
      <c r="I330" s="1"/>
      <c r="N330" s="1"/>
      <c r="P330" s="1"/>
      <c r="Q330" s="1"/>
    </row>
    <row r="331" ht="15.75" customHeight="1">
      <c r="I331" s="1"/>
      <c r="N331" s="1"/>
      <c r="P331" s="1"/>
      <c r="Q331" s="1"/>
    </row>
    <row r="332" ht="15.75" customHeight="1">
      <c r="I332" s="1"/>
      <c r="N332" s="1"/>
      <c r="P332" s="1"/>
      <c r="Q332" s="1"/>
    </row>
    <row r="333" ht="15.75" customHeight="1">
      <c r="I333" s="1"/>
      <c r="N333" s="1"/>
      <c r="P333" s="1"/>
      <c r="Q333" s="1"/>
    </row>
    <row r="334" ht="15.75" customHeight="1">
      <c r="I334" s="1"/>
      <c r="N334" s="1"/>
      <c r="P334" s="1"/>
      <c r="Q334" s="1"/>
    </row>
    <row r="335" ht="15.75" customHeight="1">
      <c r="I335" s="1"/>
      <c r="N335" s="1"/>
      <c r="P335" s="1"/>
      <c r="Q335" s="1"/>
    </row>
    <row r="336" ht="15.75" customHeight="1">
      <c r="I336" s="1"/>
      <c r="N336" s="1"/>
      <c r="P336" s="1"/>
      <c r="Q336" s="1"/>
    </row>
    <row r="337" ht="15.75" customHeight="1">
      <c r="I337" s="1"/>
      <c r="N337" s="1"/>
      <c r="P337" s="1"/>
      <c r="Q337" s="1"/>
    </row>
    <row r="338" ht="15.75" customHeight="1">
      <c r="I338" s="1"/>
      <c r="N338" s="1"/>
      <c r="P338" s="1"/>
      <c r="Q338" s="1"/>
    </row>
    <row r="339" ht="15.75" customHeight="1">
      <c r="I339" s="1"/>
      <c r="N339" s="1"/>
      <c r="P339" s="1"/>
      <c r="Q339" s="1"/>
    </row>
    <row r="340" ht="15.75" customHeight="1">
      <c r="I340" s="1"/>
      <c r="N340" s="1"/>
      <c r="P340" s="1"/>
      <c r="Q340" s="1"/>
    </row>
    <row r="341" ht="15.75" customHeight="1">
      <c r="I341" s="1"/>
      <c r="N341" s="1"/>
      <c r="P341" s="1"/>
      <c r="Q341" s="1"/>
    </row>
    <row r="342" ht="15.75" customHeight="1">
      <c r="I342" s="1"/>
      <c r="N342" s="1"/>
      <c r="P342" s="1"/>
      <c r="Q342" s="1"/>
    </row>
    <row r="343" ht="15.75" customHeight="1">
      <c r="I343" s="1"/>
      <c r="N343" s="1"/>
      <c r="P343" s="1"/>
      <c r="Q343" s="1"/>
    </row>
    <row r="344" ht="15.75" customHeight="1">
      <c r="I344" s="1"/>
      <c r="N344" s="1"/>
      <c r="P344" s="1"/>
      <c r="Q344" s="1"/>
    </row>
    <row r="345" ht="15.75" customHeight="1">
      <c r="I345" s="1"/>
      <c r="N345" s="1"/>
      <c r="P345" s="1"/>
      <c r="Q345" s="1"/>
    </row>
    <row r="346" ht="15.75" customHeight="1">
      <c r="I346" s="1"/>
      <c r="N346" s="1"/>
      <c r="P346" s="1"/>
      <c r="Q346" s="1"/>
    </row>
    <row r="347" ht="15.75" customHeight="1">
      <c r="I347" s="1"/>
      <c r="N347" s="1"/>
      <c r="P347" s="1"/>
      <c r="Q347" s="1"/>
    </row>
    <row r="348" ht="15.75" customHeight="1">
      <c r="I348" s="1"/>
      <c r="N348" s="1"/>
      <c r="P348" s="1"/>
      <c r="Q348" s="1"/>
    </row>
    <row r="349" ht="15.75" customHeight="1">
      <c r="I349" s="1"/>
      <c r="N349" s="1"/>
      <c r="P349" s="1"/>
      <c r="Q349" s="1"/>
    </row>
    <row r="350" ht="15.75" customHeight="1">
      <c r="I350" s="1"/>
      <c r="N350" s="1"/>
      <c r="P350" s="1"/>
      <c r="Q350" s="1"/>
    </row>
    <row r="351" ht="15.75" customHeight="1">
      <c r="I351" s="1"/>
      <c r="N351" s="1"/>
      <c r="P351" s="1"/>
      <c r="Q351" s="1"/>
    </row>
    <row r="352" ht="15.75" customHeight="1">
      <c r="I352" s="1"/>
      <c r="N352" s="1"/>
      <c r="P352" s="1"/>
      <c r="Q352" s="1"/>
    </row>
    <row r="353" ht="15.75" customHeight="1">
      <c r="I353" s="1"/>
      <c r="N353" s="1"/>
      <c r="P353" s="1"/>
      <c r="Q353" s="1"/>
    </row>
    <row r="354" ht="15.75" customHeight="1">
      <c r="I354" s="1"/>
      <c r="N354" s="1"/>
      <c r="P354" s="1"/>
      <c r="Q354" s="1"/>
    </row>
    <row r="355" ht="15.75" customHeight="1">
      <c r="I355" s="1"/>
      <c r="N355" s="1"/>
      <c r="P355" s="1"/>
      <c r="Q355" s="1"/>
    </row>
    <row r="356" ht="15.75" customHeight="1">
      <c r="I356" s="1"/>
      <c r="N356" s="1"/>
      <c r="P356" s="1"/>
      <c r="Q356" s="1"/>
    </row>
    <row r="357" ht="15.75" customHeight="1">
      <c r="I357" s="1"/>
      <c r="N357" s="1"/>
      <c r="P357" s="1"/>
      <c r="Q357" s="1"/>
    </row>
    <row r="358" ht="15.75" customHeight="1">
      <c r="I358" s="1"/>
      <c r="N358" s="1"/>
      <c r="P358" s="1"/>
      <c r="Q358" s="1"/>
    </row>
    <row r="359" ht="15.75" customHeight="1">
      <c r="I359" s="1"/>
      <c r="N359" s="1"/>
      <c r="P359" s="1"/>
      <c r="Q359" s="1"/>
    </row>
    <row r="360" ht="15.75" customHeight="1">
      <c r="I360" s="1"/>
      <c r="N360" s="1"/>
      <c r="P360" s="1"/>
      <c r="Q360" s="1"/>
    </row>
    <row r="361" ht="15.75" customHeight="1">
      <c r="I361" s="1"/>
      <c r="N361" s="1"/>
      <c r="P361" s="1"/>
      <c r="Q361" s="1"/>
    </row>
    <row r="362" ht="15.75" customHeight="1">
      <c r="I362" s="1"/>
      <c r="N362" s="1"/>
      <c r="P362" s="1"/>
      <c r="Q362" s="1"/>
    </row>
    <row r="363" ht="15.75" customHeight="1">
      <c r="I363" s="1"/>
      <c r="N363" s="1"/>
      <c r="P363" s="1"/>
      <c r="Q363" s="1"/>
    </row>
    <row r="364" ht="15.75" customHeight="1">
      <c r="I364" s="1"/>
      <c r="N364" s="1"/>
      <c r="P364" s="1"/>
      <c r="Q364" s="1"/>
    </row>
    <row r="365" ht="15.75" customHeight="1">
      <c r="I365" s="1"/>
      <c r="N365" s="1"/>
      <c r="P365" s="1"/>
      <c r="Q365" s="1"/>
    </row>
    <row r="366" ht="15.75" customHeight="1">
      <c r="I366" s="1"/>
      <c r="N366" s="1"/>
      <c r="P366" s="1"/>
      <c r="Q366" s="1"/>
    </row>
    <row r="367" ht="15.75" customHeight="1">
      <c r="I367" s="1"/>
      <c r="N367" s="1"/>
      <c r="P367" s="1"/>
      <c r="Q367" s="1"/>
    </row>
    <row r="368" ht="15.75" customHeight="1">
      <c r="I368" s="1"/>
      <c r="N368" s="1"/>
      <c r="P368" s="1"/>
      <c r="Q368" s="1"/>
    </row>
    <row r="369" ht="15.75" customHeight="1">
      <c r="I369" s="1"/>
      <c r="N369" s="1"/>
      <c r="P369" s="1"/>
      <c r="Q369" s="1"/>
    </row>
    <row r="370" ht="15.75" customHeight="1">
      <c r="I370" s="1"/>
      <c r="N370" s="1"/>
      <c r="P370" s="1"/>
      <c r="Q370" s="1"/>
    </row>
    <row r="371" ht="15.75" customHeight="1">
      <c r="I371" s="1"/>
      <c r="N371" s="1"/>
      <c r="P371" s="1"/>
      <c r="Q371" s="1"/>
    </row>
    <row r="372" ht="15.75" customHeight="1">
      <c r="I372" s="1"/>
      <c r="N372" s="1"/>
      <c r="P372" s="1"/>
      <c r="Q372" s="1"/>
    </row>
    <row r="373" ht="15.75" customHeight="1">
      <c r="I373" s="1"/>
      <c r="N373" s="1"/>
      <c r="P373" s="1"/>
      <c r="Q373" s="1"/>
    </row>
    <row r="374" ht="15.75" customHeight="1">
      <c r="I374" s="1"/>
      <c r="N374" s="1"/>
      <c r="P374" s="1"/>
      <c r="Q374" s="1"/>
    </row>
    <row r="375" ht="15.75" customHeight="1">
      <c r="I375" s="1"/>
      <c r="N375" s="1"/>
      <c r="P375" s="1"/>
      <c r="Q375" s="1"/>
    </row>
    <row r="376" ht="15.75" customHeight="1">
      <c r="I376" s="1"/>
      <c r="N376" s="1"/>
      <c r="P376" s="1"/>
      <c r="Q376" s="1"/>
    </row>
    <row r="377" ht="15.75" customHeight="1">
      <c r="I377" s="1"/>
      <c r="N377" s="1"/>
      <c r="P377" s="1"/>
      <c r="Q377" s="1"/>
    </row>
    <row r="378" ht="15.75" customHeight="1">
      <c r="I378" s="1"/>
      <c r="N378" s="1"/>
      <c r="P378" s="1"/>
      <c r="Q378" s="1"/>
    </row>
    <row r="379" ht="15.75" customHeight="1">
      <c r="I379" s="1"/>
      <c r="N379" s="1"/>
      <c r="P379" s="1"/>
      <c r="Q379" s="1"/>
    </row>
    <row r="380" ht="15.75" customHeight="1">
      <c r="I380" s="1"/>
      <c r="N380" s="1"/>
      <c r="P380" s="1"/>
      <c r="Q380" s="1"/>
    </row>
    <row r="381" ht="15.75" customHeight="1">
      <c r="I381" s="1"/>
      <c r="N381" s="1"/>
      <c r="P381" s="1"/>
      <c r="Q381" s="1"/>
    </row>
    <row r="382" ht="15.75" customHeight="1">
      <c r="I382" s="1"/>
      <c r="N382" s="1"/>
      <c r="P382" s="1"/>
      <c r="Q382" s="1"/>
    </row>
    <row r="383" ht="15.75" customHeight="1">
      <c r="I383" s="1"/>
      <c r="N383" s="1"/>
      <c r="P383" s="1"/>
      <c r="Q383" s="1"/>
    </row>
    <row r="384" ht="15.75" customHeight="1">
      <c r="I384" s="1"/>
      <c r="N384" s="1"/>
      <c r="P384" s="1"/>
      <c r="Q384" s="1"/>
    </row>
    <row r="385" ht="15.75" customHeight="1">
      <c r="I385" s="1"/>
      <c r="N385" s="1"/>
      <c r="P385" s="1"/>
      <c r="Q385" s="1"/>
    </row>
    <row r="386" ht="15.75" customHeight="1">
      <c r="I386" s="1"/>
      <c r="N386" s="1"/>
      <c r="P386" s="1"/>
      <c r="Q386" s="1"/>
    </row>
    <row r="387" ht="15.75" customHeight="1">
      <c r="I387" s="1"/>
      <c r="N387" s="1"/>
      <c r="P387" s="1"/>
      <c r="Q387" s="1"/>
    </row>
    <row r="388" ht="15.75" customHeight="1">
      <c r="I388" s="1"/>
      <c r="N388" s="1"/>
      <c r="P388" s="1"/>
      <c r="Q388" s="1"/>
    </row>
    <row r="389" ht="15.75" customHeight="1">
      <c r="I389" s="1"/>
      <c r="N389" s="1"/>
      <c r="P389" s="1"/>
      <c r="Q389" s="1"/>
    </row>
    <row r="390" ht="15.75" customHeight="1">
      <c r="I390" s="1"/>
      <c r="N390" s="1"/>
      <c r="P390" s="1"/>
      <c r="Q390" s="1"/>
    </row>
    <row r="391" ht="15.75" customHeight="1">
      <c r="I391" s="1"/>
      <c r="N391" s="1"/>
      <c r="P391" s="1"/>
      <c r="Q391" s="1"/>
    </row>
    <row r="392" ht="15.75" customHeight="1">
      <c r="I392" s="1"/>
      <c r="N392" s="1"/>
      <c r="P392" s="1"/>
      <c r="Q392" s="1"/>
    </row>
    <row r="393" ht="15.75" customHeight="1">
      <c r="I393" s="1"/>
      <c r="N393" s="1"/>
      <c r="P393" s="1"/>
      <c r="Q393" s="1"/>
    </row>
    <row r="394" ht="15.75" customHeight="1">
      <c r="I394" s="1"/>
      <c r="N394" s="1"/>
      <c r="P394" s="1"/>
      <c r="Q394" s="1"/>
    </row>
    <row r="395" ht="15.75" customHeight="1">
      <c r="I395" s="1"/>
      <c r="N395" s="1"/>
      <c r="P395" s="1"/>
      <c r="Q395" s="1"/>
    </row>
    <row r="396" ht="15.75" customHeight="1">
      <c r="I396" s="1"/>
      <c r="N396" s="1"/>
      <c r="P396" s="1"/>
      <c r="Q396" s="1"/>
    </row>
    <row r="397" ht="15.75" customHeight="1">
      <c r="I397" s="1"/>
      <c r="N397" s="1"/>
      <c r="P397" s="1"/>
      <c r="Q397" s="1"/>
    </row>
    <row r="398" ht="15.75" customHeight="1">
      <c r="I398" s="1"/>
      <c r="N398" s="1"/>
      <c r="P398" s="1"/>
      <c r="Q398" s="1"/>
    </row>
    <row r="399" ht="15.75" customHeight="1">
      <c r="I399" s="1"/>
      <c r="N399" s="1"/>
      <c r="P399" s="1"/>
      <c r="Q399" s="1"/>
    </row>
    <row r="400" ht="15.75" customHeight="1">
      <c r="I400" s="1"/>
      <c r="N400" s="1"/>
      <c r="P400" s="1"/>
      <c r="Q400" s="1"/>
    </row>
    <row r="401" ht="15.75" customHeight="1">
      <c r="I401" s="1"/>
      <c r="N401" s="1"/>
      <c r="P401" s="1"/>
      <c r="Q401" s="1"/>
    </row>
    <row r="402" ht="15.75" customHeight="1">
      <c r="I402" s="1"/>
      <c r="N402" s="1"/>
      <c r="P402" s="1"/>
      <c r="Q402" s="1"/>
    </row>
    <row r="403" ht="15.75" customHeight="1">
      <c r="I403" s="1"/>
      <c r="N403" s="1"/>
      <c r="P403" s="1"/>
      <c r="Q403" s="1"/>
    </row>
    <row r="404" ht="15.75" customHeight="1">
      <c r="I404" s="1"/>
      <c r="N404" s="1"/>
      <c r="P404" s="1"/>
      <c r="Q404" s="1"/>
    </row>
    <row r="405" ht="15.75" customHeight="1">
      <c r="I405" s="1"/>
      <c r="N405" s="1"/>
      <c r="P405" s="1"/>
      <c r="Q405" s="1"/>
    </row>
    <row r="406" ht="15.75" customHeight="1">
      <c r="I406" s="1"/>
      <c r="N406" s="1"/>
      <c r="P406" s="1"/>
      <c r="Q406" s="1"/>
    </row>
    <row r="407" ht="15.75" customHeight="1">
      <c r="I407" s="1"/>
      <c r="N407" s="1"/>
      <c r="P407" s="1"/>
      <c r="Q407" s="1"/>
    </row>
    <row r="408" ht="15.75" customHeight="1">
      <c r="I408" s="1"/>
      <c r="N408" s="1"/>
      <c r="P408" s="1"/>
      <c r="Q408" s="1"/>
    </row>
    <row r="409" ht="15.75" customHeight="1">
      <c r="I409" s="1"/>
      <c r="N409" s="1"/>
      <c r="P409" s="1"/>
      <c r="Q409" s="1"/>
    </row>
    <row r="410" ht="15.75" customHeight="1">
      <c r="I410" s="1"/>
      <c r="N410" s="1"/>
      <c r="P410" s="1"/>
      <c r="Q410" s="1"/>
    </row>
    <row r="411" ht="15.75" customHeight="1">
      <c r="I411" s="1"/>
      <c r="N411" s="1"/>
      <c r="P411" s="1"/>
      <c r="Q411" s="1"/>
    </row>
    <row r="412" ht="15.75" customHeight="1">
      <c r="I412" s="1"/>
      <c r="N412" s="1"/>
      <c r="P412" s="1"/>
      <c r="Q412" s="1"/>
    </row>
    <row r="413" ht="15.75" customHeight="1">
      <c r="I413" s="1"/>
      <c r="N413" s="1"/>
      <c r="P413" s="1"/>
      <c r="Q413" s="1"/>
    </row>
    <row r="414" ht="15.75" customHeight="1">
      <c r="I414" s="1"/>
      <c r="N414" s="1"/>
      <c r="P414" s="1"/>
      <c r="Q414" s="1"/>
    </row>
    <row r="415" ht="15.75" customHeight="1">
      <c r="I415" s="1"/>
      <c r="N415" s="1"/>
      <c r="P415" s="1"/>
      <c r="Q415" s="1"/>
    </row>
    <row r="416" ht="15.75" customHeight="1">
      <c r="I416" s="1"/>
      <c r="N416" s="1"/>
      <c r="P416" s="1"/>
      <c r="Q416" s="1"/>
    </row>
    <row r="417" ht="15.75" customHeight="1">
      <c r="I417" s="1"/>
      <c r="N417" s="1"/>
      <c r="P417" s="1"/>
      <c r="Q417" s="1"/>
    </row>
    <row r="418" ht="15.75" customHeight="1">
      <c r="I418" s="1"/>
      <c r="N418" s="1"/>
      <c r="P418" s="1"/>
      <c r="Q418" s="1"/>
    </row>
    <row r="419" ht="15.75" customHeight="1">
      <c r="I419" s="1"/>
      <c r="N419" s="1"/>
      <c r="P419" s="1"/>
      <c r="Q419" s="1"/>
    </row>
    <row r="420" ht="15.75" customHeight="1">
      <c r="I420" s="1"/>
      <c r="N420" s="1"/>
      <c r="P420" s="1"/>
      <c r="Q420" s="1"/>
    </row>
    <row r="421" ht="15.75" customHeight="1">
      <c r="I421" s="1"/>
      <c r="N421" s="1"/>
      <c r="P421" s="1"/>
      <c r="Q421" s="1"/>
    </row>
    <row r="422" ht="15.75" customHeight="1">
      <c r="I422" s="1"/>
      <c r="N422" s="1"/>
      <c r="P422" s="1"/>
      <c r="Q422" s="1"/>
    </row>
    <row r="423" ht="15.75" customHeight="1">
      <c r="I423" s="1"/>
      <c r="N423" s="1"/>
      <c r="P423" s="1"/>
      <c r="Q423" s="1"/>
    </row>
    <row r="424" ht="15.75" customHeight="1">
      <c r="I424" s="1"/>
      <c r="N424" s="1"/>
      <c r="P424" s="1"/>
      <c r="Q424" s="1"/>
    </row>
    <row r="425" ht="15.75" customHeight="1">
      <c r="I425" s="1"/>
      <c r="N425" s="1"/>
      <c r="P425" s="1"/>
      <c r="Q425" s="1"/>
    </row>
    <row r="426" ht="15.75" customHeight="1">
      <c r="I426" s="1"/>
      <c r="N426" s="1"/>
      <c r="P426" s="1"/>
      <c r="Q426" s="1"/>
    </row>
    <row r="427" ht="15.75" customHeight="1">
      <c r="I427" s="1"/>
      <c r="N427" s="1"/>
      <c r="P427" s="1"/>
      <c r="Q427" s="1"/>
    </row>
    <row r="428" ht="15.75" customHeight="1">
      <c r="I428" s="1"/>
      <c r="N428" s="1"/>
      <c r="P428" s="1"/>
      <c r="Q428" s="1"/>
    </row>
    <row r="429" ht="15.75" customHeight="1">
      <c r="I429" s="1"/>
      <c r="N429" s="1"/>
      <c r="P429" s="1"/>
      <c r="Q429" s="1"/>
    </row>
    <row r="430" ht="15.75" customHeight="1">
      <c r="I430" s="1"/>
      <c r="N430" s="1"/>
      <c r="P430" s="1"/>
      <c r="Q430" s="1"/>
    </row>
    <row r="431" ht="15.75" customHeight="1">
      <c r="I431" s="1"/>
      <c r="N431" s="1"/>
      <c r="P431" s="1"/>
      <c r="Q431" s="1"/>
    </row>
    <row r="432" ht="15.75" customHeight="1">
      <c r="I432" s="1"/>
      <c r="N432" s="1"/>
      <c r="P432" s="1"/>
      <c r="Q432" s="1"/>
    </row>
    <row r="433" ht="15.75" customHeight="1">
      <c r="I433" s="1"/>
      <c r="N433" s="1"/>
      <c r="P433" s="1"/>
      <c r="Q433" s="1"/>
    </row>
    <row r="434" ht="15.75" customHeight="1">
      <c r="I434" s="1"/>
      <c r="N434" s="1"/>
      <c r="P434" s="1"/>
      <c r="Q434" s="1"/>
    </row>
    <row r="435" ht="15.75" customHeight="1">
      <c r="I435" s="1"/>
      <c r="N435" s="1"/>
      <c r="P435" s="1"/>
      <c r="Q435" s="1"/>
    </row>
    <row r="436" ht="15.75" customHeight="1">
      <c r="I436" s="1"/>
      <c r="N436" s="1"/>
      <c r="P436" s="1"/>
      <c r="Q436" s="1"/>
    </row>
    <row r="437" ht="15.75" customHeight="1">
      <c r="I437" s="1"/>
      <c r="N437" s="1"/>
      <c r="P437" s="1"/>
      <c r="Q437" s="1"/>
    </row>
    <row r="438" ht="15.75" customHeight="1">
      <c r="I438" s="1"/>
      <c r="N438" s="1"/>
      <c r="P438" s="1"/>
      <c r="Q438" s="1"/>
    </row>
    <row r="439" ht="15.75" customHeight="1">
      <c r="I439" s="1"/>
      <c r="N439" s="1"/>
      <c r="P439" s="1"/>
      <c r="Q439" s="1"/>
    </row>
    <row r="440" ht="15.75" customHeight="1">
      <c r="I440" s="1"/>
      <c r="N440" s="1"/>
      <c r="P440" s="1"/>
      <c r="Q440" s="1"/>
    </row>
    <row r="441" ht="15.75" customHeight="1">
      <c r="I441" s="1"/>
      <c r="N441" s="1"/>
      <c r="P441" s="1"/>
      <c r="Q441" s="1"/>
    </row>
    <row r="442" ht="15.75" customHeight="1">
      <c r="I442" s="1"/>
      <c r="N442" s="1"/>
      <c r="P442" s="1"/>
      <c r="Q442" s="1"/>
    </row>
    <row r="443" ht="15.75" customHeight="1">
      <c r="I443" s="1"/>
      <c r="N443" s="1"/>
      <c r="P443" s="1"/>
      <c r="Q443" s="1"/>
    </row>
    <row r="444" ht="15.75" customHeight="1">
      <c r="I444" s="1"/>
      <c r="N444" s="1"/>
      <c r="P444" s="1"/>
      <c r="Q444" s="1"/>
    </row>
    <row r="445" ht="15.75" customHeight="1">
      <c r="I445" s="1"/>
      <c r="N445" s="1"/>
      <c r="P445" s="1"/>
      <c r="Q445" s="1"/>
    </row>
    <row r="446" ht="15.75" customHeight="1">
      <c r="I446" s="1"/>
      <c r="N446" s="1"/>
      <c r="P446" s="1"/>
      <c r="Q446" s="1"/>
    </row>
    <row r="447" ht="15.75" customHeight="1">
      <c r="I447" s="1"/>
      <c r="N447" s="1"/>
      <c r="P447" s="1"/>
      <c r="Q447" s="1"/>
    </row>
    <row r="448" ht="15.75" customHeight="1">
      <c r="I448" s="1"/>
      <c r="N448" s="1"/>
      <c r="P448" s="1"/>
      <c r="Q448" s="1"/>
    </row>
    <row r="449" ht="15.75" customHeight="1">
      <c r="I449" s="1"/>
      <c r="N449" s="1"/>
      <c r="P449" s="1"/>
      <c r="Q449" s="1"/>
    </row>
    <row r="450" ht="15.75" customHeight="1">
      <c r="I450" s="1"/>
      <c r="N450" s="1"/>
      <c r="P450" s="1"/>
      <c r="Q450" s="1"/>
    </row>
    <row r="451" ht="15.75" customHeight="1">
      <c r="I451" s="1"/>
      <c r="N451" s="1"/>
      <c r="P451" s="1"/>
      <c r="Q451" s="1"/>
    </row>
    <row r="452" ht="15.75" customHeight="1">
      <c r="I452" s="1"/>
      <c r="N452" s="1"/>
      <c r="P452" s="1"/>
      <c r="Q452" s="1"/>
    </row>
    <row r="453" ht="15.75" customHeight="1">
      <c r="I453" s="1"/>
      <c r="N453" s="1"/>
      <c r="P453" s="1"/>
      <c r="Q453" s="1"/>
    </row>
    <row r="454" ht="15.75" customHeight="1">
      <c r="I454" s="1"/>
      <c r="N454" s="1"/>
      <c r="P454" s="1"/>
      <c r="Q454" s="1"/>
    </row>
    <row r="455" ht="15.75" customHeight="1">
      <c r="I455" s="1"/>
      <c r="N455" s="1"/>
      <c r="P455" s="1"/>
      <c r="Q455" s="1"/>
    </row>
    <row r="456" ht="15.75" customHeight="1">
      <c r="I456" s="1"/>
      <c r="N456" s="1"/>
      <c r="P456" s="1"/>
      <c r="Q456" s="1"/>
    </row>
    <row r="457" ht="15.75" customHeight="1">
      <c r="I457" s="1"/>
      <c r="N457" s="1"/>
      <c r="P457" s="1"/>
      <c r="Q457" s="1"/>
    </row>
    <row r="458" ht="15.75" customHeight="1">
      <c r="I458" s="1"/>
      <c r="N458" s="1"/>
      <c r="P458" s="1"/>
      <c r="Q458" s="1"/>
    </row>
    <row r="459" ht="15.75" customHeight="1">
      <c r="I459" s="1"/>
      <c r="N459" s="1"/>
      <c r="P459" s="1"/>
      <c r="Q459" s="1"/>
    </row>
    <row r="460" ht="15.75" customHeight="1">
      <c r="I460" s="1"/>
      <c r="N460" s="1"/>
      <c r="P460" s="1"/>
      <c r="Q460" s="1"/>
    </row>
    <row r="461" ht="15.75" customHeight="1">
      <c r="I461" s="1"/>
      <c r="N461" s="1"/>
      <c r="P461" s="1"/>
      <c r="Q461" s="1"/>
    </row>
    <row r="462" ht="15.75" customHeight="1">
      <c r="I462" s="1"/>
      <c r="N462" s="1"/>
      <c r="P462" s="1"/>
      <c r="Q462" s="1"/>
    </row>
    <row r="463" ht="15.75" customHeight="1">
      <c r="I463" s="1"/>
      <c r="N463" s="1"/>
      <c r="P463" s="1"/>
      <c r="Q463" s="1"/>
    </row>
    <row r="464" ht="15.75" customHeight="1">
      <c r="I464" s="1"/>
      <c r="N464" s="1"/>
      <c r="P464" s="1"/>
      <c r="Q464" s="1"/>
    </row>
    <row r="465" ht="15.75" customHeight="1">
      <c r="I465" s="1"/>
      <c r="N465" s="1"/>
      <c r="P465" s="1"/>
      <c r="Q465" s="1"/>
    </row>
    <row r="466" ht="15.75" customHeight="1">
      <c r="I466" s="1"/>
      <c r="N466" s="1"/>
      <c r="P466" s="1"/>
      <c r="Q466" s="1"/>
    </row>
    <row r="467" ht="15.75" customHeight="1">
      <c r="I467" s="1"/>
      <c r="N467" s="1"/>
      <c r="P467" s="1"/>
      <c r="Q467" s="1"/>
    </row>
    <row r="468" ht="15.75" customHeight="1">
      <c r="I468" s="1"/>
      <c r="N468" s="1"/>
      <c r="P468" s="1"/>
      <c r="Q468" s="1"/>
    </row>
    <row r="469" ht="15.75" customHeight="1">
      <c r="I469" s="1"/>
      <c r="N469" s="1"/>
      <c r="P469" s="1"/>
      <c r="Q469" s="1"/>
    </row>
    <row r="470" ht="15.75" customHeight="1">
      <c r="I470" s="1"/>
      <c r="N470" s="1"/>
      <c r="P470" s="1"/>
      <c r="Q470" s="1"/>
    </row>
    <row r="471" ht="15.75" customHeight="1">
      <c r="I471" s="1"/>
      <c r="N471" s="1"/>
      <c r="P471" s="1"/>
      <c r="Q471" s="1"/>
    </row>
    <row r="472" ht="15.75" customHeight="1">
      <c r="I472" s="1"/>
      <c r="N472" s="1"/>
      <c r="P472" s="1"/>
      <c r="Q472" s="1"/>
    </row>
    <row r="473" ht="15.75" customHeight="1">
      <c r="I473" s="1"/>
      <c r="N473" s="1"/>
      <c r="P473" s="1"/>
      <c r="Q473" s="1"/>
    </row>
    <row r="474" ht="15.75" customHeight="1">
      <c r="I474" s="1"/>
      <c r="N474" s="1"/>
      <c r="P474" s="1"/>
      <c r="Q474" s="1"/>
    </row>
    <row r="475" ht="15.75" customHeight="1">
      <c r="I475" s="1"/>
      <c r="N475" s="1"/>
      <c r="P475" s="1"/>
      <c r="Q475" s="1"/>
    </row>
    <row r="476" ht="15.75" customHeight="1">
      <c r="I476" s="1"/>
      <c r="N476" s="1"/>
      <c r="P476" s="1"/>
      <c r="Q476" s="1"/>
    </row>
    <row r="477" ht="15.75" customHeight="1">
      <c r="I477" s="1"/>
      <c r="N477" s="1"/>
      <c r="P477" s="1"/>
      <c r="Q477" s="1"/>
    </row>
    <row r="478" ht="15.75" customHeight="1">
      <c r="I478" s="1"/>
      <c r="N478" s="1"/>
      <c r="P478" s="1"/>
      <c r="Q478" s="1"/>
    </row>
    <row r="479" ht="15.75" customHeight="1">
      <c r="I479" s="1"/>
      <c r="N479" s="1"/>
      <c r="P479" s="1"/>
      <c r="Q479" s="1"/>
    </row>
    <row r="480" ht="15.75" customHeight="1">
      <c r="I480" s="1"/>
      <c r="N480" s="1"/>
      <c r="P480" s="1"/>
      <c r="Q480" s="1"/>
    </row>
    <row r="481" ht="15.75" customHeight="1">
      <c r="I481" s="1"/>
      <c r="N481" s="1"/>
      <c r="P481" s="1"/>
      <c r="Q481" s="1"/>
    </row>
    <row r="482" ht="15.75" customHeight="1">
      <c r="I482" s="1"/>
      <c r="N482" s="1"/>
      <c r="P482" s="1"/>
      <c r="Q482" s="1"/>
    </row>
    <row r="483" ht="15.75" customHeight="1">
      <c r="I483" s="1"/>
      <c r="N483" s="1"/>
      <c r="P483" s="1"/>
      <c r="Q483" s="1"/>
    </row>
    <row r="484" ht="15.75" customHeight="1">
      <c r="I484" s="1"/>
      <c r="N484" s="1"/>
      <c r="P484" s="1"/>
      <c r="Q484" s="1"/>
    </row>
    <row r="485" ht="15.75" customHeight="1">
      <c r="I485" s="1"/>
      <c r="N485" s="1"/>
      <c r="P485" s="1"/>
      <c r="Q485" s="1"/>
    </row>
    <row r="486" ht="15.75" customHeight="1">
      <c r="I486" s="1"/>
      <c r="N486" s="1"/>
      <c r="P486" s="1"/>
      <c r="Q486" s="1"/>
    </row>
    <row r="487" ht="15.75" customHeight="1">
      <c r="I487" s="1"/>
      <c r="N487" s="1"/>
      <c r="P487" s="1"/>
      <c r="Q487" s="1"/>
    </row>
    <row r="488" ht="15.75" customHeight="1">
      <c r="I488" s="1"/>
      <c r="N488" s="1"/>
      <c r="P488" s="1"/>
      <c r="Q488" s="1"/>
    </row>
    <row r="489" ht="15.75" customHeight="1">
      <c r="I489" s="1"/>
      <c r="N489" s="1"/>
      <c r="P489" s="1"/>
      <c r="Q489" s="1"/>
    </row>
    <row r="490" ht="15.75" customHeight="1">
      <c r="I490" s="1"/>
      <c r="N490" s="1"/>
      <c r="P490" s="1"/>
      <c r="Q490" s="1"/>
    </row>
    <row r="491" ht="15.75" customHeight="1">
      <c r="I491" s="1"/>
      <c r="N491" s="1"/>
      <c r="P491" s="1"/>
      <c r="Q491" s="1"/>
    </row>
    <row r="492" ht="15.75" customHeight="1">
      <c r="I492" s="1"/>
      <c r="N492" s="1"/>
      <c r="P492" s="1"/>
      <c r="Q492" s="1"/>
    </row>
    <row r="493" ht="15.75" customHeight="1">
      <c r="I493" s="1"/>
      <c r="N493" s="1"/>
      <c r="P493" s="1"/>
      <c r="Q493" s="1"/>
    </row>
    <row r="494" ht="15.75" customHeight="1">
      <c r="I494" s="1"/>
      <c r="N494" s="1"/>
      <c r="P494" s="1"/>
      <c r="Q494" s="1"/>
    </row>
    <row r="495" ht="15.75" customHeight="1">
      <c r="I495" s="1"/>
      <c r="N495" s="1"/>
      <c r="P495" s="1"/>
      <c r="Q495" s="1"/>
    </row>
    <row r="496" ht="15.75" customHeight="1">
      <c r="I496" s="1"/>
      <c r="N496" s="1"/>
      <c r="P496" s="1"/>
      <c r="Q496" s="1"/>
    </row>
    <row r="497" ht="15.75" customHeight="1">
      <c r="I497" s="1"/>
      <c r="N497" s="1"/>
      <c r="P497" s="1"/>
      <c r="Q497" s="1"/>
    </row>
    <row r="498" ht="15.75" customHeight="1">
      <c r="I498" s="1"/>
      <c r="N498" s="1"/>
      <c r="P498" s="1"/>
      <c r="Q498" s="1"/>
    </row>
    <row r="499" ht="15.75" customHeight="1">
      <c r="I499" s="1"/>
      <c r="N499" s="1"/>
      <c r="P499" s="1"/>
      <c r="Q499" s="1"/>
    </row>
    <row r="500" ht="15.75" customHeight="1">
      <c r="I500" s="1"/>
      <c r="N500" s="1"/>
      <c r="P500" s="1"/>
      <c r="Q500" s="1"/>
    </row>
    <row r="501" ht="15.75" customHeight="1">
      <c r="I501" s="1"/>
      <c r="N501" s="1"/>
      <c r="P501" s="1"/>
      <c r="Q501" s="1"/>
    </row>
    <row r="502" ht="15.75" customHeight="1">
      <c r="I502" s="1"/>
      <c r="N502" s="1"/>
      <c r="P502" s="1"/>
      <c r="Q502" s="1"/>
    </row>
    <row r="503" ht="15.75" customHeight="1">
      <c r="I503" s="1"/>
      <c r="N503" s="1"/>
      <c r="P503" s="1"/>
      <c r="Q503" s="1"/>
    </row>
    <row r="504" ht="15.75" customHeight="1">
      <c r="I504" s="1"/>
      <c r="N504" s="1"/>
      <c r="P504" s="1"/>
      <c r="Q504" s="1"/>
    </row>
    <row r="505" ht="15.75" customHeight="1">
      <c r="I505" s="1"/>
      <c r="N505" s="1"/>
      <c r="P505" s="1"/>
      <c r="Q505" s="1"/>
    </row>
    <row r="506" ht="15.75" customHeight="1">
      <c r="I506" s="1"/>
      <c r="N506" s="1"/>
      <c r="P506" s="1"/>
      <c r="Q506" s="1"/>
    </row>
    <row r="507" ht="15.75" customHeight="1">
      <c r="I507" s="1"/>
      <c r="N507" s="1"/>
      <c r="P507" s="1"/>
      <c r="Q507" s="1"/>
    </row>
    <row r="508" ht="15.75" customHeight="1">
      <c r="I508" s="1"/>
      <c r="N508" s="1"/>
      <c r="P508" s="1"/>
      <c r="Q508" s="1"/>
    </row>
    <row r="509" ht="15.75" customHeight="1">
      <c r="I509" s="1"/>
      <c r="N509" s="1"/>
      <c r="P509" s="1"/>
      <c r="Q509" s="1"/>
    </row>
    <row r="510" ht="15.75" customHeight="1">
      <c r="I510" s="1"/>
      <c r="N510" s="1"/>
      <c r="P510" s="1"/>
      <c r="Q510" s="1"/>
    </row>
    <row r="511" ht="15.75" customHeight="1">
      <c r="I511" s="1"/>
      <c r="N511" s="1"/>
      <c r="P511" s="1"/>
      <c r="Q511" s="1"/>
    </row>
    <row r="512" ht="15.75" customHeight="1">
      <c r="I512" s="1"/>
      <c r="N512" s="1"/>
      <c r="P512" s="1"/>
      <c r="Q512" s="1"/>
    </row>
    <row r="513" ht="15.75" customHeight="1">
      <c r="I513" s="1"/>
      <c r="N513" s="1"/>
      <c r="P513" s="1"/>
      <c r="Q513" s="1"/>
    </row>
    <row r="514" ht="15.75" customHeight="1">
      <c r="I514" s="1"/>
      <c r="N514" s="1"/>
      <c r="P514" s="1"/>
      <c r="Q514" s="1"/>
    </row>
    <row r="515" ht="15.75" customHeight="1">
      <c r="I515" s="1"/>
      <c r="N515" s="1"/>
      <c r="P515" s="1"/>
      <c r="Q515" s="1"/>
    </row>
    <row r="516" ht="15.75" customHeight="1">
      <c r="I516" s="1"/>
      <c r="N516" s="1"/>
      <c r="P516" s="1"/>
      <c r="Q516" s="1"/>
    </row>
    <row r="517" ht="15.75" customHeight="1">
      <c r="I517" s="1"/>
      <c r="N517" s="1"/>
      <c r="P517" s="1"/>
      <c r="Q517" s="1"/>
    </row>
    <row r="518" ht="15.75" customHeight="1">
      <c r="I518" s="1"/>
      <c r="N518" s="1"/>
      <c r="P518" s="1"/>
      <c r="Q518" s="1"/>
    </row>
    <row r="519" ht="15.75" customHeight="1">
      <c r="I519" s="1"/>
      <c r="N519" s="1"/>
      <c r="P519" s="1"/>
      <c r="Q519" s="1"/>
    </row>
    <row r="520" ht="15.75" customHeight="1">
      <c r="I520" s="1"/>
      <c r="N520" s="1"/>
      <c r="P520" s="1"/>
      <c r="Q520" s="1"/>
    </row>
    <row r="521" ht="15.75" customHeight="1">
      <c r="I521" s="1"/>
      <c r="N521" s="1"/>
      <c r="P521" s="1"/>
      <c r="Q521" s="1"/>
    </row>
    <row r="522" ht="15.75" customHeight="1">
      <c r="I522" s="1"/>
      <c r="N522" s="1"/>
      <c r="P522" s="1"/>
      <c r="Q522" s="1"/>
    </row>
    <row r="523" ht="15.75" customHeight="1">
      <c r="I523" s="1"/>
      <c r="N523" s="1"/>
      <c r="P523" s="1"/>
      <c r="Q523" s="1"/>
    </row>
    <row r="524" ht="15.75" customHeight="1">
      <c r="I524" s="1"/>
      <c r="N524" s="1"/>
      <c r="P524" s="1"/>
      <c r="Q524" s="1"/>
    </row>
    <row r="525" ht="15.75" customHeight="1">
      <c r="I525" s="1"/>
      <c r="N525" s="1"/>
      <c r="P525" s="1"/>
      <c r="Q525" s="1"/>
    </row>
    <row r="526" ht="15.75" customHeight="1">
      <c r="I526" s="1"/>
      <c r="N526" s="1"/>
      <c r="P526" s="1"/>
      <c r="Q526" s="1"/>
    </row>
    <row r="527" ht="15.75" customHeight="1">
      <c r="I527" s="1"/>
      <c r="N527" s="1"/>
      <c r="P527" s="1"/>
      <c r="Q527" s="1"/>
    </row>
    <row r="528" ht="15.75" customHeight="1">
      <c r="I528" s="1"/>
      <c r="N528" s="1"/>
      <c r="P528" s="1"/>
      <c r="Q528" s="1"/>
    </row>
    <row r="529" ht="15.75" customHeight="1">
      <c r="I529" s="1"/>
      <c r="N529" s="1"/>
      <c r="P529" s="1"/>
      <c r="Q529" s="1"/>
    </row>
    <row r="530" ht="15.75" customHeight="1">
      <c r="I530" s="1"/>
      <c r="N530" s="1"/>
      <c r="P530" s="1"/>
      <c r="Q530" s="1"/>
    </row>
    <row r="531" ht="15.75" customHeight="1">
      <c r="I531" s="1"/>
      <c r="N531" s="1"/>
      <c r="P531" s="1"/>
      <c r="Q531" s="1"/>
    </row>
    <row r="532" ht="15.75" customHeight="1">
      <c r="I532" s="1"/>
      <c r="N532" s="1"/>
      <c r="P532" s="1"/>
      <c r="Q532" s="1"/>
    </row>
    <row r="533" ht="15.75" customHeight="1">
      <c r="I533" s="1"/>
      <c r="N533" s="1"/>
      <c r="P533" s="1"/>
      <c r="Q533" s="1"/>
    </row>
    <row r="534" ht="15.75" customHeight="1">
      <c r="I534" s="1"/>
      <c r="N534" s="1"/>
      <c r="P534" s="1"/>
      <c r="Q534" s="1"/>
    </row>
    <row r="535" ht="15.75" customHeight="1">
      <c r="I535" s="1"/>
      <c r="N535" s="1"/>
      <c r="P535" s="1"/>
      <c r="Q535" s="1"/>
    </row>
    <row r="536" ht="15.75" customHeight="1">
      <c r="I536" s="1"/>
      <c r="N536" s="1"/>
      <c r="P536" s="1"/>
      <c r="Q536" s="1"/>
    </row>
    <row r="537" ht="15.75" customHeight="1">
      <c r="I537" s="1"/>
      <c r="N537" s="1"/>
      <c r="P537" s="1"/>
      <c r="Q537" s="1"/>
    </row>
    <row r="538" ht="15.75" customHeight="1">
      <c r="I538" s="1"/>
      <c r="N538" s="1"/>
      <c r="P538" s="1"/>
      <c r="Q538" s="1"/>
    </row>
    <row r="539" ht="15.75" customHeight="1">
      <c r="I539" s="1"/>
      <c r="N539" s="1"/>
      <c r="P539" s="1"/>
      <c r="Q539" s="1"/>
    </row>
    <row r="540" ht="15.75" customHeight="1">
      <c r="I540" s="1"/>
      <c r="N540" s="1"/>
      <c r="P540" s="1"/>
      <c r="Q540" s="1"/>
    </row>
    <row r="541" ht="15.75" customHeight="1">
      <c r="I541" s="1"/>
      <c r="N541" s="1"/>
      <c r="P541" s="1"/>
      <c r="Q541" s="1"/>
    </row>
    <row r="542" ht="15.75" customHeight="1">
      <c r="I542" s="1"/>
      <c r="N542" s="1"/>
      <c r="P542" s="1"/>
      <c r="Q542" s="1"/>
    </row>
    <row r="543" ht="15.75" customHeight="1">
      <c r="I543" s="1"/>
      <c r="N543" s="1"/>
      <c r="P543" s="1"/>
      <c r="Q543" s="1"/>
    </row>
    <row r="544" ht="15.75" customHeight="1">
      <c r="I544" s="1"/>
      <c r="N544" s="1"/>
      <c r="P544" s="1"/>
      <c r="Q544" s="1"/>
    </row>
    <row r="545" ht="15.75" customHeight="1">
      <c r="I545" s="1"/>
      <c r="N545" s="1"/>
      <c r="P545" s="1"/>
      <c r="Q545" s="1"/>
    </row>
    <row r="546" ht="15.75" customHeight="1">
      <c r="I546" s="1"/>
      <c r="N546" s="1"/>
      <c r="P546" s="1"/>
      <c r="Q546" s="1"/>
    </row>
    <row r="547" ht="15.75" customHeight="1">
      <c r="I547" s="1"/>
      <c r="N547" s="1"/>
      <c r="P547" s="1"/>
      <c r="Q547" s="1"/>
    </row>
    <row r="548" ht="15.75" customHeight="1">
      <c r="I548" s="1"/>
      <c r="N548" s="1"/>
      <c r="P548" s="1"/>
      <c r="Q548" s="1"/>
    </row>
    <row r="549" ht="15.75" customHeight="1">
      <c r="I549" s="1"/>
      <c r="N549" s="1"/>
      <c r="P549" s="1"/>
      <c r="Q549" s="1"/>
    </row>
    <row r="550" ht="15.75" customHeight="1">
      <c r="I550" s="1"/>
      <c r="N550" s="1"/>
      <c r="P550" s="1"/>
      <c r="Q550" s="1"/>
    </row>
    <row r="551" ht="15.75" customHeight="1">
      <c r="I551" s="1"/>
      <c r="N551" s="1"/>
      <c r="P551" s="1"/>
      <c r="Q551" s="1"/>
    </row>
    <row r="552" ht="15.75" customHeight="1">
      <c r="I552" s="1"/>
      <c r="N552" s="1"/>
      <c r="P552" s="1"/>
      <c r="Q552" s="1"/>
    </row>
    <row r="553" ht="15.75" customHeight="1">
      <c r="I553" s="1"/>
      <c r="N553" s="1"/>
      <c r="P553" s="1"/>
      <c r="Q553" s="1"/>
    </row>
    <row r="554" ht="15.75" customHeight="1">
      <c r="I554" s="1"/>
      <c r="N554" s="1"/>
      <c r="P554" s="1"/>
      <c r="Q554" s="1"/>
    </row>
    <row r="555" ht="15.75" customHeight="1">
      <c r="I555" s="1"/>
      <c r="N555" s="1"/>
      <c r="P555" s="1"/>
      <c r="Q555" s="1"/>
    </row>
    <row r="556" ht="15.75" customHeight="1">
      <c r="I556" s="1"/>
      <c r="N556" s="1"/>
      <c r="P556" s="1"/>
      <c r="Q556" s="1"/>
    </row>
    <row r="557" ht="15.75" customHeight="1">
      <c r="I557" s="1"/>
      <c r="N557" s="1"/>
      <c r="P557" s="1"/>
      <c r="Q557" s="1"/>
    </row>
    <row r="558" ht="15.75" customHeight="1">
      <c r="I558" s="1"/>
      <c r="N558" s="1"/>
      <c r="P558" s="1"/>
      <c r="Q558" s="1"/>
    </row>
    <row r="559" ht="15.75" customHeight="1">
      <c r="I559" s="1"/>
      <c r="N559" s="1"/>
      <c r="P559" s="1"/>
      <c r="Q559" s="1"/>
    </row>
    <row r="560" ht="15.75" customHeight="1">
      <c r="I560" s="1"/>
      <c r="N560" s="1"/>
      <c r="P560" s="1"/>
      <c r="Q560" s="1"/>
    </row>
    <row r="561" ht="15.75" customHeight="1">
      <c r="I561" s="1"/>
      <c r="N561" s="1"/>
      <c r="P561" s="1"/>
      <c r="Q561" s="1"/>
    </row>
    <row r="562" ht="15.75" customHeight="1">
      <c r="I562" s="1"/>
      <c r="N562" s="1"/>
      <c r="P562" s="1"/>
      <c r="Q562" s="1"/>
    </row>
    <row r="563" ht="15.75" customHeight="1">
      <c r="I563" s="1"/>
      <c r="N563" s="1"/>
      <c r="P563" s="1"/>
      <c r="Q563" s="1"/>
    </row>
    <row r="564" ht="15.75" customHeight="1">
      <c r="I564" s="1"/>
      <c r="N564" s="1"/>
      <c r="P564" s="1"/>
      <c r="Q564" s="1"/>
    </row>
    <row r="565" ht="15.75" customHeight="1">
      <c r="I565" s="1"/>
      <c r="N565" s="1"/>
      <c r="P565" s="1"/>
      <c r="Q565" s="1"/>
    </row>
    <row r="566" ht="15.75" customHeight="1">
      <c r="I566" s="1"/>
      <c r="N566" s="1"/>
      <c r="P566" s="1"/>
      <c r="Q566" s="1"/>
    </row>
    <row r="567" ht="15.75" customHeight="1">
      <c r="I567" s="1"/>
      <c r="N567" s="1"/>
      <c r="P567" s="1"/>
      <c r="Q567" s="1"/>
    </row>
    <row r="568" ht="15.75" customHeight="1">
      <c r="I568" s="1"/>
      <c r="N568" s="1"/>
      <c r="P568" s="1"/>
      <c r="Q568" s="1"/>
    </row>
    <row r="569" ht="15.75" customHeight="1">
      <c r="I569" s="1"/>
      <c r="N569" s="1"/>
      <c r="P569" s="1"/>
      <c r="Q569" s="1"/>
    </row>
    <row r="570" ht="15.75" customHeight="1">
      <c r="I570" s="1"/>
      <c r="N570" s="1"/>
      <c r="P570" s="1"/>
      <c r="Q570" s="1"/>
    </row>
    <row r="571" ht="15.75" customHeight="1">
      <c r="I571" s="1"/>
      <c r="N571" s="1"/>
      <c r="P571" s="1"/>
      <c r="Q571" s="1"/>
    </row>
    <row r="572" ht="15.75" customHeight="1">
      <c r="I572" s="1"/>
      <c r="N572" s="1"/>
      <c r="P572" s="1"/>
      <c r="Q572" s="1"/>
    </row>
    <row r="573" ht="15.75" customHeight="1">
      <c r="I573" s="1"/>
      <c r="N573" s="1"/>
      <c r="P573" s="1"/>
      <c r="Q573" s="1"/>
    </row>
    <row r="574" ht="15.75" customHeight="1">
      <c r="I574" s="1"/>
      <c r="N574" s="1"/>
      <c r="P574" s="1"/>
      <c r="Q574" s="1"/>
    </row>
    <row r="575" ht="15.75" customHeight="1">
      <c r="I575" s="1"/>
      <c r="N575" s="1"/>
      <c r="P575" s="1"/>
      <c r="Q575" s="1"/>
    </row>
    <row r="576" ht="15.75" customHeight="1">
      <c r="I576" s="1"/>
      <c r="N576" s="1"/>
      <c r="P576" s="1"/>
      <c r="Q576" s="1"/>
    </row>
    <row r="577" ht="15.75" customHeight="1">
      <c r="I577" s="1"/>
      <c r="N577" s="1"/>
      <c r="P577" s="1"/>
      <c r="Q577" s="1"/>
    </row>
    <row r="578" ht="15.75" customHeight="1">
      <c r="I578" s="1"/>
      <c r="N578" s="1"/>
      <c r="P578" s="1"/>
      <c r="Q578" s="1"/>
    </row>
    <row r="579" ht="15.75" customHeight="1">
      <c r="I579" s="1"/>
      <c r="N579" s="1"/>
      <c r="P579" s="1"/>
      <c r="Q579" s="1"/>
    </row>
    <row r="580" ht="15.75" customHeight="1">
      <c r="I580" s="1"/>
      <c r="N580" s="1"/>
      <c r="P580" s="1"/>
      <c r="Q580" s="1"/>
    </row>
    <row r="581" ht="15.75" customHeight="1">
      <c r="I581" s="1"/>
      <c r="N581" s="1"/>
      <c r="P581" s="1"/>
      <c r="Q581" s="1"/>
    </row>
    <row r="582" ht="15.75" customHeight="1">
      <c r="I582" s="1"/>
      <c r="N582" s="1"/>
      <c r="P582" s="1"/>
      <c r="Q582" s="1"/>
    </row>
    <row r="583" ht="15.75" customHeight="1">
      <c r="I583" s="1"/>
      <c r="N583" s="1"/>
      <c r="P583" s="1"/>
      <c r="Q583" s="1"/>
    </row>
    <row r="584" ht="15.75" customHeight="1">
      <c r="I584" s="1"/>
      <c r="N584" s="1"/>
      <c r="P584" s="1"/>
      <c r="Q584" s="1"/>
    </row>
    <row r="585" ht="15.75" customHeight="1">
      <c r="I585" s="1"/>
      <c r="N585" s="1"/>
      <c r="P585" s="1"/>
      <c r="Q585" s="1"/>
    </row>
    <row r="586" ht="15.75" customHeight="1">
      <c r="I586" s="1"/>
      <c r="N586" s="1"/>
      <c r="P586" s="1"/>
      <c r="Q586" s="1"/>
    </row>
    <row r="587" ht="15.75" customHeight="1">
      <c r="I587" s="1"/>
      <c r="N587" s="1"/>
      <c r="P587" s="1"/>
      <c r="Q587" s="1"/>
    </row>
    <row r="588" ht="15.75" customHeight="1">
      <c r="I588" s="1"/>
      <c r="N588" s="1"/>
      <c r="P588" s="1"/>
      <c r="Q588" s="1"/>
    </row>
    <row r="589" ht="15.75" customHeight="1">
      <c r="I589" s="1"/>
      <c r="N589" s="1"/>
      <c r="P589" s="1"/>
      <c r="Q589" s="1"/>
    </row>
    <row r="590" ht="15.75" customHeight="1">
      <c r="I590" s="1"/>
      <c r="N590" s="1"/>
      <c r="P590" s="1"/>
      <c r="Q590" s="1"/>
    </row>
    <row r="591" ht="15.75" customHeight="1">
      <c r="I591" s="1"/>
      <c r="N591" s="1"/>
      <c r="P591" s="1"/>
      <c r="Q591" s="1"/>
    </row>
    <row r="592" ht="15.75" customHeight="1">
      <c r="I592" s="1"/>
      <c r="N592" s="1"/>
      <c r="P592" s="1"/>
      <c r="Q592" s="1"/>
    </row>
    <row r="593" ht="15.75" customHeight="1">
      <c r="I593" s="1"/>
      <c r="N593" s="1"/>
      <c r="P593" s="1"/>
      <c r="Q593" s="1"/>
    </row>
    <row r="594" ht="15.75" customHeight="1">
      <c r="I594" s="1"/>
      <c r="N594" s="1"/>
      <c r="P594" s="1"/>
      <c r="Q594" s="1"/>
    </row>
    <row r="595" ht="15.75" customHeight="1">
      <c r="I595" s="1"/>
      <c r="N595" s="1"/>
      <c r="P595" s="1"/>
      <c r="Q595" s="1"/>
    </row>
    <row r="596" ht="15.75" customHeight="1">
      <c r="I596" s="1"/>
      <c r="N596" s="1"/>
      <c r="P596" s="1"/>
      <c r="Q596" s="1"/>
    </row>
    <row r="597" ht="15.75" customHeight="1">
      <c r="I597" s="1"/>
      <c r="N597" s="1"/>
      <c r="P597" s="1"/>
      <c r="Q597" s="1"/>
    </row>
    <row r="598" ht="15.75" customHeight="1">
      <c r="I598" s="1"/>
      <c r="N598" s="1"/>
      <c r="P598" s="1"/>
      <c r="Q598" s="1"/>
    </row>
    <row r="599" ht="15.75" customHeight="1">
      <c r="I599" s="1"/>
      <c r="N599" s="1"/>
      <c r="P599" s="1"/>
      <c r="Q599" s="1"/>
    </row>
    <row r="600" ht="15.75" customHeight="1">
      <c r="I600" s="1"/>
      <c r="N600" s="1"/>
      <c r="P600" s="1"/>
      <c r="Q600" s="1"/>
    </row>
    <row r="601" ht="15.75" customHeight="1">
      <c r="I601" s="1"/>
      <c r="N601" s="1"/>
      <c r="P601" s="1"/>
      <c r="Q601" s="1"/>
    </row>
    <row r="602" ht="15.75" customHeight="1">
      <c r="I602" s="1"/>
      <c r="N602" s="1"/>
      <c r="P602" s="1"/>
      <c r="Q602" s="1"/>
    </row>
    <row r="603" ht="15.75" customHeight="1">
      <c r="I603" s="1"/>
      <c r="N603" s="1"/>
      <c r="P603" s="1"/>
      <c r="Q603" s="1"/>
    </row>
    <row r="604" ht="15.75" customHeight="1">
      <c r="I604" s="1"/>
      <c r="N604" s="1"/>
      <c r="P604" s="1"/>
      <c r="Q604" s="1"/>
    </row>
    <row r="605" ht="15.75" customHeight="1">
      <c r="I605" s="1"/>
      <c r="N605" s="1"/>
      <c r="P605" s="1"/>
      <c r="Q605" s="1"/>
    </row>
    <row r="606" ht="15.75" customHeight="1">
      <c r="I606" s="1"/>
      <c r="N606" s="1"/>
      <c r="P606" s="1"/>
      <c r="Q606" s="1"/>
    </row>
    <row r="607" ht="15.75" customHeight="1">
      <c r="I607" s="1"/>
      <c r="N607" s="1"/>
      <c r="P607" s="1"/>
      <c r="Q607" s="1"/>
    </row>
    <row r="608" ht="15.75" customHeight="1">
      <c r="I608" s="1"/>
      <c r="N608" s="1"/>
      <c r="P608" s="1"/>
      <c r="Q608" s="1"/>
    </row>
    <row r="609" ht="15.75" customHeight="1">
      <c r="I609" s="1"/>
      <c r="N609" s="1"/>
      <c r="P609" s="1"/>
      <c r="Q609" s="1"/>
    </row>
    <row r="610" ht="15.75" customHeight="1">
      <c r="I610" s="1"/>
      <c r="N610" s="1"/>
      <c r="P610" s="1"/>
      <c r="Q610" s="1"/>
    </row>
    <row r="611" ht="15.75" customHeight="1">
      <c r="I611" s="1"/>
      <c r="N611" s="1"/>
      <c r="P611" s="1"/>
      <c r="Q611" s="1"/>
    </row>
    <row r="612" ht="15.75" customHeight="1">
      <c r="I612" s="1"/>
      <c r="N612" s="1"/>
      <c r="P612" s="1"/>
      <c r="Q612" s="1"/>
    </row>
    <row r="613" ht="15.75" customHeight="1">
      <c r="I613" s="1"/>
      <c r="N613" s="1"/>
      <c r="P613" s="1"/>
      <c r="Q613" s="1"/>
    </row>
    <row r="614" ht="15.75" customHeight="1">
      <c r="I614" s="1"/>
      <c r="N614" s="1"/>
      <c r="P614" s="1"/>
      <c r="Q614" s="1"/>
    </row>
    <row r="615" ht="15.75" customHeight="1">
      <c r="I615" s="1"/>
      <c r="N615" s="1"/>
      <c r="P615" s="1"/>
      <c r="Q615" s="1"/>
    </row>
    <row r="616" ht="15.75" customHeight="1">
      <c r="I616" s="1"/>
      <c r="N616" s="1"/>
      <c r="P616" s="1"/>
      <c r="Q616" s="1"/>
    </row>
    <row r="617" ht="15.75" customHeight="1">
      <c r="I617" s="1"/>
      <c r="N617" s="1"/>
      <c r="P617" s="1"/>
      <c r="Q617" s="1"/>
    </row>
    <row r="618" ht="15.75" customHeight="1">
      <c r="I618" s="1"/>
      <c r="N618" s="1"/>
      <c r="P618" s="1"/>
      <c r="Q618" s="1"/>
    </row>
    <row r="619" ht="15.75" customHeight="1">
      <c r="I619" s="1"/>
      <c r="N619" s="1"/>
      <c r="P619" s="1"/>
      <c r="Q619" s="1"/>
    </row>
    <row r="620" ht="15.75" customHeight="1">
      <c r="I620" s="1"/>
      <c r="N620" s="1"/>
      <c r="P620" s="1"/>
      <c r="Q620" s="1"/>
    </row>
    <row r="621" ht="15.75" customHeight="1">
      <c r="I621" s="1"/>
      <c r="N621" s="1"/>
      <c r="P621" s="1"/>
      <c r="Q621" s="1"/>
    </row>
    <row r="622" ht="15.75" customHeight="1">
      <c r="I622" s="1"/>
      <c r="N622" s="1"/>
      <c r="P622" s="1"/>
      <c r="Q622" s="1"/>
    </row>
    <row r="623" ht="15.75" customHeight="1">
      <c r="I623" s="1"/>
      <c r="N623" s="1"/>
      <c r="P623" s="1"/>
      <c r="Q623" s="1"/>
    </row>
    <row r="624" ht="15.75" customHeight="1">
      <c r="I624" s="1"/>
      <c r="N624" s="1"/>
      <c r="P624" s="1"/>
      <c r="Q624" s="1"/>
    </row>
    <row r="625" ht="15.75" customHeight="1">
      <c r="I625" s="1"/>
      <c r="N625" s="1"/>
      <c r="P625" s="1"/>
      <c r="Q625" s="1"/>
    </row>
    <row r="626" ht="15.75" customHeight="1">
      <c r="I626" s="1"/>
      <c r="N626" s="1"/>
      <c r="P626" s="1"/>
      <c r="Q626" s="1"/>
    </row>
    <row r="627" ht="15.75" customHeight="1">
      <c r="I627" s="1"/>
      <c r="N627" s="1"/>
      <c r="P627" s="1"/>
      <c r="Q627" s="1"/>
    </row>
    <row r="628" ht="15.75" customHeight="1">
      <c r="I628" s="1"/>
      <c r="N628" s="1"/>
      <c r="P628" s="1"/>
      <c r="Q628" s="1"/>
    </row>
    <row r="629" ht="15.75" customHeight="1">
      <c r="I629" s="1"/>
      <c r="N629" s="1"/>
      <c r="P629" s="1"/>
      <c r="Q629" s="1"/>
    </row>
    <row r="630" ht="15.75" customHeight="1">
      <c r="I630" s="1"/>
      <c r="N630" s="1"/>
      <c r="P630" s="1"/>
      <c r="Q630" s="1"/>
    </row>
    <row r="631" ht="15.75" customHeight="1">
      <c r="I631" s="1"/>
      <c r="N631" s="1"/>
      <c r="P631" s="1"/>
      <c r="Q631" s="1"/>
    </row>
    <row r="632" ht="15.75" customHeight="1">
      <c r="I632" s="1"/>
      <c r="N632" s="1"/>
      <c r="P632" s="1"/>
      <c r="Q632" s="1"/>
    </row>
    <row r="633" ht="15.75" customHeight="1">
      <c r="I633" s="1"/>
      <c r="N633" s="1"/>
      <c r="P633" s="1"/>
      <c r="Q633" s="1"/>
    </row>
    <row r="634" ht="15.75" customHeight="1">
      <c r="I634" s="1"/>
      <c r="N634" s="1"/>
      <c r="P634" s="1"/>
      <c r="Q634" s="1"/>
    </row>
    <row r="635" ht="15.75" customHeight="1">
      <c r="I635" s="1"/>
      <c r="N635" s="1"/>
      <c r="P635" s="1"/>
      <c r="Q635" s="1"/>
    </row>
    <row r="636" ht="15.75" customHeight="1">
      <c r="I636" s="1"/>
      <c r="N636" s="1"/>
      <c r="P636" s="1"/>
      <c r="Q636" s="1"/>
    </row>
    <row r="637" ht="15.75" customHeight="1">
      <c r="I637" s="1"/>
      <c r="N637" s="1"/>
      <c r="P637" s="1"/>
      <c r="Q637" s="1"/>
    </row>
    <row r="638" ht="15.75" customHeight="1">
      <c r="I638" s="1"/>
      <c r="N638" s="1"/>
      <c r="P638" s="1"/>
      <c r="Q638" s="1"/>
    </row>
    <row r="639" ht="15.75" customHeight="1">
      <c r="I639" s="1"/>
      <c r="N639" s="1"/>
      <c r="P639" s="1"/>
      <c r="Q639" s="1"/>
    </row>
    <row r="640" ht="15.75" customHeight="1">
      <c r="I640" s="1"/>
      <c r="N640" s="1"/>
      <c r="P640" s="1"/>
      <c r="Q640" s="1"/>
    </row>
    <row r="641" ht="15.75" customHeight="1">
      <c r="I641" s="1"/>
      <c r="N641" s="1"/>
      <c r="P641" s="1"/>
      <c r="Q641" s="1"/>
    </row>
    <row r="642" ht="15.75" customHeight="1">
      <c r="I642" s="1"/>
      <c r="N642" s="1"/>
      <c r="P642" s="1"/>
      <c r="Q642" s="1"/>
    </row>
    <row r="643" ht="15.75" customHeight="1">
      <c r="I643" s="1"/>
      <c r="N643" s="1"/>
      <c r="P643" s="1"/>
      <c r="Q643" s="1"/>
    </row>
    <row r="644" ht="15.75" customHeight="1">
      <c r="I644" s="1"/>
      <c r="N644" s="1"/>
      <c r="P644" s="1"/>
      <c r="Q644" s="1"/>
    </row>
    <row r="645" ht="15.75" customHeight="1">
      <c r="I645" s="1"/>
      <c r="N645" s="1"/>
      <c r="P645" s="1"/>
      <c r="Q645" s="1"/>
    </row>
    <row r="646" ht="15.75" customHeight="1">
      <c r="I646" s="1"/>
      <c r="N646" s="1"/>
      <c r="P646" s="1"/>
      <c r="Q646" s="1"/>
    </row>
    <row r="647" ht="15.75" customHeight="1">
      <c r="I647" s="1"/>
      <c r="N647" s="1"/>
      <c r="P647" s="1"/>
      <c r="Q647" s="1"/>
    </row>
    <row r="648" ht="15.75" customHeight="1">
      <c r="I648" s="1"/>
      <c r="N648" s="1"/>
      <c r="P648" s="1"/>
      <c r="Q648" s="1"/>
    </row>
    <row r="649" ht="15.75" customHeight="1">
      <c r="I649" s="1"/>
      <c r="N649" s="1"/>
      <c r="P649" s="1"/>
      <c r="Q649" s="1"/>
    </row>
    <row r="650" ht="15.75" customHeight="1">
      <c r="I650" s="1"/>
      <c r="N650" s="1"/>
      <c r="P650" s="1"/>
      <c r="Q650" s="1"/>
    </row>
    <row r="651" ht="15.75" customHeight="1">
      <c r="I651" s="1"/>
      <c r="N651" s="1"/>
      <c r="P651" s="1"/>
      <c r="Q651" s="1"/>
    </row>
    <row r="652" ht="15.75" customHeight="1">
      <c r="I652" s="1"/>
      <c r="N652" s="1"/>
      <c r="P652" s="1"/>
      <c r="Q652" s="1"/>
    </row>
    <row r="653" ht="15.75" customHeight="1">
      <c r="I653" s="1"/>
      <c r="N653" s="1"/>
      <c r="P653" s="1"/>
      <c r="Q653" s="1"/>
    </row>
    <row r="654" ht="15.75" customHeight="1">
      <c r="I654" s="1"/>
      <c r="N654" s="1"/>
      <c r="P654" s="1"/>
      <c r="Q654" s="1"/>
    </row>
    <row r="655" ht="15.75" customHeight="1">
      <c r="I655" s="1"/>
      <c r="N655" s="1"/>
      <c r="P655" s="1"/>
      <c r="Q655" s="1"/>
    </row>
    <row r="656" ht="15.75" customHeight="1">
      <c r="I656" s="1"/>
      <c r="N656" s="1"/>
      <c r="P656" s="1"/>
      <c r="Q656" s="1"/>
    </row>
    <row r="657" ht="15.75" customHeight="1">
      <c r="I657" s="1"/>
      <c r="N657" s="1"/>
      <c r="P657" s="1"/>
      <c r="Q657" s="1"/>
    </row>
    <row r="658" ht="15.75" customHeight="1">
      <c r="I658" s="1"/>
      <c r="N658" s="1"/>
      <c r="P658" s="1"/>
      <c r="Q658" s="1"/>
    </row>
    <row r="659" ht="15.75" customHeight="1">
      <c r="I659" s="1"/>
      <c r="N659" s="1"/>
      <c r="P659" s="1"/>
      <c r="Q659" s="1"/>
    </row>
    <row r="660" ht="15.75" customHeight="1">
      <c r="I660" s="1"/>
      <c r="N660" s="1"/>
      <c r="P660" s="1"/>
      <c r="Q660" s="1"/>
    </row>
    <row r="661" ht="15.75" customHeight="1">
      <c r="I661" s="1"/>
      <c r="N661" s="1"/>
      <c r="P661" s="1"/>
      <c r="Q661" s="1"/>
    </row>
    <row r="662" ht="15.75" customHeight="1">
      <c r="I662" s="1"/>
      <c r="N662" s="1"/>
      <c r="P662" s="1"/>
      <c r="Q662" s="1"/>
    </row>
    <row r="663" ht="15.75" customHeight="1">
      <c r="I663" s="1"/>
      <c r="N663" s="1"/>
      <c r="P663" s="1"/>
      <c r="Q663" s="1"/>
    </row>
    <row r="664" ht="15.75" customHeight="1">
      <c r="I664" s="1"/>
      <c r="N664" s="1"/>
      <c r="P664" s="1"/>
      <c r="Q664" s="1"/>
    </row>
    <row r="665" ht="15.75" customHeight="1">
      <c r="I665" s="1"/>
      <c r="N665" s="1"/>
      <c r="P665" s="1"/>
      <c r="Q665" s="1"/>
    </row>
    <row r="666" ht="15.75" customHeight="1">
      <c r="I666" s="1"/>
      <c r="N666" s="1"/>
      <c r="P666" s="1"/>
      <c r="Q666" s="1"/>
    </row>
    <row r="667" ht="15.75" customHeight="1">
      <c r="I667" s="1"/>
      <c r="N667" s="1"/>
      <c r="P667" s="1"/>
      <c r="Q667" s="1"/>
    </row>
    <row r="668" ht="15.75" customHeight="1">
      <c r="I668" s="1"/>
      <c r="N668" s="1"/>
      <c r="P668" s="1"/>
      <c r="Q668" s="1"/>
    </row>
    <row r="669" ht="15.75" customHeight="1">
      <c r="I669" s="1"/>
      <c r="N669" s="1"/>
      <c r="P669" s="1"/>
      <c r="Q669" s="1"/>
    </row>
    <row r="670" ht="15.75" customHeight="1">
      <c r="I670" s="1"/>
      <c r="N670" s="1"/>
      <c r="P670" s="1"/>
      <c r="Q670" s="1"/>
    </row>
    <row r="671" ht="15.75" customHeight="1">
      <c r="I671" s="1"/>
      <c r="N671" s="1"/>
      <c r="P671" s="1"/>
      <c r="Q671" s="1"/>
    </row>
    <row r="672" ht="15.75" customHeight="1">
      <c r="I672" s="1"/>
      <c r="N672" s="1"/>
      <c r="P672" s="1"/>
      <c r="Q672" s="1"/>
    </row>
    <row r="673" ht="15.75" customHeight="1">
      <c r="I673" s="1"/>
      <c r="N673" s="1"/>
      <c r="P673" s="1"/>
      <c r="Q673" s="1"/>
    </row>
    <row r="674" ht="15.75" customHeight="1">
      <c r="I674" s="1"/>
      <c r="N674" s="1"/>
      <c r="P674" s="1"/>
      <c r="Q674" s="1"/>
    </row>
    <row r="675" ht="15.75" customHeight="1">
      <c r="I675" s="1"/>
      <c r="N675" s="1"/>
      <c r="P675" s="1"/>
      <c r="Q675" s="1"/>
    </row>
    <row r="676" ht="15.75" customHeight="1">
      <c r="I676" s="1"/>
      <c r="N676" s="1"/>
      <c r="P676" s="1"/>
      <c r="Q676" s="1"/>
    </row>
    <row r="677" ht="15.75" customHeight="1">
      <c r="I677" s="1"/>
      <c r="N677" s="1"/>
      <c r="P677" s="1"/>
      <c r="Q677" s="1"/>
    </row>
    <row r="678" ht="15.75" customHeight="1">
      <c r="I678" s="1"/>
      <c r="N678" s="1"/>
      <c r="P678" s="1"/>
      <c r="Q678" s="1"/>
    </row>
    <row r="679" ht="15.75" customHeight="1">
      <c r="I679" s="1"/>
      <c r="N679" s="1"/>
      <c r="P679" s="1"/>
      <c r="Q679" s="1"/>
    </row>
    <row r="680" ht="15.75" customHeight="1">
      <c r="I680" s="1"/>
      <c r="N680" s="1"/>
      <c r="P680" s="1"/>
      <c r="Q680" s="1"/>
    </row>
    <row r="681" ht="15.75" customHeight="1">
      <c r="I681" s="1"/>
      <c r="N681" s="1"/>
      <c r="P681" s="1"/>
      <c r="Q681" s="1"/>
    </row>
    <row r="682" ht="15.75" customHeight="1">
      <c r="I682" s="1"/>
      <c r="N682" s="1"/>
      <c r="P682" s="1"/>
      <c r="Q682" s="1"/>
    </row>
    <row r="683" ht="15.75" customHeight="1">
      <c r="I683" s="1"/>
      <c r="N683" s="1"/>
      <c r="P683" s="1"/>
      <c r="Q683" s="1"/>
    </row>
    <row r="684" ht="15.75" customHeight="1">
      <c r="I684" s="1"/>
      <c r="N684" s="1"/>
      <c r="P684" s="1"/>
      <c r="Q684" s="1"/>
    </row>
    <row r="685" ht="15.75" customHeight="1">
      <c r="I685" s="1"/>
      <c r="N685" s="1"/>
      <c r="P685" s="1"/>
      <c r="Q685" s="1"/>
    </row>
    <row r="686" ht="15.75" customHeight="1">
      <c r="I686" s="1"/>
      <c r="N686" s="1"/>
      <c r="P686" s="1"/>
      <c r="Q686" s="1"/>
    </row>
    <row r="687" ht="15.75" customHeight="1">
      <c r="I687" s="1"/>
      <c r="N687" s="1"/>
      <c r="P687" s="1"/>
      <c r="Q687" s="1"/>
    </row>
    <row r="688" ht="15.75" customHeight="1">
      <c r="I688" s="1"/>
      <c r="N688" s="1"/>
      <c r="P688" s="1"/>
      <c r="Q688" s="1"/>
    </row>
    <row r="689" ht="15.75" customHeight="1">
      <c r="I689" s="1"/>
      <c r="N689" s="1"/>
      <c r="P689" s="1"/>
      <c r="Q689" s="1"/>
    </row>
    <row r="690" ht="15.75" customHeight="1">
      <c r="I690" s="1"/>
      <c r="N690" s="1"/>
      <c r="P690" s="1"/>
      <c r="Q690" s="1"/>
    </row>
    <row r="691" ht="15.75" customHeight="1">
      <c r="I691" s="1"/>
      <c r="N691" s="1"/>
      <c r="P691" s="1"/>
      <c r="Q691" s="1"/>
    </row>
    <row r="692" ht="15.75" customHeight="1">
      <c r="I692" s="1"/>
      <c r="N692" s="1"/>
      <c r="P692" s="1"/>
      <c r="Q692" s="1"/>
    </row>
    <row r="693" ht="15.75" customHeight="1">
      <c r="I693" s="1"/>
      <c r="N693" s="1"/>
      <c r="P693" s="1"/>
      <c r="Q693" s="1"/>
    </row>
    <row r="694" ht="15.75" customHeight="1">
      <c r="I694" s="1"/>
      <c r="N694" s="1"/>
      <c r="P694" s="1"/>
      <c r="Q694" s="1"/>
    </row>
    <row r="695" ht="15.75" customHeight="1">
      <c r="I695" s="1"/>
      <c r="N695" s="1"/>
      <c r="P695" s="1"/>
      <c r="Q695" s="1"/>
    </row>
    <row r="696" ht="15.75" customHeight="1">
      <c r="I696" s="1"/>
      <c r="N696" s="1"/>
      <c r="P696" s="1"/>
      <c r="Q696" s="1"/>
    </row>
    <row r="697" ht="15.75" customHeight="1">
      <c r="I697" s="1"/>
      <c r="N697" s="1"/>
      <c r="P697" s="1"/>
      <c r="Q697" s="1"/>
    </row>
    <row r="698" ht="15.75" customHeight="1">
      <c r="I698" s="1"/>
      <c r="N698" s="1"/>
      <c r="P698" s="1"/>
      <c r="Q698" s="1"/>
    </row>
    <row r="699" ht="15.75" customHeight="1">
      <c r="I699" s="1"/>
      <c r="N699" s="1"/>
      <c r="P699" s="1"/>
      <c r="Q699" s="1"/>
    </row>
    <row r="700" ht="15.75" customHeight="1">
      <c r="I700" s="1"/>
      <c r="N700" s="1"/>
      <c r="P700" s="1"/>
      <c r="Q700" s="1"/>
    </row>
    <row r="701" ht="15.75" customHeight="1">
      <c r="I701" s="1"/>
      <c r="N701" s="1"/>
      <c r="P701" s="1"/>
      <c r="Q701" s="1"/>
    </row>
    <row r="702" ht="15.75" customHeight="1">
      <c r="I702" s="1"/>
      <c r="N702" s="1"/>
      <c r="P702" s="1"/>
      <c r="Q702" s="1"/>
    </row>
    <row r="703" ht="15.75" customHeight="1">
      <c r="I703" s="1"/>
      <c r="N703" s="1"/>
      <c r="P703" s="1"/>
      <c r="Q703" s="1"/>
    </row>
    <row r="704" ht="15.75" customHeight="1">
      <c r="I704" s="1"/>
      <c r="N704" s="1"/>
      <c r="P704" s="1"/>
      <c r="Q704" s="1"/>
    </row>
    <row r="705" ht="15.75" customHeight="1">
      <c r="I705" s="1"/>
      <c r="N705" s="1"/>
      <c r="P705" s="1"/>
      <c r="Q705" s="1"/>
    </row>
    <row r="706" ht="15.75" customHeight="1">
      <c r="I706" s="1"/>
      <c r="N706" s="1"/>
      <c r="P706" s="1"/>
      <c r="Q706" s="1"/>
    </row>
    <row r="707" ht="15.75" customHeight="1">
      <c r="I707" s="1"/>
      <c r="N707" s="1"/>
      <c r="P707" s="1"/>
      <c r="Q707" s="1"/>
    </row>
    <row r="708" ht="15.75" customHeight="1">
      <c r="I708" s="1"/>
      <c r="N708" s="1"/>
      <c r="P708" s="1"/>
      <c r="Q708" s="1"/>
    </row>
    <row r="709" ht="15.75" customHeight="1">
      <c r="I709" s="1"/>
      <c r="N709" s="1"/>
      <c r="P709" s="1"/>
      <c r="Q709" s="1"/>
    </row>
    <row r="710" ht="15.75" customHeight="1">
      <c r="I710" s="1"/>
      <c r="N710" s="1"/>
      <c r="P710" s="1"/>
      <c r="Q710" s="1"/>
    </row>
    <row r="711" ht="15.75" customHeight="1">
      <c r="I711" s="1"/>
      <c r="N711" s="1"/>
      <c r="P711" s="1"/>
      <c r="Q711" s="1"/>
    </row>
    <row r="712" ht="15.75" customHeight="1">
      <c r="I712" s="1"/>
      <c r="N712" s="1"/>
      <c r="P712" s="1"/>
      <c r="Q712" s="1"/>
    </row>
    <row r="713" ht="15.75" customHeight="1">
      <c r="I713" s="1"/>
      <c r="N713" s="1"/>
      <c r="P713" s="1"/>
      <c r="Q713" s="1"/>
    </row>
    <row r="714" ht="15.75" customHeight="1">
      <c r="I714" s="1"/>
      <c r="N714" s="1"/>
      <c r="P714" s="1"/>
      <c r="Q714" s="1"/>
    </row>
    <row r="715" ht="15.75" customHeight="1">
      <c r="I715" s="1"/>
      <c r="N715" s="1"/>
      <c r="P715" s="1"/>
      <c r="Q715" s="1"/>
    </row>
    <row r="716" ht="15.75" customHeight="1">
      <c r="I716" s="1"/>
      <c r="N716" s="1"/>
      <c r="P716" s="1"/>
      <c r="Q716" s="1"/>
    </row>
    <row r="717" ht="15.75" customHeight="1">
      <c r="I717" s="1"/>
      <c r="N717" s="1"/>
      <c r="P717" s="1"/>
      <c r="Q717" s="1"/>
    </row>
    <row r="718" ht="15.75" customHeight="1">
      <c r="I718" s="1"/>
      <c r="N718" s="1"/>
      <c r="P718" s="1"/>
      <c r="Q718" s="1"/>
    </row>
    <row r="719" ht="15.75" customHeight="1">
      <c r="I719" s="1"/>
      <c r="N719" s="1"/>
      <c r="P719" s="1"/>
      <c r="Q719" s="1"/>
    </row>
    <row r="720" ht="15.75" customHeight="1">
      <c r="I720" s="1"/>
      <c r="N720" s="1"/>
      <c r="P720" s="1"/>
      <c r="Q720" s="1"/>
    </row>
    <row r="721" ht="15.75" customHeight="1">
      <c r="I721" s="1"/>
      <c r="N721" s="1"/>
      <c r="P721" s="1"/>
      <c r="Q721" s="1"/>
    </row>
    <row r="722" ht="15.75" customHeight="1">
      <c r="I722" s="1"/>
      <c r="N722" s="1"/>
      <c r="P722" s="1"/>
      <c r="Q722" s="1"/>
    </row>
    <row r="723" ht="15.75" customHeight="1">
      <c r="I723" s="1"/>
      <c r="N723" s="1"/>
      <c r="P723" s="1"/>
      <c r="Q723" s="1"/>
    </row>
    <row r="724" ht="15.75" customHeight="1">
      <c r="I724" s="1"/>
      <c r="N724" s="1"/>
      <c r="P724" s="1"/>
      <c r="Q724" s="1"/>
    </row>
    <row r="725" ht="15.75" customHeight="1">
      <c r="I725" s="1"/>
      <c r="N725" s="1"/>
      <c r="P725" s="1"/>
      <c r="Q725" s="1"/>
    </row>
    <row r="726" ht="15.75" customHeight="1">
      <c r="I726" s="1"/>
      <c r="N726" s="1"/>
      <c r="P726" s="1"/>
      <c r="Q726" s="1"/>
    </row>
    <row r="727" ht="15.75" customHeight="1">
      <c r="I727" s="1"/>
      <c r="N727" s="1"/>
      <c r="P727" s="1"/>
      <c r="Q727" s="1"/>
    </row>
    <row r="728" ht="15.75" customHeight="1">
      <c r="I728" s="1"/>
      <c r="N728" s="1"/>
      <c r="P728" s="1"/>
      <c r="Q728" s="1"/>
    </row>
    <row r="729" ht="15.75" customHeight="1">
      <c r="I729" s="1"/>
      <c r="N729" s="1"/>
      <c r="P729" s="1"/>
      <c r="Q729" s="1"/>
    </row>
    <row r="730" ht="15.75" customHeight="1">
      <c r="I730" s="1"/>
      <c r="N730" s="1"/>
      <c r="P730" s="1"/>
      <c r="Q730" s="1"/>
    </row>
    <row r="731" ht="15.75" customHeight="1">
      <c r="I731" s="1"/>
      <c r="N731" s="1"/>
      <c r="P731" s="1"/>
      <c r="Q731" s="1"/>
    </row>
    <row r="732" ht="15.75" customHeight="1">
      <c r="I732" s="1"/>
      <c r="N732" s="1"/>
      <c r="P732" s="1"/>
      <c r="Q732" s="1"/>
    </row>
    <row r="733" ht="15.75" customHeight="1">
      <c r="I733" s="1"/>
      <c r="N733" s="1"/>
      <c r="P733" s="1"/>
      <c r="Q733" s="1"/>
    </row>
    <row r="734" ht="15.75" customHeight="1">
      <c r="I734" s="1"/>
      <c r="N734" s="1"/>
      <c r="P734" s="1"/>
      <c r="Q734" s="1"/>
    </row>
    <row r="735" ht="15.75" customHeight="1">
      <c r="I735" s="1"/>
      <c r="N735" s="1"/>
      <c r="P735" s="1"/>
      <c r="Q735" s="1"/>
    </row>
    <row r="736" ht="15.75" customHeight="1">
      <c r="I736" s="1"/>
      <c r="N736" s="1"/>
      <c r="P736" s="1"/>
      <c r="Q736" s="1"/>
    </row>
    <row r="737" ht="15.75" customHeight="1">
      <c r="I737" s="1"/>
      <c r="N737" s="1"/>
      <c r="P737" s="1"/>
      <c r="Q737" s="1"/>
    </row>
    <row r="738" ht="15.75" customHeight="1">
      <c r="I738" s="1"/>
      <c r="N738" s="1"/>
      <c r="P738" s="1"/>
      <c r="Q738" s="1"/>
    </row>
    <row r="739" ht="15.75" customHeight="1">
      <c r="I739" s="1"/>
      <c r="N739" s="1"/>
      <c r="P739" s="1"/>
      <c r="Q739" s="1"/>
    </row>
    <row r="740" ht="15.75" customHeight="1">
      <c r="I740" s="1"/>
      <c r="N740" s="1"/>
      <c r="P740" s="1"/>
      <c r="Q740" s="1"/>
    </row>
    <row r="741" ht="15.75" customHeight="1">
      <c r="I741" s="1"/>
      <c r="N741" s="1"/>
      <c r="P741" s="1"/>
      <c r="Q741" s="1"/>
    </row>
    <row r="742" ht="15.75" customHeight="1">
      <c r="I742" s="1"/>
      <c r="N742" s="1"/>
      <c r="P742" s="1"/>
      <c r="Q742" s="1"/>
    </row>
    <row r="743" ht="15.75" customHeight="1">
      <c r="I743" s="1"/>
      <c r="N743" s="1"/>
      <c r="P743" s="1"/>
      <c r="Q743" s="1"/>
    </row>
    <row r="744" ht="15.75" customHeight="1">
      <c r="I744" s="1"/>
      <c r="N744" s="1"/>
      <c r="P744" s="1"/>
      <c r="Q744" s="1"/>
    </row>
    <row r="745" ht="15.75" customHeight="1">
      <c r="I745" s="1"/>
      <c r="N745" s="1"/>
      <c r="P745" s="1"/>
      <c r="Q745" s="1"/>
    </row>
    <row r="746" ht="15.75" customHeight="1">
      <c r="I746" s="1"/>
      <c r="N746" s="1"/>
      <c r="P746" s="1"/>
      <c r="Q746" s="1"/>
    </row>
    <row r="747" ht="15.75" customHeight="1">
      <c r="I747" s="1"/>
      <c r="N747" s="1"/>
      <c r="P747" s="1"/>
      <c r="Q747" s="1"/>
    </row>
    <row r="748" ht="15.75" customHeight="1">
      <c r="I748" s="1"/>
      <c r="N748" s="1"/>
      <c r="P748" s="1"/>
      <c r="Q748" s="1"/>
    </row>
    <row r="749" ht="15.75" customHeight="1">
      <c r="I749" s="1"/>
      <c r="N749" s="1"/>
      <c r="P749" s="1"/>
      <c r="Q749" s="1"/>
    </row>
    <row r="750" ht="15.75" customHeight="1">
      <c r="I750" s="1"/>
      <c r="N750" s="1"/>
      <c r="P750" s="1"/>
      <c r="Q750" s="1"/>
    </row>
    <row r="751" ht="15.75" customHeight="1">
      <c r="I751" s="1"/>
      <c r="N751" s="1"/>
      <c r="P751" s="1"/>
      <c r="Q751" s="1"/>
    </row>
    <row r="752" ht="15.75" customHeight="1">
      <c r="I752" s="1"/>
      <c r="N752" s="1"/>
      <c r="P752" s="1"/>
      <c r="Q752" s="1"/>
    </row>
    <row r="753" ht="15.75" customHeight="1">
      <c r="I753" s="1"/>
      <c r="N753" s="1"/>
      <c r="P753" s="1"/>
      <c r="Q753" s="1"/>
    </row>
    <row r="754" ht="15.75" customHeight="1">
      <c r="I754" s="1"/>
      <c r="N754" s="1"/>
      <c r="P754" s="1"/>
      <c r="Q754" s="1"/>
    </row>
    <row r="755" ht="15.75" customHeight="1">
      <c r="I755" s="1"/>
      <c r="N755" s="1"/>
      <c r="P755" s="1"/>
      <c r="Q755" s="1"/>
    </row>
    <row r="756" ht="15.75" customHeight="1">
      <c r="I756" s="1"/>
      <c r="N756" s="1"/>
      <c r="P756" s="1"/>
      <c r="Q756" s="1"/>
    </row>
    <row r="757" ht="15.75" customHeight="1">
      <c r="I757" s="1"/>
      <c r="N757" s="1"/>
      <c r="P757" s="1"/>
      <c r="Q757" s="1"/>
    </row>
    <row r="758" ht="15.75" customHeight="1">
      <c r="I758" s="1"/>
      <c r="N758" s="1"/>
      <c r="P758" s="1"/>
      <c r="Q758" s="1"/>
    </row>
    <row r="759" ht="15.75" customHeight="1">
      <c r="I759" s="1"/>
      <c r="N759" s="1"/>
      <c r="P759" s="1"/>
      <c r="Q759" s="1"/>
    </row>
    <row r="760" ht="15.75" customHeight="1">
      <c r="I760" s="1"/>
      <c r="N760" s="1"/>
      <c r="P760" s="1"/>
      <c r="Q760" s="1"/>
    </row>
    <row r="761" ht="15.75" customHeight="1">
      <c r="I761" s="1"/>
      <c r="N761" s="1"/>
      <c r="P761" s="1"/>
      <c r="Q761" s="1"/>
    </row>
    <row r="762" ht="15.75" customHeight="1">
      <c r="I762" s="1"/>
      <c r="N762" s="1"/>
      <c r="P762" s="1"/>
      <c r="Q762" s="1"/>
    </row>
    <row r="763" ht="15.75" customHeight="1">
      <c r="I763" s="1"/>
      <c r="N763" s="1"/>
      <c r="P763" s="1"/>
      <c r="Q763" s="1"/>
    </row>
    <row r="764" ht="15.75" customHeight="1">
      <c r="I764" s="1"/>
      <c r="N764" s="1"/>
      <c r="P764" s="1"/>
      <c r="Q764" s="1"/>
    </row>
    <row r="765" ht="15.75" customHeight="1">
      <c r="I765" s="1"/>
      <c r="N765" s="1"/>
      <c r="P765" s="1"/>
      <c r="Q765" s="1"/>
    </row>
    <row r="766" ht="15.75" customHeight="1">
      <c r="I766" s="1"/>
      <c r="N766" s="1"/>
      <c r="P766" s="1"/>
      <c r="Q766" s="1"/>
    </row>
    <row r="767" ht="15.75" customHeight="1">
      <c r="I767" s="1"/>
      <c r="N767" s="1"/>
      <c r="P767" s="1"/>
      <c r="Q767" s="1"/>
    </row>
    <row r="768" ht="15.75" customHeight="1">
      <c r="I768" s="1"/>
      <c r="N768" s="1"/>
      <c r="P768" s="1"/>
      <c r="Q768" s="1"/>
    </row>
    <row r="769" ht="15.75" customHeight="1">
      <c r="I769" s="1"/>
      <c r="N769" s="1"/>
      <c r="P769" s="1"/>
      <c r="Q769" s="1"/>
    </row>
    <row r="770" ht="15.75" customHeight="1">
      <c r="I770" s="1"/>
      <c r="N770" s="1"/>
      <c r="P770" s="1"/>
      <c r="Q770" s="1"/>
    </row>
    <row r="771" ht="15.75" customHeight="1">
      <c r="I771" s="1"/>
      <c r="N771" s="1"/>
      <c r="P771" s="1"/>
      <c r="Q771" s="1"/>
    </row>
    <row r="772" ht="15.75" customHeight="1">
      <c r="I772" s="1"/>
      <c r="N772" s="1"/>
      <c r="P772" s="1"/>
      <c r="Q772" s="1"/>
    </row>
    <row r="773" ht="15.75" customHeight="1">
      <c r="I773" s="1"/>
      <c r="N773" s="1"/>
      <c r="P773" s="1"/>
      <c r="Q773" s="1"/>
    </row>
    <row r="774" ht="15.75" customHeight="1">
      <c r="I774" s="1"/>
      <c r="N774" s="1"/>
      <c r="P774" s="1"/>
      <c r="Q774" s="1"/>
    </row>
    <row r="775" ht="15.75" customHeight="1">
      <c r="I775" s="1"/>
      <c r="N775" s="1"/>
      <c r="P775" s="1"/>
      <c r="Q775" s="1"/>
    </row>
    <row r="776" ht="15.75" customHeight="1">
      <c r="I776" s="1"/>
      <c r="N776" s="1"/>
      <c r="P776" s="1"/>
      <c r="Q776" s="1"/>
    </row>
    <row r="777" ht="15.75" customHeight="1">
      <c r="I777" s="1"/>
      <c r="N777" s="1"/>
      <c r="P777" s="1"/>
      <c r="Q777" s="1"/>
    </row>
    <row r="778" ht="15.75" customHeight="1">
      <c r="I778" s="1"/>
      <c r="N778" s="1"/>
      <c r="P778" s="1"/>
      <c r="Q778" s="1"/>
    </row>
    <row r="779" ht="15.75" customHeight="1">
      <c r="I779" s="1"/>
      <c r="N779" s="1"/>
      <c r="P779" s="1"/>
      <c r="Q779" s="1"/>
    </row>
    <row r="780" ht="15.75" customHeight="1">
      <c r="I780" s="1"/>
      <c r="N780" s="1"/>
      <c r="P780" s="1"/>
      <c r="Q780" s="1"/>
    </row>
    <row r="781" ht="15.75" customHeight="1">
      <c r="I781" s="1"/>
      <c r="N781" s="1"/>
      <c r="P781" s="1"/>
      <c r="Q781" s="1"/>
    </row>
    <row r="782" ht="15.75" customHeight="1">
      <c r="I782" s="1"/>
      <c r="N782" s="1"/>
      <c r="P782" s="1"/>
      <c r="Q782" s="1"/>
    </row>
    <row r="783" ht="15.75" customHeight="1">
      <c r="I783" s="1"/>
      <c r="N783" s="1"/>
      <c r="P783" s="1"/>
      <c r="Q783" s="1"/>
    </row>
    <row r="784" ht="15.75" customHeight="1">
      <c r="I784" s="1"/>
      <c r="N784" s="1"/>
      <c r="P784" s="1"/>
      <c r="Q784" s="1"/>
    </row>
    <row r="785" ht="15.75" customHeight="1">
      <c r="I785" s="1"/>
      <c r="N785" s="1"/>
      <c r="P785" s="1"/>
      <c r="Q785" s="1"/>
    </row>
    <row r="786" ht="15.75" customHeight="1">
      <c r="I786" s="1"/>
      <c r="N786" s="1"/>
      <c r="P786" s="1"/>
      <c r="Q786" s="1"/>
    </row>
    <row r="787" ht="15.75" customHeight="1">
      <c r="I787" s="1"/>
      <c r="N787" s="1"/>
      <c r="P787" s="1"/>
      <c r="Q787" s="1"/>
    </row>
    <row r="788" ht="15.75" customHeight="1">
      <c r="I788" s="1"/>
      <c r="N788" s="1"/>
      <c r="P788" s="1"/>
      <c r="Q788" s="1"/>
    </row>
    <row r="789" ht="15.75" customHeight="1">
      <c r="I789" s="1"/>
      <c r="N789" s="1"/>
      <c r="P789" s="1"/>
      <c r="Q789" s="1"/>
    </row>
    <row r="790" ht="15.75" customHeight="1">
      <c r="I790" s="1"/>
      <c r="N790" s="1"/>
      <c r="P790" s="1"/>
      <c r="Q790" s="1"/>
    </row>
    <row r="791" ht="15.75" customHeight="1">
      <c r="I791" s="1"/>
      <c r="N791" s="1"/>
      <c r="P791" s="1"/>
      <c r="Q791" s="1"/>
    </row>
    <row r="792" ht="15.75" customHeight="1">
      <c r="I792" s="1"/>
      <c r="N792" s="1"/>
      <c r="P792" s="1"/>
      <c r="Q792" s="1"/>
    </row>
    <row r="793" ht="15.75" customHeight="1">
      <c r="I793" s="1"/>
      <c r="N793" s="1"/>
      <c r="P793" s="1"/>
      <c r="Q793" s="1"/>
    </row>
    <row r="794" ht="15.75" customHeight="1">
      <c r="I794" s="1"/>
      <c r="N794" s="1"/>
      <c r="P794" s="1"/>
      <c r="Q794" s="1"/>
    </row>
    <row r="795" ht="15.75" customHeight="1">
      <c r="I795" s="1"/>
      <c r="N795" s="1"/>
      <c r="P795" s="1"/>
      <c r="Q795" s="1"/>
    </row>
    <row r="796" ht="15.75" customHeight="1">
      <c r="I796" s="1"/>
      <c r="N796" s="1"/>
      <c r="P796" s="1"/>
      <c r="Q796" s="1"/>
    </row>
    <row r="797" ht="15.75" customHeight="1">
      <c r="I797" s="1"/>
      <c r="N797" s="1"/>
      <c r="P797" s="1"/>
      <c r="Q797" s="1"/>
    </row>
    <row r="798" ht="15.75" customHeight="1">
      <c r="I798" s="1"/>
      <c r="N798" s="1"/>
      <c r="P798" s="1"/>
      <c r="Q798" s="1"/>
    </row>
    <row r="799" ht="15.75" customHeight="1">
      <c r="I799" s="1"/>
      <c r="N799" s="1"/>
      <c r="P799" s="1"/>
      <c r="Q799" s="1"/>
    </row>
    <row r="800" ht="15.75" customHeight="1">
      <c r="I800" s="1"/>
      <c r="N800" s="1"/>
      <c r="P800" s="1"/>
      <c r="Q800" s="1"/>
    </row>
    <row r="801" ht="15.75" customHeight="1">
      <c r="I801" s="1"/>
      <c r="N801" s="1"/>
      <c r="P801" s="1"/>
      <c r="Q801" s="1"/>
    </row>
    <row r="802" ht="15.75" customHeight="1">
      <c r="I802" s="1"/>
      <c r="N802" s="1"/>
      <c r="P802" s="1"/>
      <c r="Q802" s="1"/>
    </row>
    <row r="803" ht="15.75" customHeight="1">
      <c r="I803" s="1"/>
      <c r="N803" s="1"/>
      <c r="P803" s="1"/>
      <c r="Q803" s="1"/>
    </row>
    <row r="804" ht="15.75" customHeight="1">
      <c r="I804" s="1"/>
      <c r="N804" s="1"/>
      <c r="P804" s="1"/>
      <c r="Q804" s="1"/>
    </row>
    <row r="805" ht="15.75" customHeight="1">
      <c r="I805" s="1"/>
      <c r="N805" s="1"/>
      <c r="P805" s="1"/>
      <c r="Q805" s="1"/>
    </row>
    <row r="806" ht="15.75" customHeight="1">
      <c r="I806" s="1"/>
      <c r="N806" s="1"/>
      <c r="P806" s="1"/>
      <c r="Q806" s="1"/>
    </row>
    <row r="807" ht="15.75" customHeight="1">
      <c r="I807" s="1"/>
      <c r="N807" s="1"/>
      <c r="P807" s="1"/>
      <c r="Q807" s="1"/>
    </row>
    <row r="808" ht="15.75" customHeight="1">
      <c r="I808" s="1"/>
      <c r="N808" s="1"/>
      <c r="P808" s="1"/>
      <c r="Q808" s="1"/>
    </row>
    <row r="809" ht="15.75" customHeight="1">
      <c r="I809" s="1"/>
      <c r="N809" s="1"/>
      <c r="P809" s="1"/>
      <c r="Q809" s="1"/>
    </row>
    <row r="810" ht="15.75" customHeight="1">
      <c r="I810" s="1"/>
      <c r="N810" s="1"/>
      <c r="P810" s="1"/>
      <c r="Q810" s="1"/>
    </row>
    <row r="811" ht="15.75" customHeight="1">
      <c r="I811" s="1"/>
      <c r="N811" s="1"/>
      <c r="P811" s="1"/>
      <c r="Q811" s="1"/>
    </row>
    <row r="812" ht="15.75" customHeight="1">
      <c r="I812" s="1"/>
      <c r="N812" s="1"/>
      <c r="P812" s="1"/>
      <c r="Q812" s="1"/>
    </row>
    <row r="813" ht="15.75" customHeight="1">
      <c r="I813" s="1"/>
      <c r="N813" s="1"/>
      <c r="P813" s="1"/>
      <c r="Q813" s="1"/>
    </row>
    <row r="814" ht="15.75" customHeight="1">
      <c r="I814" s="1"/>
      <c r="N814" s="1"/>
      <c r="P814" s="1"/>
      <c r="Q814" s="1"/>
    </row>
    <row r="815" ht="15.75" customHeight="1">
      <c r="I815" s="1"/>
      <c r="N815" s="1"/>
      <c r="P815" s="1"/>
      <c r="Q815" s="1"/>
    </row>
    <row r="816" ht="15.75" customHeight="1">
      <c r="I816" s="1"/>
      <c r="N816" s="1"/>
      <c r="P816" s="1"/>
      <c r="Q816" s="1"/>
    </row>
    <row r="817" ht="15.75" customHeight="1">
      <c r="I817" s="1"/>
      <c r="N817" s="1"/>
      <c r="P817" s="1"/>
      <c r="Q817" s="1"/>
    </row>
    <row r="818" ht="15.75" customHeight="1">
      <c r="I818" s="1"/>
      <c r="N818" s="1"/>
      <c r="P818" s="1"/>
      <c r="Q818" s="1"/>
    </row>
    <row r="819" ht="15.75" customHeight="1">
      <c r="I819" s="1"/>
      <c r="N819" s="1"/>
      <c r="P819" s="1"/>
      <c r="Q819" s="1"/>
    </row>
    <row r="820" ht="15.75" customHeight="1">
      <c r="I820" s="1"/>
      <c r="N820" s="1"/>
      <c r="P820" s="1"/>
      <c r="Q820" s="1"/>
    </row>
    <row r="821" ht="15.75" customHeight="1">
      <c r="I821" s="1"/>
      <c r="N821" s="1"/>
      <c r="P821" s="1"/>
      <c r="Q821" s="1"/>
    </row>
    <row r="822" ht="15.75" customHeight="1">
      <c r="I822" s="1"/>
      <c r="N822" s="1"/>
      <c r="P822" s="1"/>
      <c r="Q822" s="1"/>
    </row>
    <row r="823" ht="15.75" customHeight="1">
      <c r="I823" s="1"/>
      <c r="N823" s="1"/>
      <c r="P823" s="1"/>
      <c r="Q823" s="1"/>
    </row>
    <row r="824" ht="15.75" customHeight="1">
      <c r="I824" s="1"/>
      <c r="N824" s="1"/>
      <c r="P824" s="1"/>
      <c r="Q824" s="1"/>
    </row>
    <row r="825" ht="15.75" customHeight="1">
      <c r="I825" s="1"/>
      <c r="N825" s="1"/>
      <c r="P825" s="1"/>
      <c r="Q825" s="1"/>
    </row>
    <row r="826" ht="15.75" customHeight="1">
      <c r="I826" s="1"/>
      <c r="N826" s="1"/>
      <c r="P826" s="1"/>
      <c r="Q826" s="1"/>
    </row>
    <row r="827" ht="15.75" customHeight="1">
      <c r="I827" s="1"/>
      <c r="N827" s="1"/>
      <c r="P827" s="1"/>
      <c r="Q827" s="1"/>
    </row>
    <row r="828" ht="15.75" customHeight="1">
      <c r="I828" s="1"/>
      <c r="N828" s="1"/>
      <c r="P828" s="1"/>
      <c r="Q828" s="1"/>
    </row>
    <row r="829" ht="15.75" customHeight="1">
      <c r="I829" s="1"/>
      <c r="N829" s="1"/>
      <c r="P829" s="1"/>
      <c r="Q829" s="1"/>
    </row>
    <row r="830" ht="15.75" customHeight="1">
      <c r="I830" s="1"/>
      <c r="N830" s="1"/>
      <c r="P830" s="1"/>
      <c r="Q830" s="1"/>
    </row>
    <row r="831" ht="15.75" customHeight="1">
      <c r="I831" s="1"/>
      <c r="N831" s="1"/>
      <c r="P831" s="1"/>
      <c r="Q831" s="1"/>
    </row>
    <row r="832" ht="15.75" customHeight="1">
      <c r="I832" s="1"/>
      <c r="N832" s="1"/>
      <c r="P832" s="1"/>
      <c r="Q832" s="1"/>
    </row>
    <row r="833" ht="15.75" customHeight="1">
      <c r="I833" s="1"/>
      <c r="N833" s="1"/>
      <c r="P833" s="1"/>
      <c r="Q833" s="1"/>
    </row>
    <row r="834" ht="15.75" customHeight="1">
      <c r="I834" s="1"/>
      <c r="N834" s="1"/>
      <c r="P834" s="1"/>
      <c r="Q834" s="1"/>
    </row>
    <row r="835" ht="15.75" customHeight="1">
      <c r="I835" s="1"/>
      <c r="N835" s="1"/>
      <c r="P835" s="1"/>
      <c r="Q835" s="1"/>
    </row>
    <row r="836" ht="15.75" customHeight="1">
      <c r="I836" s="1"/>
      <c r="N836" s="1"/>
      <c r="P836" s="1"/>
      <c r="Q836" s="1"/>
    </row>
    <row r="837" ht="15.75" customHeight="1">
      <c r="I837" s="1"/>
      <c r="N837" s="1"/>
      <c r="P837" s="1"/>
      <c r="Q837" s="1"/>
    </row>
    <row r="838" ht="15.75" customHeight="1">
      <c r="I838" s="1"/>
      <c r="N838" s="1"/>
      <c r="P838" s="1"/>
      <c r="Q838" s="1"/>
    </row>
    <row r="839" ht="15.75" customHeight="1">
      <c r="I839" s="1"/>
      <c r="N839" s="1"/>
      <c r="P839" s="1"/>
      <c r="Q839" s="1"/>
    </row>
    <row r="840" ht="15.75" customHeight="1">
      <c r="I840" s="1"/>
      <c r="N840" s="1"/>
      <c r="P840" s="1"/>
      <c r="Q840" s="1"/>
    </row>
    <row r="841" ht="15.75" customHeight="1">
      <c r="I841" s="1"/>
      <c r="N841" s="1"/>
      <c r="P841" s="1"/>
      <c r="Q841" s="1"/>
    </row>
    <row r="842" ht="15.75" customHeight="1">
      <c r="I842" s="1"/>
      <c r="N842" s="1"/>
      <c r="P842" s="1"/>
      <c r="Q842" s="1"/>
    </row>
    <row r="843" ht="15.75" customHeight="1">
      <c r="I843" s="1"/>
      <c r="N843" s="1"/>
      <c r="P843" s="1"/>
      <c r="Q843" s="1"/>
    </row>
    <row r="844" ht="15.75" customHeight="1">
      <c r="I844" s="1"/>
      <c r="N844" s="1"/>
      <c r="P844" s="1"/>
      <c r="Q844" s="1"/>
    </row>
    <row r="845" ht="15.75" customHeight="1">
      <c r="I845" s="1"/>
      <c r="N845" s="1"/>
      <c r="P845" s="1"/>
      <c r="Q845" s="1"/>
    </row>
    <row r="846" ht="15.75" customHeight="1">
      <c r="I846" s="1"/>
      <c r="N846" s="1"/>
      <c r="P846" s="1"/>
      <c r="Q846" s="1"/>
    </row>
    <row r="847" ht="15.75" customHeight="1">
      <c r="I847" s="1"/>
      <c r="N847" s="1"/>
      <c r="P847" s="1"/>
      <c r="Q847" s="1"/>
    </row>
    <row r="848" ht="15.75" customHeight="1">
      <c r="I848" s="1"/>
      <c r="N848" s="1"/>
      <c r="P848" s="1"/>
      <c r="Q848" s="1"/>
    </row>
    <row r="849" ht="15.75" customHeight="1">
      <c r="I849" s="1"/>
      <c r="N849" s="1"/>
      <c r="P849" s="1"/>
      <c r="Q849" s="1"/>
    </row>
    <row r="850" ht="15.75" customHeight="1">
      <c r="I850" s="1"/>
      <c r="N850" s="1"/>
      <c r="P850" s="1"/>
      <c r="Q850" s="1"/>
    </row>
    <row r="851" ht="15.75" customHeight="1">
      <c r="I851" s="1"/>
      <c r="N851" s="1"/>
      <c r="P851" s="1"/>
      <c r="Q851" s="1"/>
    </row>
    <row r="852" ht="15.75" customHeight="1">
      <c r="I852" s="1"/>
      <c r="N852" s="1"/>
      <c r="P852" s="1"/>
      <c r="Q852" s="1"/>
    </row>
    <row r="853" ht="15.75" customHeight="1">
      <c r="I853" s="1"/>
      <c r="N853" s="1"/>
      <c r="P853" s="1"/>
      <c r="Q853" s="1"/>
    </row>
    <row r="854" ht="15.75" customHeight="1">
      <c r="I854" s="1"/>
      <c r="N854" s="1"/>
      <c r="P854" s="1"/>
      <c r="Q854" s="1"/>
    </row>
    <row r="855" ht="15.75" customHeight="1">
      <c r="I855" s="1"/>
      <c r="N855" s="1"/>
      <c r="P855" s="1"/>
      <c r="Q855" s="1"/>
    </row>
    <row r="856" ht="15.75" customHeight="1">
      <c r="I856" s="1"/>
      <c r="N856" s="1"/>
      <c r="P856" s="1"/>
      <c r="Q856" s="1"/>
    </row>
    <row r="857" ht="15.75" customHeight="1">
      <c r="I857" s="1"/>
      <c r="N857" s="1"/>
      <c r="P857" s="1"/>
      <c r="Q857" s="1"/>
    </row>
    <row r="858" ht="15.75" customHeight="1">
      <c r="I858" s="1"/>
      <c r="N858" s="1"/>
      <c r="P858" s="1"/>
      <c r="Q858" s="1"/>
    </row>
    <row r="859" ht="15.75" customHeight="1">
      <c r="I859" s="1"/>
      <c r="N859" s="1"/>
      <c r="P859" s="1"/>
      <c r="Q859" s="1"/>
    </row>
    <row r="860" ht="15.75" customHeight="1">
      <c r="I860" s="1"/>
      <c r="N860" s="1"/>
      <c r="P860" s="1"/>
      <c r="Q860" s="1"/>
    </row>
    <row r="861" ht="15.75" customHeight="1">
      <c r="I861" s="1"/>
      <c r="N861" s="1"/>
      <c r="P861" s="1"/>
      <c r="Q861" s="1"/>
    </row>
    <row r="862" ht="15.75" customHeight="1">
      <c r="I862" s="1"/>
      <c r="N862" s="1"/>
      <c r="P862" s="1"/>
      <c r="Q862" s="1"/>
    </row>
    <row r="863" ht="15.75" customHeight="1">
      <c r="I863" s="1"/>
      <c r="N863" s="1"/>
      <c r="P863" s="1"/>
      <c r="Q863" s="1"/>
    </row>
    <row r="864" ht="15.75" customHeight="1">
      <c r="I864" s="1"/>
      <c r="N864" s="1"/>
      <c r="P864" s="1"/>
      <c r="Q864" s="1"/>
    </row>
    <row r="865" ht="15.75" customHeight="1">
      <c r="I865" s="1"/>
      <c r="N865" s="1"/>
      <c r="P865" s="1"/>
      <c r="Q865" s="1"/>
    </row>
    <row r="866" ht="15.75" customHeight="1">
      <c r="I866" s="1"/>
      <c r="N866" s="1"/>
      <c r="P866" s="1"/>
      <c r="Q866" s="1"/>
    </row>
    <row r="867" ht="15.75" customHeight="1">
      <c r="I867" s="1"/>
      <c r="N867" s="1"/>
      <c r="P867" s="1"/>
      <c r="Q867" s="1"/>
    </row>
    <row r="868" ht="15.75" customHeight="1">
      <c r="I868" s="1"/>
      <c r="N868" s="1"/>
      <c r="P868" s="1"/>
      <c r="Q868" s="1"/>
    </row>
    <row r="869" ht="15.75" customHeight="1">
      <c r="I869" s="1"/>
      <c r="N869" s="1"/>
      <c r="P869" s="1"/>
      <c r="Q869" s="1"/>
    </row>
    <row r="870" ht="15.75" customHeight="1">
      <c r="I870" s="1"/>
      <c r="N870" s="1"/>
      <c r="P870" s="1"/>
      <c r="Q870" s="1"/>
    </row>
    <row r="871" ht="15.75" customHeight="1">
      <c r="I871" s="1"/>
      <c r="N871" s="1"/>
      <c r="P871" s="1"/>
      <c r="Q871" s="1"/>
    </row>
    <row r="872" ht="15.75" customHeight="1">
      <c r="I872" s="1"/>
      <c r="N872" s="1"/>
      <c r="P872" s="1"/>
      <c r="Q872" s="1"/>
    </row>
    <row r="873" ht="15.75" customHeight="1">
      <c r="I873" s="1"/>
      <c r="N873" s="1"/>
      <c r="P873" s="1"/>
      <c r="Q873" s="1"/>
    </row>
    <row r="874" ht="15.75" customHeight="1">
      <c r="I874" s="1"/>
      <c r="N874" s="1"/>
      <c r="P874" s="1"/>
      <c r="Q874" s="1"/>
    </row>
    <row r="875" ht="15.75" customHeight="1">
      <c r="I875" s="1"/>
      <c r="N875" s="1"/>
      <c r="P875" s="1"/>
      <c r="Q875" s="1"/>
    </row>
    <row r="876" ht="15.75" customHeight="1">
      <c r="I876" s="1"/>
      <c r="N876" s="1"/>
      <c r="P876" s="1"/>
      <c r="Q876" s="1"/>
    </row>
    <row r="877" ht="15.75" customHeight="1">
      <c r="I877" s="1"/>
      <c r="N877" s="1"/>
      <c r="P877" s="1"/>
      <c r="Q877" s="1"/>
    </row>
    <row r="878" ht="15.75" customHeight="1">
      <c r="I878" s="1"/>
      <c r="N878" s="1"/>
      <c r="P878" s="1"/>
      <c r="Q878" s="1"/>
    </row>
    <row r="879" ht="15.75" customHeight="1">
      <c r="I879" s="1"/>
      <c r="N879" s="1"/>
      <c r="P879" s="1"/>
      <c r="Q879" s="1"/>
    </row>
    <row r="880" ht="15.75" customHeight="1">
      <c r="I880" s="1"/>
      <c r="N880" s="1"/>
      <c r="P880" s="1"/>
      <c r="Q880" s="1"/>
    </row>
    <row r="881" ht="15.75" customHeight="1">
      <c r="I881" s="1"/>
      <c r="N881" s="1"/>
      <c r="P881" s="1"/>
      <c r="Q881" s="1"/>
    </row>
    <row r="882" ht="15.75" customHeight="1">
      <c r="I882" s="1"/>
      <c r="N882" s="1"/>
      <c r="P882" s="1"/>
      <c r="Q882" s="1"/>
    </row>
    <row r="883" ht="15.75" customHeight="1">
      <c r="I883" s="1"/>
      <c r="N883" s="1"/>
      <c r="P883" s="1"/>
      <c r="Q883" s="1"/>
    </row>
    <row r="884" ht="15.75" customHeight="1">
      <c r="I884" s="1"/>
      <c r="N884" s="1"/>
      <c r="P884" s="1"/>
      <c r="Q884" s="1"/>
    </row>
    <row r="885" ht="15.75" customHeight="1">
      <c r="I885" s="1"/>
      <c r="N885" s="1"/>
      <c r="P885" s="1"/>
      <c r="Q885" s="1"/>
    </row>
    <row r="886" ht="15.75" customHeight="1">
      <c r="I886" s="1"/>
      <c r="N886" s="1"/>
      <c r="P886" s="1"/>
      <c r="Q886" s="1"/>
    </row>
    <row r="887" ht="15.75" customHeight="1">
      <c r="I887" s="1"/>
      <c r="N887" s="1"/>
      <c r="P887" s="1"/>
      <c r="Q887" s="1"/>
    </row>
    <row r="888" ht="15.75" customHeight="1">
      <c r="I888" s="1"/>
      <c r="N888" s="1"/>
      <c r="P888" s="1"/>
      <c r="Q888" s="1"/>
    </row>
    <row r="889" ht="15.75" customHeight="1">
      <c r="I889" s="1"/>
      <c r="N889" s="1"/>
      <c r="P889" s="1"/>
      <c r="Q889" s="1"/>
    </row>
    <row r="890" ht="15.75" customHeight="1">
      <c r="I890" s="1"/>
      <c r="N890" s="1"/>
      <c r="P890" s="1"/>
      <c r="Q890" s="1"/>
    </row>
    <row r="891" ht="15.75" customHeight="1">
      <c r="I891" s="1"/>
      <c r="N891" s="1"/>
      <c r="P891" s="1"/>
      <c r="Q891" s="1"/>
    </row>
    <row r="892" ht="15.75" customHeight="1">
      <c r="I892" s="1"/>
      <c r="N892" s="1"/>
      <c r="P892" s="1"/>
      <c r="Q892" s="1"/>
    </row>
    <row r="893" ht="15.75" customHeight="1">
      <c r="I893" s="1"/>
      <c r="N893" s="1"/>
      <c r="P893" s="1"/>
      <c r="Q893" s="1"/>
    </row>
    <row r="894" ht="15.75" customHeight="1">
      <c r="I894" s="1"/>
      <c r="N894" s="1"/>
      <c r="P894" s="1"/>
      <c r="Q894" s="1"/>
    </row>
    <row r="895" ht="15.75" customHeight="1">
      <c r="I895" s="1"/>
      <c r="N895" s="1"/>
      <c r="P895" s="1"/>
      <c r="Q895" s="1"/>
    </row>
    <row r="896" ht="15.75" customHeight="1">
      <c r="I896" s="1"/>
      <c r="N896" s="1"/>
      <c r="P896" s="1"/>
      <c r="Q896" s="1"/>
    </row>
    <row r="897" ht="15.75" customHeight="1">
      <c r="I897" s="1"/>
      <c r="N897" s="1"/>
      <c r="P897" s="1"/>
      <c r="Q897" s="1"/>
    </row>
    <row r="898" ht="15.75" customHeight="1">
      <c r="I898" s="1"/>
      <c r="N898" s="1"/>
      <c r="P898" s="1"/>
      <c r="Q898" s="1"/>
    </row>
    <row r="899" ht="15.75" customHeight="1">
      <c r="I899" s="1"/>
      <c r="N899" s="1"/>
      <c r="P899" s="1"/>
      <c r="Q899" s="1"/>
    </row>
    <row r="900" ht="15.75" customHeight="1">
      <c r="I900" s="1"/>
      <c r="N900" s="1"/>
      <c r="P900" s="1"/>
      <c r="Q900" s="1"/>
    </row>
    <row r="901" ht="15.75" customHeight="1">
      <c r="I901" s="1"/>
      <c r="N901" s="1"/>
      <c r="P901" s="1"/>
      <c r="Q901" s="1"/>
    </row>
    <row r="902" ht="15.75" customHeight="1">
      <c r="I902" s="1"/>
      <c r="N902" s="1"/>
      <c r="P902" s="1"/>
      <c r="Q902" s="1"/>
    </row>
    <row r="903" ht="15.75" customHeight="1">
      <c r="I903" s="1"/>
      <c r="N903" s="1"/>
      <c r="P903" s="1"/>
      <c r="Q903" s="1"/>
    </row>
    <row r="904" ht="15.75" customHeight="1">
      <c r="I904" s="1"/>
      <c r="N904" s="1"/>
      <c r="P904" s="1"/>
      <c r="Q904" s="1"/>
    </row>
    <row r="905" ht="15.75" customHeight="1">
      <c r="I905" s="1"/>
      <c r="N905" s="1"/>
      <c r="P905" s="1"/>
      <c r="Q905" s="1"/>
    </row>
    <row r="906" ht="15.75" customHeight="1">
      <c r="I906" s="1"/>
      <c r="N906" s="1"/>
      <c r="P906" s="1"/>
      <c r="Q906" s="1"/>
    </row>
    <row r="907" ht="15.75" customHeight="1">
      <c r="I907" s="1"/>
      <c r="N907" s="1"/>
      <c r="P907" s="1"/>
      <c r="Q907" s="1"/>
    </row>
    <row r="908" ht="15.75" customHeight="1">
      <c r="I908" s="1"/>
      <c r="N908" s="1"/>
      <c r="P908" s="1"/>
      <c r="Q908" s="1"/>
    </row>
    <row r="909" ht="15.75" customHeight="1">
      <c r="I909" s="1"/>
      <c r="N909" s="1"/>
      <c r="P909" s="1"/>
      <c r="Q909" s="1"/>
    </row>
    <row r="910" ht="15.75" customHeight="1">
      <c r="I910" s="1"/>
      <c r="N910" s="1"/>
      <c r="P910" s="1"/>
      <c r="Q910" s="1"/>
    </row>
    <row r="911" ht="15.75" customHeight="1">
      <c r="I911" s="1"/>
      <c r="N911" s="1"/>
      <c r="P911" s="1"/>
      <c r="Q911" s="1"/>
    </row>
    <row r="912" ht="15.75" customHeight="1">
      <c r="I912" s="1"/>
      <c r="N912" s="1"/>
      <c r="P912" s="1"/>
      <c r="Q912" s="1"/>
    </row>
    <row r="913" ht="15.75" customHeight="1">
      <c r="I913" s="1"/>
      <c r="N913" s="1"/>
      <c r="P913" s="1"/>
      <c r="Q913" s="1"/>
    </row>
    <row r="914" ht="15.75" customHeight="1">
      <c r="I914" s="1"/>
      <c r="N914" s="1"/>
      <c r="P914" s="1"/>
      <c r="Q914" s="1"/>
    </row>
    <row r="915" ht="15.75" customHeight="1">
      <c r="I915" s="1"/>
      <c r="N915" s="1"/>
      <c r="P915" s="1"/>
      <c r="Q915" s="1"/>
    </row>
    <row r="916" ht="15.75" customHeight="1">
      <c r="I916" s="1"/>
      <c r="N916" s="1"/>
      <c r="P916" s="1"/>
      <c r="Q916" s="1"/>
    </row>
    <row r="917" ht="15.75" customHeight="1">
      <c r="I917" s="1"/>
      <c r="N917" s="1"/>
      <c r="P917" s="1"/>
      <c r="Q917" s="1"/>
    </row>
    <row r="918" ht="15.75" customHeight="1">
      <c r="I918" s="1"/>
      <c r="N918" s="1"/>
      <c r="P918" s="1"/>
      <c r="Q918" s="1"/>
    </row>
    <row r="919" ht="15.75" customHeight="1">
      <c r="I919" s="1"/>
      <c r="N919" s="1"/>
      <c r="P919" s="1"/>
      <c r="Q919" s="1"/>
    </row>
    <row r="920" ht="15.75" customHeight="1">
      <c r="I920" s="1"/>
      <c r="N920" s="1"/>
      <c r="P920" s="1"/>
      <c r="Q920" s="1"/>
    </row>
    <row r="921" ht="15.75" customHeight="1">
      <c r="I921" s="1"/>
      <c r="N921" s="1"/>
      <c r="P921" s="1"/>
      <c r="Q921" s="1"/>
    </row>
    <row r="922" ht="15.75" customHeight="1">
      <c r="I922" s="1"/>
      <c r="N922" s="1"/>
      <c r="P922" s="1"/>
      <c r="Q922" s="1"/>
    </row>
    <row r="923" ht="15.75" customHeight="1">
      <c r="I923" s="1"/>
      <c r="N923" s="1"/>
      <c r="P923" s="1"/>
      <c r="Q923" s="1"/>
    </row>
    <row r="924" ht="15.75" customHeight="1">
      <c r="I924" s="1"/>
      <c r="N924" s="1"/>
      <c r="P924" s="1"/>
      <c r="Q924" s="1"/>
    </row>
    <row r="925" ht="15.75" customHeight="1">
      <c r="I925" s="1"/>
      <c r="N925" s="1"/>
      <c r="P925" s="1"/>
      <c r="Q925" s="1"/>
    </row>
    <row r="926" ht="15.75" customHeight="1">
      <c r="I926" s="1"/>
      <c r="N926" s="1"/>
      <c r="P926" s="1"/>
      <c r="Q926" s="1"/>
    </row>
    <row r="927" ht="15.75" customHeight="1">
      <c r="I927" s="1"/>
      <c r="N927" s="1"/>
      <c r="P927" s="1"/>
      <c r="Q927" s="1"/>
    </row>
    <row r="928" ht="15.75" customHeight="1">
      <c r="I928" s="1"/>
      <c r="N928" s="1"/>
      <c r="P928" s="1"/>
      <c r="Q928" s="1"/>
    </row>
    <row r="929" ht="15.75" customHeight="1">
      <c r="I929" s="1"/>
      <c r="N929" s="1"/>
      <c r="P929" s="1"/>
      <c r="Q929" s="1"/>
    </row>
    <row r="930" ht="15.75" customHeight="1">
      <c r="I930" s="1"/>
      <c r="N930" s="1"/>
      <c r="P930" s="1"/>
      <c r="Q930" s="1"/>
    </row>
    <row r="931" ht="15.75" customHeight="1">
      <c r="I931" s="1"/>
      <c r="N931" s="1"/>
      <c r="P931" s="1"/>
      <c r="Q931" s="1"/>
    </row>
    <row r="932" ht="15.75" customHeight="1">
      <c r="I932" s="1"/>
      <c r="N932" s="1"/>
      <c r="P932" s="1"/>
      <c r="Q932" s="1"/>
    </row>
    <row r="933" ht="15.75" customHeight="1">
      <c r="I933" s="1"/>
      <c r="N933" s="1"/>
      <c r="P933" s="1"/>
      <c r="Q933" s="1"/>
    </row>
    <row r="934" ht="15.75" customHeight="1">
      <c r="I934" s="1"/>
      <c r="N934" s="1"/>
      <c r="P934" s="1"/>
      <c r="Q934" s="1"/>
    </row>
    <row r="935" ht="15.75" customHeight="1">
      <c r="I935" s="1"/>
      <c r="N935" s="1"/>
      <c r="P935" s="1"/>
      <c r="Q935" s="1"/>
    </row>
    <row r="936" ht="15.75" customHeight="1">
      <c r="I936" s="1"/>
      <c r="N936" s="1"/>
      <c r="P936" s="1"/>
      <c r="Q936" s="1"/>
    </row>
    <row r="937" ht="15.75" customHeight="1">
      <c r="I937" s="1"/>
      <c r="N937" s="1"/>
      <c r="P937" s="1"/>
      <c r="Q937" s="1"/>
    </row>
    <row r="938" ht="15.75" customHeight="1">
      <c r="I938" s="1"/>
      <c r="N938" s="1"/>
      <c r="P938" s="1"/>
      <c r="Q938" s="1"/>
    </row>
    <row r="939" ht="15.75" customHeight="1">
      <c r="I939" s="1"/>
      <c r="N939" s="1"/>
      <c r="P939" s="1"/>
      <c r="Q939" s="1"/>
    </row>
    <row r="940" ht="15.75" customHeight="1">
      <c r="I940" s="1"/>
      <c r="N940" s="1"/>
      <c r="P940" s="1"/>
      <c r="Q940" s="1"/>
    </row>
    <row r="941" ht="15.75" customHeight="1">
      <c r="I941" s="1"/>
      <c r="N941" s="1"/>
      <c r="P941" s="1"/>
      <c r="Q941" s="1"/>
    </row>
    <row r="942" ht="15.75" customHeight="1">
      <c r="I942" s="1"/>
      <c r="N942" s="1"/>
      <c r="P942" s="1"/>
      <c r="Q942" s="1"/>
    </row>
    <row r="943" ht="15.75" customHeight="1">
      <c r="I943" s="1"/>
      <c r="N943" s="1"/>
      <c r="P943" s="1"/>
      <c r="Q943" s="1"/>
    </row>
    <row r="944" ht="15.75" customHeight="1">
      <c r="I944" s="1"/>
      <c r="N944" s="1"/>
      <c r="P944" s="1"/>
      <c r="Q944" s="1"/>
    </row>
    <row r="945" ht="15.75" customHeight="1">
      <c r="I945" s="1"/>
      <c r="N945" s="1"/>
      <c r="P945" s="1"/>
      <c r="Q945" s="1"/>
    </row>
    <row r="946" ht="15.75" customHeight="1">
      <c r="I946" s="1"/>
      <c r="N946" s="1"/>
      <c r="P946" s="1"/>
      <c r="Q946" s="1"/>
    </row>
    <row r="947" ht="15.75" customHeight="1">
      <c r="I947" s="1"/>
      <c r="N947" s="1"/>
      <c r="P947" s="1"/>
      <c r="Q947" s="1"/>
    </row>
    <row r="948" ht="15.75" customHeight="1">
      <c r="I948" s="1"/>
      <c r="N948" s="1"/>
      <c r="P948" s="1"/>
      <c r="Q948" s="1"/>
    </row>
    <row r="949" ht="15.75" customHeight="1">
      <c r="I949" s="1"/>
      <c r="N949" s="1"/>
      <c r="P949" s="1"/>
      <c r="Q949" s="1"/>
    </row>
    <row r="950" ht="15.75" customHeight="1">
      <c r="I950" s="1"/>
      <c r="N950" s="1"/>
      <c r="P950" s="1"/>
      <c r="Q950" s="1"/>
    </row>
    <row r="951" ht="15.75" customHeight="1">
      <c r="I951" s="1"/>
      <c r="N951" s="1"/>
      <c r="P951" s="1"/>
      <c r="Q951" s="1"/>
    </row>
    <row r="952" ht="15.75" customHeight="1">
      <c r="I952" s="1"/>
      <c r="N952" s="1"/>
      <c r="P952" s="1"/>
      <c r="Q952" s="1"/>
    </row>
    <row r="953" ht="15.75" customHeight="1">
      <c r="I953" s="1"/>
      <c r="N953" s="1"/>
      <c r="P953" s="1"/>
      <c r="Q953" s="1"/>
    </row>
    <row r="954" ht="15.75" customHeight="1">
      <c r="I954" s="1"/>
      <c r="N954" s="1"/>
      <c r="P954" s="1"/>
      <c r="Q954" s="1"/>
    </row>
    <row r="955" ht="15.75" customHeight="1">
      <c r="I955" s="1"/>
      <c r="N955" s="1"/>
      <c r="P955" s="1"/>
      <c r="Q955" s="1"/>
    </row>
    <row r="956" ht="15.75" customHeight="1">
      <c r="I956" s="1"/>
      <c r="N956" s="1"/>
      <c r="P956" s="1"/>
      <c r="Q956" s="1"/>
    </row>
    <row r="957" ht="15.75" customHeight="1">
      <c r="I957" s="1"/>
      <c r="N957" s="1"/>
      <c r="P957" s="1"/>
      <c r="Q957" s="1"/>
    </row>
    <row r="958" ht="15.75" customHeight="1">
      <c r="I958" s="1"/>
      <c r="N958" s="1"/>
      <c r="P958" s="1"/>
      <c r="Q958" s="1"/>
    </row>
    <row r="959" ht="15.75" customHeight="1">
      <c r="I959" s="1"/>
      <c r="N959" s="1"/>
      <c r="P959" s="1"/>
      <c r="Q959" s="1"/>
    </row>
    <row r="960" ht="15.75" customHeight="1">
      <c r="I960" s="1"/>
      <c r="N960" s="1"/>
      <c r="P960" s="1"/>
      <c r="Q960" s="1"/>
    </row>
    <row r="961" ht="15.75" customHeight="1">
      <c r="I961" s="1"/>
      <c r="N961" s="1"/>
      <c r="P961" s="1"/>
      <c r="Q961" s="1"/>
    </row>
    <row r="962" ht="15.75" customHeight="1">
      <c r="I962" s="1"/>
      <c r="N962" s="1"/>
      <c r="P962" s="1"/>
      <c r="Q962" s="1"/>
    </row>
    <row r="963" ht="15.75" customHeight="1">
      <c r="I963" s="1"/>
      <c r="N963" s="1"/>
      <c r="P963" s="1"/>
      <c r="Q963" s="1"/>
    </row>
    <row r="964" ht="15.75" customHeight="1">
      <c r="I964" s="1"/>
      <c r="N964" s="1"/>
      <c r="P964" s="1"/>
      <c r="Q964" s="1"/>
    </row>
    <row r="965" ht="15.75" customHeight="1">
      <c r="I965" s="1"/>
      <c r="N965" s="1"/>
      <c r="P965" s="1"/>
      <c r="Q965" s="1"/>
    </row>
    <row r="966" ht="15.75" customHeight="1">
      <c r="I966" s="1"/>
      <c r="N966" s="1"/>
      <c r="P966" s="1"/>
      <c r="Q966" s="1"/>
    </row>
    <row r="967" ht="15.75" customHeight="1">
      <c r="I967" s="1"/>
      <c r="N967" s="1"/>
      <c r="P967" s="1"/>
      <c r="Q967" s="1"/>
    </row>
    <row r="968" ht="15.75" customHeight="1">
      <c r="I968" s="1"/>
      <c r="N968" s="1"/>
      <c r="P968" s="1"/>
      <c r="Q968" s="1"/>
    </row>
    <row r="969" ht="15.75" customHeight="1">
      <c r="I969" s="1"/>
      <c r="N969" s="1"/>
      <c r="P969" s="1"/>
      <c r="Q969" s="1"/>
    </row>
    <row r="970" ht="15.75" customHeight="1">
      <c r="I970" s="1"/>
      <c r="N970" s="1"/>
      <c r="P970" s="1"/>
      <c r="Q970" s="1"/>
    </row>
    <row r="971" ht="15.75" customHeight="1">
      <c r="I971" s="1"/>
      <c r="N971" s="1"/>
      <c r="P971" s="1"/>
      <c r="Q971" s="1"/>
    </row>
    <row r="972" ht="15.75" customHeight="1">
      <c r="I972" s="1"/>
      <c r="N972" s="1"/>
      <c r="P972" s="1"/>
      <c r="Q972" s="1"/>
    </row>
    <row r="973" ht="15.75" customHeight="1">
      <c r="I973" s="1"/>
      <c r="N973" s="1"/>
      <c r="P973" s="1"/>
      <c r="Q973" s="1"/>
    </row>
    <row r="974" ht="15.75" customHeight="1">
      <c r="I974" s="1"/>
      <c r="N974" s="1"/>
      <c r="P974" s="1"/>
      <c r="Q974" s="1"/>
    </row>
    <row r="975" ht="15.75" customHeight="1">
      <c r="I975" s="1"/>
      <c r="N975" s="1"/>
      <c r="P975" s="1"/>
      <c r="Q975" s="1"/>
    </row>
    <row r="976" ht="15.75" customHeight="1">
      <c r="I976" s="1"/>
      <c r="N976" s="1"/>
      <c r="P976" s="1"/>
      <c r="Q976" s="1"/>
    </row>
    <row r="977" ht="15.75" customHeight="1">
      <c r="I977" s="1"/>
      <c r="N977" s="1"/>
      <c r="P977" s="1"/>
      <c r="Q977" s="1"/>
    </row>
    <row r="978" ht="15.75" customHeight="1">
      <c r="I978" s="1"/>
      <c r="N978" s="1"/>
      <c r="P978" s="1"/>
      <c r="Q978" s="1"/>
    </row>
    <row r="979" ht="15.75" customHeight="1">
      <c r="I979" s="1"/>
      <c r="N979" s="1"/>
      <c r="P979" s="1"/>
      <c r="Q979" s="1"/>
    </row>
    <row r="980" ht="15.75" customHeight="1">
      <c r="I980" s="1"/>
      <c r="N980" s="1"/>
      <c r="P980" s="1"/>
      <c r="Q980" s="1"/>
    </row>
    <row r="981" ht="15.75" customHeight="1">
      <c r="I981" s="1"/>
      <c r="N981" s="1"/>
      <c r="P981" s="1"/>
      <c r="Q981" s="1"/>
    </row>
    <row r="982" ht="15.75" customHeight="1">
      <c r="I982" s="1"/>
      <c r="N982" s="1"/>
      <c r="P982" s="1"/>
      <c r="Q982" s="1"/>
    </row>
    <row r="983" ht="15.75" customHeight="1">
      <c r="I983" s="1"/>
      <c r="N983" s="1"/>
      <c r="P983" s="1"/>
      <c r="Q983" s="1"/>
    </row>
    <row r="984" ht="15.75" customHeight="1">
      <c r="I984" s="1"/>
      <c r="N984" s="1"/>
      <c r="P984" s="1"/>
      <c r="Q984" s="1"/>
    </row>
    <row r="985" ht="15.75" customHeight="1">
      <c r="I985" s="1"/>
      <c r="N985" s="1"/>
      <c r="P985" s="1"/>
      <c r="Q985" s="1"/>
    </row>
    <row r="986" ht="15.75" customHeight="1">
      <c r="I986" s="1"/>
      <c r="N986" s="1"/>
      <c r="P986" s="1"/>
      <c r="Q986" s="1"/>
    </row>
    <row r="987" ht="15.75" customHeight="1">
      <c r="I987" s="1"/>
      <c r="N987" s="1"/>
      <c r="P987" s="1"/>
      <c r="Q987" s="1"/>
    </row>
    <row r="988" ht="15.75" customHeight="1">
      <c r="I988" s="1"/>
      <c r="N988" s="1"/>
      <c r="P988" s="1"/>
      <c r="Q988" s="1"/>
    </row>
    <row r="989" ht="15.75" customHeight="1">
      <c r="I989" s="1"/>
      <c r="N989" s="1"/>
      <c r="P989" s="1"/>
      <c r="Q989" s="1"/>
    </row>
    <row r="990" ht="15.75" customHeight="1">
      <c r="I990" s="1"/>
      <c r="N990" s="1"/>
      <c r="P990" s="1"/>
      <c r="Q990" s="1"/>
    </row>
    <row r="991" ht="15.75" customHeight="1">
      <c r="I991" s="1"/>
      <c r="N991" s="1"/>
      <c r="P991" s="1"/>
      <c r="Q991" s="1"/>
    </row>
    <row r="992" ht="15.75" customHeight="1">
      <c r="I992" s="1"/>
      <c r="N992" s="1"/>
      <c r="P992" s="1"/>
      <c r="Q992" s="1"/>
    </row>
    <row r="993" ht="15.75" customHeight="1">
      <c r="I993" s="1"/>
      <c r="N993" s="1"/>
      <c r="P993" s="1"/>
      <c r="Q993" s="1"/>
    </row>
    <row r="994" ht="15.75" customHeight="1">
      <c r="I994" s="1"/>
      <c r="N994" s="1"/>
      <c r="P994" s="1"/>
      <c r="Q994" s="1"/>
    </row>
    <row r="995" ht="15.75" customHeight="1">
      <c r="I995" s="1"/>
      <c r="N995" s="1"/>
      <c r="P995" s="1"/>
      <c r="Q995" s="1"/>
    </row>
    <row r="996" ht="15.75" customHeight="1">
      <c r="I996" s="1"/>
      <c r="N996" s="1"/>
      <c r="P996" s="1"/>
      <c r="Q996" s="1"/>
    </row>
    <row r="997" ht="15.75" customHeight="1">
      <c r="I997" s="1"/>
      <c r="N997" s="1"/>
      <c r="P997" s="1"/>
      <c r="Q997" s="1"/>
    </row>
    <row r="998" ht="15.75" customHeight="1">
      <c r="I998" s="1"/>
      <c r="N998" s="1"/>
      <c r="P998" s="1"/>
      <c r="Q998" s="1"/>
    </row>
    <row r="999" ht="15.75" customHeight="1">
      <c r="I999" s="1"/>
      <c r="N999" s="1"/>
      <c r="P999" s="1"/>
      <c r="Q999" s="1"/>
    </row>
    <row r="1000" ht="15.75" customHeight="1">
      <c r="I1000" s="1"/>
      <c r="N1000" s="1"/>
      <c r="P1000" s="1"/>
      <c r="Q1000" s="1"/>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5" width="8.71"/>
    <col customWidth="1" min="6" max="7" width="13.86"/>
    <col customWidth="1" min="8" max="26" width="8.71"/>
  </cols>
  <sheetData>
    <row r="1">
      <c r="A1" s="23" t="s">
        <v>919</v>
      </c>
      <c r="B1" s="24" t="s">
        <v>465</v>
      </c>
      <c r="C1" s="24" t="s">
        <v>920</v>
      </c>
      <c r="D1" s="24" t="s">
        <v>921</v>
      </c>
      <c r="E1" s="24" t="s">
        <v>922</v>
      </c>
      <c r="F1" s="24" t="s">
        <v>923</v>
      </c>
      <c r="G1" s="24" t="s">
        <v>924</v>
      </c>
      <c r="H1" s="24" t="s">
        <v>925</v>
      </c>
    </row>
    <row r="2">
      <c r="A2" s="23">
        <v>36532.0</v>
      </c>
      <c r="B2" s="24">
        <v>3093.7</v>
      </c>
      <c r="C2" s="24">
        <v>3093.7</v>
      </c>
      <c r="D2" s="24">
        <v>2999.3</v>
      </c>
      <c r="E2" s="24">
        <v>3023.4</v>
      </c>
      <c r="F2" s="25">
        <v>7.112E8</v>
      </c>
      <c r="G2" s="25">
        <v>4.2046E9</v>
      </c>
      <c r="H2" s="24">
        <v>100000.0</v>
      </c>
    </row>
    <row r="3">
      <c r="A3" s="23">
        <v>36539.0</v>
      </c>
      <c r="B3" s="24">
        <v>3084.0</v>
      </c>
      <c r="C3" s="24">
        <v>3160.8</v>
      </c>
      <c r="D3" s="24">
        <v>3078.9</v>
      </c>
      <c r="E3" s="24">
        <v>3115.4</v>
      </c>
      <c r="F3" s="25">
        <v>1.2233E9</v>
      </c>
      <c r="G3" s="25">
        <v>7.3835E9</v>
      </c>
      <c r="H3" s="3">
        <f t="shared" ref="H3:H1401" si="1">H2*(E3/E2)</f>
        <v>103042.9318</v>
      </c>
    </row>
    <row r="4">
      <c r="A4" s="23">
        <v>36546.0</v>
      </c>
      <c r="B4" s="24">
        <v>3121.5</v>
      </c>
      <c r="C4" s="24">
        <v>3128.0</v>
      </c>
      <c r="D4" s="24">
        <v>3073.4</v>
      </c>
      <c r="E4" s="24">
        <v>3073.4</v>
      </c>
      <c r="F4" s="25">
        <v>1.4532E9</v>
      </c>
      <c r="G4" s="25">
        <v>7.8744E9</v>
      </c>
      <c r="H4" s="3">
        <f t="shared" si="1"/>
        <v>101653.7673</v>
      </c>
    </row>
    <row r="5">
      <c r="A5" s="23">
        <v>36553.0</v>
      </c>
      <c r="B5" s="24">
        <v>3069.7</v>
      </c>
      <c r="C5" s="24">
        <v>3069.7</v>
      </c>
      <c r="D5" s="24">
        <v>3048.7</v>
      </c>
      <c r="E5" s="24">
        <v>3064.6</v>
      </c>
      <c r="F5" s="25">
        <v>9.635E8</v>
      </c>
      <c r="G5" s="25">
        <v>5.8017E9</v>
      </c>
      <c r="H5" s="3">
        <f t="shared" si="1"/>
        <v>101362.7042</v>
      </c>
    </row>
    <row r="6">
      <c r="A6" s="23">
        <v>36560.0</v>
      </c>
      <c r="B6" s="24">
        <v>3080.2</v>
      </c>
      <c r="C6" s="24">
        <v>3142.4</v>
      </c>
      <c r="D6" s="24">
        <v>3072.3</v>
      </c>
      <c r="E6" s="24">
        <v>3118.7</v>
      </c>
      <c r="F6" s="25">
        <v>1.0759E9</v>
      </c>
      <c r="G6" s="25">
        <v>6.9913E9</v>
      </c>
      <c r="H6" s="3">
        <f t="shared" si="1"/>
        <v>103152.0804</v>
      </c>
    </row>
    <row r="7">
      <c r="A7" s="23">
        <v>36567.0</v>
      </c>
      <c r="B7" s="24">
        <v>3136.9</v>
      </c>
      <c r="C7" s="24">
        <v>3192.3</v>
      </c>
      <c r="D7" s="24">
        <v>3134.6</v>
      </c>
      <c r="E7" s="24">
        <v>3167.3</v>
      </c>
      <c r="F7" s="25">
        <v>1.3584E9</v>
      </c>
      <c r="G7" s="25">
        <v>8.087E9</v>
      </c>
      <c r="H7" s="3">
        <f t="shared" si="1"/>
        <v>104759.5422</v>
      </c>
    </row>
    <row r="8">
      <c r="A8" s="23">
        <v>36574.0</v>
      </c>
      <c r="B8" s="24">
        <v>3122.2</v>
      </c>
      <c r="C8" s="24">
        <v>3152.3</v>
      </c>
      <c r="D8" s="24">
        <v>3114.9</v>
      </c>
      <c r="E8" s="24">
        <v>3114.9</v>
      </c>
      <c r="F8" s="25">
        <v>1.3306E9</v>
      </c>
      <c r="G8" s="25">
        <v>7.8598E9</v>
      </c>
      <c r="H8" s="3">
        <f t="shared" si="1"/>
        <v>103026.3941</v>
      </c>
    </row>
    <row r="9">
      <c r="A9" s="23">
        <v>36581.0</v>
      </c>
      <c r="B9" s="24">
        <v>3114.9</v>
      </c>
      <c r="C9" s="24">
        <v>3114.9</v>
      </c>
      <c r="D9" s="24">
        <v>3097.0</v>
      </c>
      <c r="E9" s="24">
        <v>3111.2</v>
      </c>
      <c r="F9" s="25">
        <v>1.3588E9</v>
      </c>
      <c r="G9" s="25">
        <v>7.8723E9</v>
      </c>
      <c r="H9" s="3">
        <f t="shared" si="1"/>
        <v>102904.0153</v>
      </c>
    </row>
    <row r="10">
      <c r="A10" s="23">
        <v>36588.0</v>
      </c>
      <c r="B10" s="24">
        <v>3106.7</v>
      </c>
      <c r="C10" s="24">
        <v>3232.6</v>
      </c>
      <c r="D10" s="24">
        <v>3106.7</v>
      </c>
      <c r="E10" s="24">
        <v>3232.6</v>
      </c>
      <c r="F10" s="25">
        <v>1.1342E9</v>
      </c>
      <c r="G10" s="25">
        <v>6.8532E9</v>
      </c>
      <c r="H10" s="3">
        <f t="shared" si="1"/>
        <v>106919.3623</v>
      </c>
    </row>
    <row r="11">
      <c r="A11" s="23">
        <v>36595.0</v>
      </c>
      <c r="B11" s="24">
        <v>3214.0</v>
      </c>
      <c r="C11" s="24">
        <v>3232.5</v>
      </c>
      <c r="D11" s="24">
        <v>3188.0</v>
      </c>
      <c r="E11" s="24">
        <v>3189.3</v>
      </c>
      <c r="F11" s="25">
        <v>1.1704E9</v>
      </c>
      <c r="G11" s="25">
        <v>7.7826E9</v>
      </c>
      <c r="H11" s="3">
        <f t="shared" si="1"/>
        <v>105487.1998</v>
      </c>
    </row>
    <row r="12">
      <c r="A12" s="23">
        <v>36602.0</v>
      </c>
      <c r="B12" s="24">
        <v>3185.9</v>
      </c>
      <c r="C12" s="24">
        <v>3200.4</v>
      </c>
      <c r="D12" s="24">
        <v>3159.7</v>
      </c>
      <c r="E12" s="24">
        <v>3200.4</v>
      </c>
      <c r="F12" s="25">
        <v>1.1714E9</v>
      </c>
      <c r="G12" s="25">
        <v>6.7465E9</v>
      </c>
      <c r="H12" s="3">
        <f t="shared" si="1"/>
        <v>105854.3362</v>
      </c>
    </row>
    <row r="13">
      <c r="A13" s="23">
        <v>36609.0</v>
      </c>
      <c r="B13" s="24">
        <v>3237.7</v>
      </c>
      <c r="C13" s="24">
        <v>3276.4</v>
      </c>
      <c r="D13" s="24">
        <v>3237.7</v>
      </c>
      <c r="E13" s="24">
        <v>3251.5</v>
      </c>
      <c r="F13" s="25">
        <v>9.696E8</v>
      </c>
      <c r="G13" s="25">
        <v>5.7558E9</v>
      </c>
      <c r="H13" s="3">
        <f t="shared" si="1"/>
        <v>107544.4863</v>
      </c>
    </row>
    <row r="14">
      <c r="A14" s="23">
        <v>36616.0</v>
      </c>
      <c r="B14" s="24">
        <v>3227.9</v>
      </c>
      <c r="C14" s="24">
        <v>3230.2</v>
      </c>
      <c r="D14" s="24">
        <v>3133.3</v>
      </c>
      <c r="E14" s="24">
        <v>3133.3</v>
      </c>
      <c r="F14" s="25">
        <v>1.2106E9</v>
      </c>
      <c r="G14" s="25">
        <v>7.4639E9</v>
      </c>
      <c r="H14" s="3">
        <f t="shared" si="1"/>
        <v>103634.9805</v>
      </c>
    </row>
    <row r="15">
      <c r="A15" s="23">
        <v>36623.0</v>
      </c>
      <c r="B15" s="24">
        <v>3133.3</v>
      </c>
      <c r="C15" s="24">
        <v>3201.9</v>
      </c>
      <c r="D15" s="24">
        <v>3133.1</v>
      </c>
      <c r="E15" s="24">
        <v>3182.0</v>
      </c>
      <c r="F15" s="25">
        <v>1.0671E9</v>
      </c>
      <c r="G15" s="25">
        <v>6.5112E9</v>
      </c>
      <c r="H15" s="3">
        <f t="shared" si="1"/>
        <v>105245.7498</v>
      </c>
    </row>
    <row r="16">
      <c r="A16" s="23">
        <v>36630.0</v>
      </c>
      <c r="B16" s="24">
        <v>3182.0</v>
      </c>
      <c r="C16" s="24">
        <v>3201.8</v>
      </c>
      <c r="D16" s="24">
        <v>3073.7</v>
      </c>
      <c r="E16" s="24">
        <v>3111.8</v>
      </c>
      <c r="F16" s="25">
        <v>9.774E8</v>
      </c>
      <c r="G16" s="25">
        <v>6.4522E9</v>
      </c>
      <c r="H16" s="3">
        <f t="shared" si="1"/>
        <v>102923.8606</v>
      </c>
    </row>
    <row r="17">
      <c r="A17" s="23">
        <v>36636.0</v>
      </c>
      <c r="B17" s="24">
        <v>3111.9</v>
      </c>
      <c r="C17" s="24">
        <v>3111.9</v>
      </c>
      <c r="D17" s="24">
        <v>2901.8</v>
      </c>
      <c r="E17" s="24">
        <v>3069.7</v>
      </c>
      <c r="F17" s="25">
        <v>9.307999E8</v>
      </c>
      <c r="G17" s="25">
        <v>5.1788E9</v>
      </c>
      <c r="H17" s="3">
        <f t="shared" si="1"/>
        <v>101531.3885</v>
      </c>
    </row>
    <row r="18">
      <c r="A18" s="23">
        <v>36644.0</v>
      </c>
      <c r="B18" s="24">
        <v>3069.7</v>
      </c>
      <c r="C18" s="24">
        <v>3127.3</v>
      </c>
      <c r="D18" s="24">
        <v>3069.7</v>
      </c>
      <c r="E18" s="24">
        <v>3115.8</v>
      </c>
      <c r="F18" s="25">
        <v>8.122E8</v>
      </c>
      <c r="G18" s="25">
        <v>4.9039E9</v>
      </c>
      <c r="H18" s="3">
        <f t="shared" si="1"/>
        <v>103056.1619</v>
      </c>
    </row>
    <row r="19">
      <c r="A19" s="23">
        <v>36651.0</v>
      </c>
      <c r="B19" s="24">
        <v>3115.8</v>
      </c>
      <c r="C19" s="24">
        <v>3132.0</v>
      </c>
      <c r="D19" s="24">
        <v>3049.6</v>
      </c>
      <c r="E19" s="24">
        <v>3107.2</v>
      </c>
      <c r="F19" s="25">
        <v>9.913999E8</v>
      </c>
      <c r="G19" s="25">
        <v>5.1288E9</v>
      </c>
      <c r="H19" s="3">
        <f t="shared" si="1"/>
        <v>102771.714</v>
      </c>
    </row>
    <row r="20">
      <c r="A20" s="23">
        <v>36658.0</v>
      </c>
      <c r="B20" s="24">
        <v>3107.2</v>
      </c>
      <c r="C20" s="24">
        <v>3124.0</v>
      </c>
      <c r="D20" s="24">
        <v>2988.3</v>
      </c>
      <c r="E20" s="24">
        <v>3034.8</v>
      </c>
      <c r="F20" s="25">
        <v>1.1061E9</v>
      </c>
      <c r="G20" s="25">
        <v>5.6606E9</v>
      </c>
      <c r="H20" s="3">
        <f t="shared" si="1"/>
        <v>100377.0589</v>
      </c>
    </row>
    <row r="21" ht="15.75" customHeight="1">
      <c r="A21" s="23">
        <v>36665.0</v>
      </c>
      <c r="B21" s="24">
        <v>3034.8</v>
      </c>
      <c r="C21" s="24">
        <v>3091.9</v>
      </c>
      <c r="D21" s="24">
        <v>3033.2</v>
      </c>
      <c r="E21" s="24">
        <v>3039.1</v>
      </c>
      <c r="F21" s="25">
        <v>1.1375E9</v>
      </c>
      <c r="G21" s="25">
        <v>6.0546E9</v>
      </c>
      <c r="H21" s="3">
        <f t="shared" si="1"/>
        <v>100519.2829</v>
      </c>
    </row>
    <row r="22" ht="15.75" customHeight="1">
      <c r="A22" s="23">
        <v>36672.0</v>
      </c>
      <c r="B22" s="24">
        <v>3039.1</v>
      </c>
      <c r="C22" s="24">
        <v>3039.1</v>
      </c>
      <c r="D22" s="24">
        <v>2985.5</v>
      </c>
      <c r="E22" s="24">
        <v>3000.7</v>
      </c>
      <c r="F22" s="25">
        <v>1.184E9</v>
      </c>
      <c r="G22" s="25">
        <v>6.901E9</v>
      </c>
      <c r="H22" s="3">
        <f t="shared" si="1"/>
        <v>99249.18965</v>
      </c>
    </row>
    <row r="23" ht="15.75" customHeight="1">
      <c r="A23" s="23">
        <v>36679.0</v>
      </c>
      <c r="B23" s="24">
        <v>3000.7</v>
      </c>
      <c r="C23" s="24">
        <v>3143.9</v>
      </c>
      <c r="D23" s="24">
        <v>2999.2</v>
      </c>
      <c r="E23" s="24">
        <v>3140.9</v>
      </c>
      <c r="F23" s="25">
        <v>1.1416E9</v>
      </c>
      <c r="G23" s="25">
        <v>7.0404E9</v>
      </c>
      <c r="H23" s="3">
        <f t="shared" si="1"/>
        <v>103886.3531</v>
      </c>
    </row>
    <row r="24" ht="15.75" customHeight="1">
      <c r="A24" s="23">
        <v>36686.0</v>
      </c>
      <c r="B24" s="24">
        <v>3140.9</v>
      </c>
      <c r="C24" s="24">
        <v>3170.0</v>
      </c>
      <c r="D24" s="24">
        <v>3109.6</v>
      </c>
      <c r="E24" s="24">
        <v>3146.5</v>
      </c>
      <c r="F24" s="25">
        <v>1.1199E9</v>
      </c>
      <c r="G24" s="25">
        <v>6.0528E9</v>
      </c>
      <c r="H24" s="3">
        <f t="shared" si="1"/>
        <v>104071.575</v>
      </c>
    </row>
    <row r="25" ht="15.75" customHeight="1">
      <c r="A25" s="23">
        <v>36693.0</v>
      </c>
      <c r="B25" s="24">
        <v>3146.5</v>
      </c>
      <c r="C25" s="24">
        <v>3147.8</v>
      </c>
      <c r="D25" s="24">
        <v>3103.7</v>
      </c>
      <c r="E25" s="24">
        <v>3140.8</v>
      </c>
      <c r="F25" s="25">
        <v>9.631E8</v>
      </c>
      <c r="G25" s="25">
        <v>5.3665E9</v>
      </c>
      <c r="H25" s="3">
        <f t="shared" si="1"/>
        <v>103883.0456</v>
      </c>
    </row>
    <row r="26" ht="15.75" customHeight="1">
      <c r="A26" s="23">
        <v>36700.0</v>
      </c>
      <c r="B26" s="24">
        <v>3140.8</v>
      </c>
      <c r="C26" s="24">
        <v>3186.2</v>
      </c>
      <c r="D26" s="24">
        <v>3119.8</v>
      </c>
      <c r="E26" s="24">
        <v>3177.1</v>
      </c>
      <c r="F26" s="25">
        <v>1.4335E9</v>
      </c>
      <c r="G26" s="25">
        <v>7.5121E9</v>
      </c>
      <c r="H26" s="3">
        <f t="shared" si="1"/>
        <v>105083.6806</v>
      </c>
    </row>
    <row r="27" ht="15.75" customHeight="1">
      <c r="A27" s="23">
        <v>36707.0</v>
      </c>
      <c r="B27" s="24">
        <v>3177.1</v>
      </c>
      <c r="C27" s="24">
        <v>3313.9</v>
      </c>
      <c r="D27" s="24">
        <v>3162.8</v>
      </c>
      <c r="E27" s="24">
        <v>3311.2</v>
      </c>
      <c r="F27" s="25">
        <v>1.9211E9</v>
      </c>
      <c r="G27" s="25">
        <v>1.11018E10</v>
      </c>
      <c r="H27" s="3">
        <f t="shared" si="1"/>
        <v>109519.0845</v>
      </c>
    </row>
    <row r="28" ht="15.75" customHeight="1">
      <c r="A28" s="23">
        <v>36714.0</v>
      </c>
      <c r="B28" s="24">
        <v>3311.2</v>
      </c>
      <c r="C28" s="24">
        <v>3327.2</v>
      </c>
      <c r="D28" s="24">
        <v>3279.8</v>
      </c>
      <c r="E28" s="24">
        <v>3305.3</v>
      </c>
      <c r="F28" s="25">
        <v>1.3777E9</v>
      </c>
      <c r="G28" s="25">
        <v>7.1092E9</v>
      </c>
      <c r="H28" s="3">
        <f t="shared" si="1"/>
        <v>109323.9399</v>
      </c>
    </row>
    <row r="29" ht="15.75" customHeight="1">
      <c r="A29" s="23">
        <v>36721.0</v>
      </c>
      <c r="B29" s="24">
        <v>3305.3</v>
      </c>
      <c r="C29" s="24">
        <v>3337.4</v>
      </c>
      <c r="D29" s="24">
        <v>3295.6</v>
      </c>
      <c r="E29" s="24">
        <v>3303.5</v>
      </c>
      <c r="F29" s="25">
        <v>1.2335E9</v>
      </c>
      <c r="G29" s="25">
        <v>6.6618E9</v>
      </c>
      <c r="H29" s="3">
        <f t="shared" si="1"/>
        <v>109264.4043</v>
      </c>
    </row>
    <row r="30" ht="15.75" customHeight="1">
      <c r="A30" s="23">
        <v>36728.0</v>
      </c>
      <c r="B30" s="24">
        <v>3303.5</v>
      </c>
      <c r="C30" s="24">
        <v>3335.7</v>
      </c>
      <c r="D30" s="24">
        <v>3283.0</v>
      </c>
      <c r="E30" s="24">
        <v>3332.3</v>
      </c>
      <c r="F30" s="25">
        <v>1.0697E9</v>
      </c>
      <c r="G30" s="25">
        <v>5.6547E9</v>
      </c>
      <c r="H30" s="3">
        <f t="shared" si="1"/>
        <v>110216.9743</v>
      </c>
    </row>
    <row r="31" ht="15.75" customHeight="1">
      <c r="A31" s="23">
        <v>36735.0</v>
      </c>
      <c r="B31" s="24">
        <v>3332.3</v>
      </c>
      <c r="C31" s="24">
        <v>3332.3</v>
      </c>
      <c r="D31" s="24">
        <v>3248.6</v>
      </c>
      <c r="E31" s="24">
        <v>3255.0</v>
      </c>
      <c r="F31" s="25">
        <v>1.0917E9</v>
      </c>
      <c r="G31" s="25">
        <v>6.3577E9</v>
      </c>
      <c r="H31" s="3">
        <f t="shared" si="1"/>
        <v>107660.25</v>
      </c>
    </row>
    <row r="32" ht="15.75" customHeight="1">
      <c r="A32" s="23">
        <v>36742.0</v>
      </c>
      <c r="B32" s="24">
        <v>3255.0</v>
      </c>
      <c r="C32" s="24">
        <v>3284.2</v>
      </c>
      <c r="D32" s="24">
        <v>3226.9</v>
      </c>
      <c r="E32" s="24">
        <v>3277.2</v>
      </c>
      <c r="F32" s="25">
        <v>1.28E9</v>
      </c>
      <c r="G32" s="25">
        <v>6.1286E9</v>
      </c>
      <c r="H32" s="3">
        <f t="shared" si="1"/>
        <v>108394.5227</v>
      </c>
    </row>
    <row r="33" ht="15.75" customHeight="1">
      <c r="A33" s="23">
        <v>36749.0</v>
      </c>
      <c r="B33" s="24">
        <v>3277.2</v>
      </c>
      <c r="C33" s="24">
        <v>3317.9</v>
      </c>
      <c r="D33" s="24">
        <v>3276.9</v>
      </c>
      <c r="E33" s="24">
        <v>3309.1</v>
      </c>
      <c r="F33" s="25">
        <v>1.0684E9</v>
      </c>
      <c r="G33" s="25">
        <v>5.8993E9</v>
      </c>
      <c r="H33" s="3">
        <f t="shared" si="1"/>
        <v>109449.6262</v>
      </c>
    </row>
    <row r="34" ht="15.75" customHeight="1">
      <c r="A34" s="23">
        <v>36756.0</v>
      </c>
      <c r="B34" s="24">
        <v>3309.1</v>
      </c>
      <c r="C34" s="24">
        <v>3350.3</v>
      </c>
      <c r="D34" s="24">
        <v>3308.0</v>
      </c>
      <c r="E34" s="24">
        <v>3344.2</v>
      </c>
      <c r="F34" s="25">
        <v>1.0867E9</v>
      </c>
      <c r="G34" s="25">
        <v>5.5544E9</v>
      </c>
      <c r="H34" s="3">
        <f t="shared" si="1"/>
        <v>110610.5709</v>
      </c>
    </row>
    <row r="35" ht="15.75" customHeight="1">
      <c r="A35" s="23">
        <v>36763.0</v>
      </c>
      <c r="B35" s="24">
        <v>3344.2</v>
      </c>
      <c r="C35" s="24">
        <v>3386.9</v>
      </c>
      <c r="D35" s="24">
        <v>3333.5</v>
      </c>
      <c r="E35" s="24">
        <v>3367.4</v>
      </c>
      <c r="F35" s="25">
        <v>1.3472E9</v>
      </c>
      <c r="G35" s="25">
        <v>7.858E9</v>
      </c>
      <c r="H35" s="3">
        <f t="shared" si="1"/>
        <v>111377.9189</v>
      </c>
    </row>
    <row r="36" ht="15.75" customHeight="1">
      <c r="A36" s="23">
        <v>36770.0</v>
      </c>
      <c r="B36" s="24">
        <v>3367.4</v>
      </c>
      <c r="C36" s="24">
        <v>3383.3</v>
      </c>
      <c r="D36" s="24">
        <v>3297.5</v>
      </c>
      <c r="E36" s="24">
        <v>3331.7</v>
      </c>
      <c r="F36" s="25">
        <v>1.2057E9</v>
      </c>
      <c r="G36" s="25">
        <v>6.2789E9</v>
      </c>
      <c r="H36" s="3">
        <f t="shared" si="1"/>
        <v>110197.1291</v>
      </c>
    </row>
    <row r="37" ht="15.75" customHeight="1">
      <c r="A37" s="23">
        <v>36777.0</v>
      </c>
      <c r="B37" s="24">
        <v>3331.7</v>
      </c>
      <c r="C37" s="24">
        <v>3356.0</v>
      </c>
      <c r="D37" s="24">
        <v>3295.4</v>
      </c>
      <c r="E37" s="24">
        <v>3320.3</v>
      </c>
      <c r="F37" s="25">
        <v>1.1297E9</v>
      </c>
      <c r="G37" s="25">
        <v>5.7483E9</v>
      </c>
      <c r="H37" s="3">
        <f t="shared" si="1"/>
        <v>109820.0701</v>
      </c>
    </row>
    <row r="38" ht="15.75" customHeight="1">
      <c r="A38" s="23">
        <v>36784.0</v>
      </c>
      <c r="B38" s="24">
        <v>3320.3</v>
      </c>
      <c r="C38" s="24">
        <v>3356.5</v>
      </c>
      <c r="D38" s="24">
        <v>3296.3</v>
      </c>
      <c r="E38" s="24">
        <v>3329.8</v>
      </c>
      <c r="F38" s="25">
        <v>1.1718E9</v>
      </c>
      <c r="G38" s="25">
        <v>6.968301E9</v>
      </c>
      <c r="H38" s="3">
        <f t="shared" si="1"/>
        <v>110134.2859</v>
      </c>
    </row>
    <row r="39" ht="15.75" customHeight="1">
      <c r="A39" s="23">
        <v>36791.0</v>
      </c>
      <c r="B39" s="24">
        <v>3329.8</v>
      </c>
      <c r="C39" s="24">
        <v>3329.8</v>
      </c>
      <c r="D39" s="24">
        <v>3176.1</v>
      </c>
      <c r="E39" s="24">
        <v>3188.6</v>
      </c>
      <c r="F39" s="25">
        <v>9.593E8</v>
      </c>
      <c r="G39" s="25">
        <v>5.416E9</v>
      </c>
      <c r="H39" s="3">
        <f t="shared" si="1"/>
        <v>105464.0471</v>
      </c>
    </row>
    <row r="40" ht="15.75" customHeight="1">
      <c r="A40" s="23">
        <v>36798.0</v>
      </c>
      <c r="B40" s="24">
        <v>3188.6</v>
      </c>
      <c r="C40" s="24">
        <v>3302.5</v>
      </c>
      <c r="D40" s="24">
        <v>3186.7</v>
      </c>
      <c r="E40" s="24">
        <v>3298.8</v>
      </c>
      <c r="F40" s="25">
        <v>9.81E8</v>
      </c>
      <c r="G40" s="25">
        <v>6.5377E9</v>
      </c>
      <c r="H40" s="3">
        <f t="shared" si="1"/>
        <v>109108.9502</v>
      </c>
    </row>
    <row r="41" ht="15.75" customHeight="1">
      <c r="A41" s="23">
        <v>36805.0</v>
      </c>
      <c r="B41" s="24">
        <v>3298.8</v>
      </c>
      <c r="C41" s="24">
        <v>3330.7</v>
      </c>
      <c r="D41" s="24">
        <v>3277.9</v>
      </c>
      <c r="E41" s="24">
        <v>3293.5</v>
      </c>
      <c r="F41" s="25">
        <v>9.94E8</v>
      </c>
      <c r="G41" s="25">
        <v>6.123E9</v>
      </c>
      <c r="H41" s="3">
        <f t="shared" si="1"/>
        <v>108933.6509</v>
      </c>
    </row>
    <row r="42" ht="15.75" customHeight="1">
      <c r="A42" s="23">
        <v>36812.0</v>
      </c>
      <c r="B42" s="24">
        <v>3293.5</v>
      </c>
      <c r="C42" s="24">
        <v>3293.5</v>
      </c>
      <c r="D42" s="24">
        <v>3186.0</v>
      </c>
      <c r="E42" s="24">
        <v>3201.9</v>
      </c>
      <c r="F42" s="25">
        <v>1.3319E9</v>
      </c>
      <c r="G42" s="25">
        <v>6.5809E9</v>
      </c>
      <c r="H42" s="3">
        <f t="shared" si="1"/>
        <v>105903.9492</v>
      </c>
    </row>
    <row r="43" ht="15.75" customHeight="1">
      <c r="A43" s="23">
        <v>36819.0</v>
      </c>
      <c r="B43" s="24">
        <v>3201.9</v>
      </c>
      <c r="C43" s="24">
        <v>3271.2</v>
      </c>
      <c r="D43" s="24">
        <v>3180.3</v>
      </c>
      <c r="E43" s="24">
        <v>3235.8</v>
      </c>
      <c r="F43" s="25">
        <v>1.3111E9</v>
      </c>
      <c r="G43" s="25">
        <v>7.15E9</v>
      </c>
      <c r="H43" s="3">
        <f t="shared" si="1"/>
        <v>107025.2034</v>
      </c>
    </row>
    <row r="44" ht="15.75" customHeight="1">
      <c r="A44" s="23">
        <v>36826.0</v>
      </c>
      <c r="B44" s="24">
        <v>3235.8</v>
      </c>
      <c r="C44" s="24">
        <v>3272.8</v>
      </c>
      <c r="D44" s="24">
        <v>3231.2</v>
      </c>
      <c r="E44" s="24">
        <v>3244.7</v>
      </c>
      <c r="F44" s="25">
        <v>1.3923E9</v>
      </c>
      <c r="G44" s="25">
        <v>7.2837E9</v>
      </c>
      <c r="H44" s="3">
        <f t="shared" si="1"/>
        <v>107319.574</v>
      </c>
    </row>
    <row r="45" ht="15.75" customHeight="1">
      <c r="A45" s="23">
        <v>36833.0</v>
      </c>
      <c r="B45" s="24">
        <v>3244.7</v>
      </c>
      <c r="C45" s="24">
        <v>3327.6</v>
      </c>
      <c r="D45" s="24">
        <v>3244.6</v>
      </c>
      <c r="E45" s="24">
        <v>3321.9</v>
      </c>
      <c r="F45" s="25">
        <v>1.1781E9</v>
      </c>
      <c r="G45" s="25">
        <v>6.1203E9</v>
      </c>
      <c r="H45" s="3">
        <f t="shared" si="1"/>
        <v>109872.9907</v>
      </c>
    </row>
    <row r="46" ht="15.75" customHeight="1">
      <c r="A46" s="23">
        <v>36840.0</v>
      </c>
      <c r="B46" s="24">
        <v>3321.9</v>
      </c>
      <c r="C46" s="24">
        <v>3381.5</v>
      </c>
      <c r="D46" s="24">
        <v>3291.7</v>
      </c>
      <c r="E46" s="24">
        <v>3300.9</v>
      </c>
      <c r="F46" s="25">
        <v>1.2331E9</v>
      </c>
      <c r="G46" s="25">
        <v>7.1061E9</v>
      </c>
      <c r="H46" s="3">
        <f t="shared" si="1"/>
        <v>109178.4084</v>
      </c>
    </row>
    <row r="47" ht="15.75" customHeight="1">
      <c r="A47" s="23">
        <v>36847.0</v>
      </c>
      <c r="B47" s="24">
        <v>3300.9</v>
      </c>
      <c r="C47" s="24">
        <v>3332.2</v>
      </c>
      <c r="D47" s="24">
        <v>3273.4</v>
      </c>
      <c r="E47" s="24">
        <v>3329.1</v>
      </c>
      <c r="F47" s="25">
        <v>1.2438E9</v>
      </c>
      <c r="G47" s="25">
        <v>7.1621E9</v>
      </c>
      <c r="H47" s="3">
        <f t="shared" si="1"/>
        <v>110111.1332</v>
      </c>
    </row>
    <row r="48" ht="15.75" customHeight="1">
      <c r="A48" s="23">
        <v>36854.0</v>
      </c>
      <c r="B48" s="24">
        <v>3329.1</v>
      </c>
      <c r="C48" s="24">
        <v>3331.5</v>
      </c>
      <c r="D48" s="24">
        <v>3265.2</v>
      </c>
      <c r="E48" s="24">
        <v>3280.6</v>
      </c>
      <c r="F48" s="25">
        <v>1.14E9</v>
      </c>
      <c r="G48" s="25">
        <v>7.1354E9</v>
      </c>
      <c r="H48" s="3">
        <f t="shared" si="1"/>
        <v>108506.9789</v>
      </c>
    </row>
    <row r="49" ht="15.75" customHeight="1">
      <c r="A49" s="23">
        <v>36861.0</v>
      </c>
      <c r="B49" s="24">
        <v>3280.6</v>
      </c>
      <c r="C49" s="24">
        <v>3311.9</v>
      </c>
      <c r="D49" s="24">
        <v>3254.0</v>
      </c>
      <c r="E49" s="24">
        <v>3284.1</v>
      </c>
      <c r="F49" s="25">
        <v>1.1545E9</v>
      </c>
      <c r="G49" s="25">
        <v>6.7726E9</v>
      </c>
      <c r="H49" s="3">
        <f t="shared" si="1"/>
        <v>108622.7426</v>
      </c>
    </row>
    <row r="50" ht="15.75" customHeight="1">
      <c r="A50" s="23">
        <v>36868.0</v>
      </c>
      <c r="B50" s="24">
        <v>3284.1</v>
      </c>
      <c r="C50" s="24">
        <v>3349.0</v>
      </c>
      <c r="D50" s="24">
        <v>3278.0</v>
      </c>
      <c r="E50" s="24">
        <v>3287.6</v>
      </c>
      <c r="F50" s="25">
        <v>1.2906E9</v>
      </c>
      <c r="G50" s="25">
        <v>6.6551E9</v>
      </c>
      <c r="H50" s="3">
        <f t="shared" si="1"/>
        <v>108738.5063</v>
      </c>
    </row>
    <row r="51" ht="15.75" customHeight="1">
      <c r="A51" s="23">
        <v>36875.0</v>
      </c>
      <c r="B51" s="24">
        <v>3287.6</v>
      </c>
      <c r="C51" s="24">
        <v>3321.1</v>
      </c>
      <c r="D51" s="24">
        <v>3222.4</v>
      </c>
      <c r="E51" s="24">
        <v>3229.2</v>
      </c>
      <c r="F51" s="25">
        <v>1.2815E9</v>
      </c>
      <c r="G51" s="25">
        <v>7.243E9</v>
      </c>
      <c r="H51" s="3">
        <f t="shared" si="1"/>
        <v>106806.9061</v>
      </c>
    </row>
    <row r="52" ht="15.75" customHeight="1">
      <c r="A52" s="23">
        <v>36882.0</v>
      </c>
      <c r="B52" s="24">
        <v>3229.2</v>
      </c>
      <c r="C52" s="24">
        <v>3260.0</v>
      </c>
      <c r="D52" s="24">
        <v>3171.7</v>
      </c>
      <c r="E52" s="24">
        <v>3196.0</v>
      </c>
      <c r="F52" s="25">
        <v>1.185E9</v>
      </c>
      <c r="G52" s="25">
        <v>7.0975E9</v>
      </c>
      <c r="H52" s="3">
        <f t="shared" si="1"/>
        <v>105708.8047</v>
      </c>
    </row>
    <row r="53" ht="15.75" customHeight="1">
      <c r="A53" s="23">
        <v>36889.0</v>
      </c>
      <c r="B53" s="24">
        <v>3196.0</v>
      </c>
      <c r="C53" s="24">
        <v>3279.8</v>
      </c>
      <c r="D53" s="24">
        <v>3194.9</v>
      </c>
      <c r="E53" s="24">
        <v>3206.2</v>
      </c>
      <c r="F53" s="25">
        <v>4.81E8</v>
      </c>
      <c r="G53" s="25">
        <v>2.6115E9</v>
      </c>
      <c r="H53" s="3">
        <f t="shared" si="1"/>
        <v>106046.1732</v>
      </c>
    </row>
    <row r="54" ht="15.75" customHeight="1">
      <c r="A54" s="23">
        <v>36896.0</v>
      </c>
      <c r="B54" s="24">
        <v>3206.2</v>
      </c>
      <c r="C54" s="24">
        <v>3308.5</v>
      </c>
      <c r="D54" s="24">
        <v>3206.2</v>
      </c>
      <c r="E54" s="24">
        <v>3300.4</v>
      </c>
      <c r="F54" s="25">
        <v>7.098E8</v>
      </c>
      <c r="G54" s="25">
        <v>4.2176E9</v>
      </c>
      <c r="H54" s="3">
        <f t="shared" si="1"/>
        <v>109161.8707</v>
      </c>
    </row>
    <row r="55" ht="15.75" customHeight="1">
      <c r="A55" s="23">
        <v>36903.0</v>
      </c>
      <c r="B55" s="24">
        <v>3300.4</v>
      </c>
      <c r="C55" s="24">
        <v>3300.4</v>
      </c>
      <c r="D55" s="24">
        <v>3222.6</v>
      </c>
      <c r="E55" s="24">
        <v>3243.2</v>
      </c>
      <c r="F55" s="25">
        <v>1.2629E9</v>
      </c>
      <c r="G55" s="25">
        <v>6.631999E9</v>
      </c>
      <c r="H55" s="3">
        <f t="shared" si="1"/>
        <v>107269.961</v>
      </c>
    </row>
    <row r="56" ht="15.75" customHeight="1">
      <c r="A56" s="23">
        <v>36910.0</v>
      </c>
      <c r="B56" s="24">
        <v>3243.2</v>
      </c>
      <c r="C56" s="24">
        <v>3319.2</v>
      </c>
      <c r="D56" s="24">
        <v>3232.3</v>
      </c>
      <c r="E56" s="24">
        <v>3311.6</v>
      </c>
      <c r="F56" s="25">
        <v>1.3767E9</v>
      </c>
      <c r="G56" s="25">
        <v>7.9291E9</v>
      </c>
      <c r="H56" s="3">
        <f t="shared" si="1"/>
        <v>109532.3146</v>
      </c>
    </row>
    <row r="57" ht="15.75" customHeight="1">
      <c r="A57" s="23">
        <v>36916.0</v>
      </c>
      <c r="B57" s="24">
        <v>3311.6</v>
      </c>
      <c r="C57" s="24">
        <v>3327.4</v>
      </c>
      <c r="D57" s="24">
        <v>3284.6</v>
      </c>
      <c r="E57" s="24">
        <v>3321.4</v>
      </c>
      <c r="F57" s="25">
        <v>9.975E8</v>
      </c>
      <c r="G57" s="25">
        <v>5.3416E9</v>
      </c>
      <c r="H57" s="3">
        <f t="shared" si="1"/>
        <v>109856.453</v>
      </c>
    </row>
    <row r="58" ht="15.75" customHeight="1">
      <c r="A58" s="23">
        <v>36924.0</v>
      </c>
      <c r="B58" s="24">
        <v>3321.4</v>
      </c>
      <c r="C58" s="24">
        <v>3364.6</v>
      </c>
      <c r="D58" s="24">
        <v>3300.5</v>
      </c>
      <c r="E58" s="24">
        <v>3355.3</v>
      </c>
      <c r="F58" s="25">
        <v>1.3762E9</v>
      </c>
      <c r="G58" s="25">
        <v>8.4159E9</v>
      </c>
      <c r="H58" s="3">
        <f t="shared" si="1"/>
        <v>110977.7072</v>
      </c>
    </row>
    <row r="59" ht="15.75" customHeight="1">
      <c r="A59" s="23">
        <v>36931.0</v>
      </c>
      <c r="B59" s="24">
        <v>3355.3</v>
      </c>
      <c r="C59" s="24">
        <v>3355.3</v>
      </c>
      <c r="D59" s="24">
        <v>3300.2</v>
      </c>
      <c r="E59" s="24">
        <v>3312.4</v>
      </c>
      <c r="F59" s="25">
        <v>1.2502E9</v>
      </c>
      <c r="G59" s="25">
        <v>7.221E9</v>
      </c>
      <c r="H59" s="3">
        <f t="shared" si="1"/>
        <v>109558.7749</v>
      </c>
    </row>
    <row r="60" ht="15.75" customHeight="1">
      <c r="A60" s="23">
        <v>36938.0</v>
      </c>
      <c r="B60" s="24">
        <v>3312.4</v>
      </c>
      <c r="C60" s="24">
        <v>3354.5</v>
      </c>
      <c r="D60" s="24">
        <v>3300.6</v>
      </c>
      <c r="E60" s="24">
        <v>3320.1</v>
      </c>
      <c r="F60" s="25">
        <v>1.2836E9</v>
      </c>
      <c r="G60" s="25">
        <v>7.9712E9</v>
      </c>
      <c r="H60" s="3">
        <f t="shared" si="1"/>
        <v>109813.4551</v>
      </c>
    </row>
    <row r="61" ht="15.75" customHeight="1">
      <c r="A61" s="23">
        <v>36945.0</v>
      </c>
      <c r="B61" s="24">
        <v>3320.1</v>
      </c>
      <c r="C61" s="24">
        <v>3320.1</v>
      </c>
      <c r="D61" s="24">
        <v>3278.2</v>
      </c>
      <c r="E61" s="24">
        <v>3292.0</v>
      </c>
      <c r="F61" s="25">
        <v>1.318E9</v>
      </c>
      <c r="G61" s="25">
        <v>8.2161E9</v>
      </c>
      <c r="H61" s="3">
        <f t="shared" si="1"/>
        <v>108884.0378</v>
      </c>
    </row>
    <row r="62" ht="15.75" customHeight="1">
      <c r="A62" s="23">
        <v>36952.0</v>
      </c>
      <c r="B62" s="24">
        <v>3292.0</v>
      </c>
      <c r="C62" s="24">
        <v>3351.3</v>
      </c>
      <c r="D62" s="24">
        <v>3283.7</v>
      </c>
      <c r="E62" s="24">
        <v>3333.4</v>
      </c>
      <c r="F62" s="25">
        <v>1.3424E9</v>
      </c>
      <c r="G62" s="25">
        <v>8.0467E9</v>
      </c>
      <c r="H62" s="3">
        <f t="shared" si="1"/>
        <v>110253.3571</v>
      </c>
    </row>
    <row r="63" ht="15.75" customHeight="1">
      <c r="A63" s="23">
        <v>36959.0</v>
      </c>
      <c r="B63" s="24">
        <v>3333.4</v>
      </c>
      <c r="C63" s="24">
        <v>3370.9</v>
      </c>
      <c r="D63" s="24">
        <v>3321.9</v>
      </c>
      <c r="E63" s="24">
        <v>3331.3</v>
      </c>
      <c r="F63" s="25">
        <v>1.4832E9</v>
      </c>
      <c r="G63" s="25">
        <v>9.239999E9</v>
      </c>
      <c r="H63" s="3">
        <f t="shared" si="1"/>
        <v>110183.8989</v>
      </c>
    </row>
    <row r="64" ht="15.75" customHeight="1">
      <c r="A64" s="23">
        <v>36966.0</v>
      </c>
      <c r="B64" s="24">
        <v>3331.3</v>
      </c>
      <c r="C64" s="24">
        <v>3332.0</v>
      </c>
      <c r="D64" s="24">
        <v>3203.7</v>
      </c>
      <c r="E64" s="24">
        <v>3252.4</v>
      </c>
      <c r="F64" s="25">
        <v>1.3909E9</v>
      </c>
      <c r="G64" s="25">
        <v>8.243201E9</v>
      </c>
      <c r="H64" s="3">
        <f t="shared" si="1"/>
        <v>107574.2542</v>
      </c>
    </row>
    <row r="65" ht="15.75" customHeight="1">
      <c r="A65" s="23">
        <v>36973.0</v>
      </c>
      <c r="B65" s="24">
        <v>3252.4</v>
      </c>
      <c r="C65" s="24">
        <v>3252.4</v>
      </c>
      <c r="D65" s="24">
        <v>3138.2</v>
      </c>
      <c r="E65" s="24">
        <v>3145.3</v>
      </c>
      <c r="F65" s="25">
        <v>1.3566E9</v>
      </c>
      <c r="G65" s="25">
        <v>9.5145E9</v>
      </c>
      <c r="H65" s="3">
        <f t="shared" si="1"/>
        <v>104031.8846</v>
      </c>
    </row>
    <row r="66" ht="15.75" customHeight="1">
      <c r="A66" s="23">
        <v>36980.0</v>
      </c>
      <c r="B66" s="24">
        <v>3145.3</v>
      </c>
      <c r="C66" s="24">
        <v>3194.3</v>
      </c>
      <c r="D66" s="24">
        <v>3143.3</v>
      </c>
      <c r="E66" s="24">
        <v>3147.2</v>
      </c>
      <c r="F66" s="25">
        <v>1.9852E9</v>
      </c>
      <c r="G66" s="25">
        <v>1.1134E10</v>
      </c>
      <c r="H66" s="3">
        <f t="shared" si="1"/>
        <v>104094.7278</v>
      </c>
    </row>
    <row r="67" ht="15.75" customHeight="1">
      <c r="A67" s="23">
        <v>36987.0</v>
      </c>
      <c r="B67" s="24">
        <v>3147.2</v>
      </c>
      <c r="C67" s="24">
        <v>3266.0</v>
      </c>
      <c r="D67" s="24">
        <v>3147.2</v>
      </c>
      <c r="E67" s="24">
        <v>3233.2</v>
      </c>
      <c r="F67" s="25">
        <v>1.7228E9</v>
      </c>
      <c r="G67" s="25">
        <v>9.4245E9</v>
      </c>
      <c r="H67" s="3">
        <f t="shared" si="1"/>
        <v>106939.2075</v>
      </c>
    </row>
    <row r="68" ht="15.75" customHeight="1">
      <c r="A68" s="23">
        <v>36993.0</v>
      </c>
      <c r="B68" s="24">
        <v>3233.2</v>
      </c>
      <c r="C68" s="24">
        <v>3282.6</v>
      </c>
      <c r="D68" s="24">
        <v>3211.1</v>
      </c>
      <c r="E68" s="24">
        <v>3276.8</v>
      </c>
      <c r="F68" s="25">
        <v>1.2831E9</v>
      </c>
      <c r="G68" s="25">
        <v>6.903699E9</v>
      </c>
      <c r="H68" s="3">
        <f t="shared" si="1"/>
        <v>108381.2926</v>
      </c>
    </row>
    <row r="69" ht="15.75" customHeight="1">
      <c r="A69" s="23">
        <v>37001.0</v>
      </c>
      <c r="B69" s="24">
        <v>3276.8</v>
      </c>
      <c r="C69" s="24">
        <v>3333.9</v>
      </c>
      <c r="D69" s="24">
        <v>3257.0</v>
      </c>
      <c r="E69" s="24">
        <v>3303.5</v>
      </c>
      <c r="F69" s="25">
        <v>1.3372E9</v>
      </c>
      <c r="G69" s="25">
        <v>7.6738E9</v>
      </c>
      <c r="H69" s="3">
        <f t="shared" si="1"/>
        <v>109264.4043</v>
      </c>
    </row>
    <row r="70" ht="15.75" customHeight="1">
      <c r="A70" s="23">
        <v>37008.0</v>
      </c>
      <c r="B70" s="24">
        <v>3303.5</v>
      </c>
      <c r="C70" s="24">
        <v>3313.9</v>
      </c>
      <c r="D70" s="24">
        <v>3286.1</v>
      </c>
      <c r="E70" s="24">
        <v>3293.9</v>
      </c>
      <c r="F70" s="25">
        <v>1.2551E9</v>
      </c>
      <c r="G70" s="25">
        <v>9.0596E9</v>
      </c>
      <c r="H70" s="3">
        <f t="shared" si="1"/>
        <v>108946.881</v>
      </c>
    </row>
    <row r="71" ht="15.75" customHeight="1">
      <c r="A71" s="23">
        <v>37015.0</v>
      </c>
      <c r="B71" s="24">
        <v>3293.9</v>
      </c>
      <c r="C71" s="24">
        <v>3357.5</v>
      </c>
      <c r="D71" s="24">
        <v>3293.9</v>
      </c>
      <c r="E71" s="24">
        <v>3340.5</v>
      </c>
      <c r="F71" s="25">
        <v>1.6446E9</v>
      </c>
      <c r="G71" s="25">
        <v>8.988101E9</v>
      </c>
      <c r="H71" s="3">
        <f t="shared" si="1"/>
        <v>110488.1921</v>
      </c>
    </row>
    <row r="72" ht="15.75" customHeight="1">
      <c r="A72" s="23">
        <v>37022.0</v>
      </c>
      <c r="B72" s="24">
        <v>3340.5</v>
      </c>
      <c r="C72" s="24">
        <v>3392.4</v>
      </c>
      <c r="D72" s="24">
        <v>3327.8</v>
      </c>
      <c r="E72" s="24">
        <v>3389.0</v>
      </c>
      <c r="F72" s="25">
        <v>1.3566E9</v>
      </c>
      <c r="G72" s="25">
        <v>8.0889E9</v>
      </c>
      <c r="H72" s="3">
        <f t="shared" si="1"/>
        <v>112092.3464</v>
      </c>
    </row>
    <row r="73" ht="15.75" customHeight="1">
      <c r="A73" s="23">
        <v>37029.0</v>
      </c>
      <c r="B73" s="24">
        <v>3389.0</v>
      </c>
      <c r="C73" s="24">
        <v>3424.5</v>
      </c>
      <c r="D73" s="24">
        <v>3358.2</v>
      </c>
      <c r="E73" s="24">
        <v>3404.1</v>
      </c>
      <c r="F73" s="25">
        <v>1.5791E9</v>
      </c>
      <c r="G73" s="25">
        <v>9.281601E9</v>
      </c>
      <c r="H73" s="3">
        <f t="shared" si="1"/>
        <v>112591.7841</v>
      </c>
    </row>
    <row r="74" ht="15.75" customHeight="1">
      <c r="A74" s="23">
        <v>37036.0</v>
      </c>
      <c r="B74" s="24">
        <v>3404.1</v>
      </c>
      <c r="C74" s="24">
        <v>3444.7</v>
      </c>
      <c r="D74" s="24">
        <v>3404.1</v>
      </c>
      <c r="E74" s="24">
        <v>3426.1</v>
      </c>
      <c r="F74" s="25">
        <v>1.8516E9</v>
      </c>
      <c r="G74" s="25">
        <v>1.14799E10</v>
      </c>
      <c r="H74" s="3">
        <f t="shared" si="1"/>
        <v>113319.4417</v>
      </c>
    </row>
    <row r="75" ht="15.75" customHeight="1">
      <c r="A75" s="23">
        <v>37043.0</v>
      </c>
      <c r="B75" s="24">
        <v>3426.1</v>
      </c>
      <c r="C75" s="24">
        <v>3429.0</v>
      </c>
      <c r="D75" s="24">
        <v>3375.1</v>
      </c>
      <c r="E75" s="24">
        <v>3391.5</v>
      </c>
      <c r="F75" s="25">
        <v>1.4051E9</v>
      </c>
      <c r="G75" s="25">
        <v>7.626E9</v>
      </c>
      <c r="H75" s="3">
        <f t="shared" si="1"/>
        <v>112175.0347</v>
      </c>
    </row>
    <row r="76" ht="15.75" customHeight="1">
      <c r="A76" s="23">
        <v>37050.0</v>
      </c>
      <c r="B76" s="24">
        <v>3391.5</v>
      </c>
      <c r="C76" s="24">
        <v>3442.1</v>
      </c>
      <c r="D76" s="24">
        <v>3388.2</v>
      </c>
      <c r="E76" s="24">
        <v>3434.4</v>
      </c>
      <c r="F76" s="25">
        <v>1.7015E9</v>
      </c>
      <c r="G76" s="25">
        <v>1.00131E10</v>
      </c>
      <c r="H76" s="3">
        <f t="shared" si="1"/>
        <v>113593.9671</v>
      </c>
    </row>
    <row r="77" ht="15.75" customHeight="1">
      <c r="A77" s="23">
        <v>37057.0</v>
      </c>
      <c r="B77" s="24">
        <v>3434.4</v>
      </c>
      <c r="C77" s="24">
        <v>3434.6</v>
      </c>
      <c r="D77" s="24">
        <v>3378.9</v>
      </c>
      <c r="E77" s="24">
        <v>3415.7</v>
      </c>
      <c r="F77" s="25">
        <v>1.7806E9</v>
      </c>
      <c r="G77" s="25">
        <v>1.08651E10</v>
      </c>
      <c r="H77" s="3">
        <f t="shared" si="1"/>
        <v>112975.4581</v>
      </c>
    </row>
    <row r="78" ht="15.75" customHeight="1">
      <c r="A78" s="23">
        <v>37064.0</v>
      </c>
      <c r="B78" s="24">
        <v>3415.7</v>
      </c>
      <c r="C78" s="24">
        <v>3434.2</v>
      </c>
      <c r="D78" s="24">
        <v>3383.6</v>
      </c>
      <c r="E78" s="24">
        <v>3428.3</v>
      </c>
      <c r="F78" s="25">
        <v>1.7511E9</v>
      </c>
      <c r="G78" s="25">
        <v>8.8609E9</v>
      </c>
      <c r="H78" s="3">
        <f t="shared" si="1"/>
        <v>113392.2074</v>
      </c>
    </row>
    <row r="79" ht="15.75" customHeight="1">
      <c r="A79" s="23">
        <v>37071.0</v>
      </c>
      <c r="B79" s="24">
        <v>3428.3</v>
      </c>
      <c r="C79" s="24">
        <v>3490.3</v>
      </c>
      <c r="D79" s="24">
        <v>3408.4</v>
      </c>
      <c r="E79" s="24">
        <v>3490.3</v>
      </c>
      <c r="F79" s="25">
        <v>2.1634E9</v>
      </c>
      <c r="G79" s="25">
        <v>1.25323E10</v>
      </c>
      <c r="H79" s="3">
        <f t="shared" si="1"/>
        <v>115442.8789</v>
      </c>
    </row>
    <row r="80" ht="15.75" customHeight="1">
      <c r="A80" s="23">
        <v>37078.0</v>
      </c>
      <c r="B80" s="24">
        <v>3490.3</v>
      </c>
      <c r="C80" s="24">
        <v>3490.3</v>
      </c>
      <c r="D80" s="24">
        <v>3344.8</v>
      </c>
      <c r="E80" s="24">
        <v>3353.9</v>
      </c>
      <c r="F80" s="25">
        <v>1.7041E9</v>
      </c>
      <c r="G80" s="25">
        <v>9.602801E9</v>
      </c>
      <c r="H80" s="3">
        <f t="shared" si="1"/>
        <v>110931.4017</v>
      </c>
    </row>
    <row r="81" ht="15.75" customHeight="1">
      <c r="A81" s="23">
        <v>37085.0</v>
      </c>
      <c r="B81" s="24">
        <v>3353.9</v>
      </c>
      <c r="C81" s="24">
        <v>3410.5</v>
      </c>
      <c r="D81" s="24">
        <v>3316.2</v>
      </c>
      <c r="E81" s="24">
        <v>3396.5</v>
      </c>
      <c r="F81" s="25">
        <v>1.6566E9</v>
      </c>
      <c r="G81" s="25">
        <v>8.762101E9</v>
      </c>
      <c r="H81" s="3">
        <f t="shared" si="1"/>
        <v>112340.4115</v>
      </c>
    </row>
    <row r="82" ht="15.75" customHeight="1">
      <c r="A82" s="23">
        <v>37092.0</v>
      </c>
      <c r="B82" s="24">
        <v>3396.5</v>
      </c>
      <c r="C82" s="24">
        <v>3423.5</v>
      </c>
      <c r="D82" s="24">
        <v>3380.5</v>
      </c>
      <c r="E82" s="24">
        <v>3380.7</v>
      </c>
      <c r="F82" s="25">
        <v>1.798E9</v>
      </c>
      <c r="G82" s="25">
        <v>8.1862E9</v>
      </c>
      <c r="H82" s="3">
        <f t="shared" si="1"/>
        <v>111817.821</v>
      </c>
    </row>
    <row r="83" ht="15.75" customHeight="1">
      <c r="A83" s="23">
        <v>37099.0</v>
      </c>
      <c r="B83" s="24">
        <v>3384.2</v>
      </c>
      <c r="C83" s="24">
        <v>3389.6</v>
      </c>
      <c r="D83" s="24">
        <v>3282.7</v>
      </c>
      <c r="E83" s="24">
        <v>3292.1</v>
      </c>
      <c r="F83" s="25">
        <v>1.6063E9</v>
      </c>
      <c r="G83" s="25">
        <v>9.934099E9</v>
      </c>
      <c r="H83" s="3">
        <f t="shared" si="1"/>
        <v>108887.3454</v>
      </c>
    </row>
    <row r="84" ht="15.75" customHeight="1">
      <c r="A84" s="23">
        <v>37106.0</v>
      </c>
      <c r="B84" s="24">
        <v>3292.0</v>
      </c>
      <c r="C84" s="24">
        <v>3419.3</v>
      </c>
      <c r="D84" s="24">
        <v>3290.0</v>
      </c>
      <c r="E84" s="24">
        <v>3405.1</v>
      </c>
      <c r="F84" s="25">
        <v>1.4315E9</v>
      </c>
      <c r="G84" s="25">
        <v>8.4616E9</v>
      </c>
      <c r="H84" s="3">
        <f t="shared" si="1"/>
        <v>112624.8594</v>
      </c>
    </row>
    <row r="85" ht="15.75" customHeight="1">
      <c r="A85" s="23">
        <v>37113.0</v>
      </c>
      <c r="B85" s="24">
        <v>3405.4</v>
      </c>
      <c r="C85" s="24">
        <v>3424.9</v>
      </c>
      <c r="D85" s="24">
        <v>3381.2</v>
      </c>
      <c r="E85" s="24">
        <v>3401.3</v>
      </c>
      <c r="F85" s="25">
        <v>1.3149E9</v>
      </c>
      <c r="G85" s="25">
        <v>7.2298E9</v>
      </c>
      <c r="H85" s="3">
        <f t="shared" si="1"/>
        <v>112499.1731</v>
      </c>
    </row>
    <row r="86" ht="15.75" customHeight="1">
      <c r="A86" s="23">
        <v>37120.0</v>
      </c>
      <c r="B86" s="24">
        <v>3401.3</v>
      </c>
      <c r="C86" s="24">
        <v>3406.9</v>
      </c>
      <c r="D86" s="24">
        <v>3325.5</v>
      </c>
      <c r="E86" s="24">
        <v>3330.4</v>
      </c>
      <c r="F86" s="25">
        <v>1.4621E9</v>
      </c>
      <c r="G86" s="25">
        <v>8.0999E9</v>
      </c>
      <c r="H86" s="3">
        <f t="shared" si="1"/>
        <v>110154.1311</v>
      </c>
    </row>
    <row r="87" ht="15.75" customHeight="1">
      <c r="A87" s="23">
        <v>37127.0</v>
      </c>
      <c r="B87" s="24">
        <v>3330.4</v>
      </c>
      <c r="C87" s="24">
        <v>3351.1</v>
      </c>
      <c r="D87" s="24">
        <v>3280.8</v>
      </c>
      <c r="E87" s="24">
        <v>3348.0</v>
      </c>
      <c r="F87" s="25">
        <v>1.499E9</v>
      </c>
      <c r="G87" s="25">
        <v>8.006E9</v>
      </c>
      <c r="H87" s="3">
        <f t="shared" si="1"/>
        <v>110736.2572</v>
      </c>
    </row>
    <row r="88" ht="15.75" customHeight="1">
      <c r="A88" s="23">
        <v>37134.0</v>
      </c>
      <c r="B88" s="24">
        <v>3348.0</v>
      </c>
      <c r="C88" s="24">
        <v>3381.4</v>
      </c>
      <c r="D88" s="24">
        <v>3275.4</v>
      </c>
      <c r="E88" s="24">
        <v>3275.7</v>
      </c>
      <c r="F88" s="25">
        <v>1.8373E9</v>
      </c>
      <c r="G88" s="25">
        <v>1.02198E10</v>
      </c>
      <c r="H88" s="3">
        <f t="shared" si="1"/>
        <v>108344.9097</v>
      </c>
    </row>
    <row r="89" ht="15.75" customHeight="1">
      <c r="A89" s="23">
        <v>37141.0</v>
      </c>
      <c r="B89" s="24">
        <v>3275.6</v>
      </c>
      <c r="C89" s="24">
        <v>3295.1</v>
      </c>
      <c r="D89" s="24">
        <v>3219.9</v>
      </c>
      <c r="E89" s="24">
        <v>3234.5</v>
      </c>
      <c r="F89" s="25">
        <v>1.7518E9</v>
      </c>
      <c r="G89" s="25">
        <v>1.04434E10</v>
      </c>
      <c r="H89" s="3">
        <f t="shared" si="1"/>
        <v>106982.2055</v>
      </c>
    </row>
    <row r="90" ht="15.75" customHeight="1">
      <c r="A90" s="23">
        <v>37148.0</v>
      </c>
      <c r="B90" s="24">
        <v>3234.3</v>
      </c>
      <c r="C90" s="24">
        <v>3256.6</v>
      </c>
      <c r="D90" s="24">
        <v>3073.6</v>
      </c>
      <c r="E90" s="24">
        <v>3101.0</v>
      </c>
      <c r="F90" s="25">
        <v>1.6639E9</v>
      </c>
      <c r="G90" s="25">
        <v>8.2707E9</v>
      </c>
      <c r="H90" s="3">
        <f t="shared" si="1"/>
        <v>102566.6468</v>
      </c>
    </row>
    <row r="91" ht="15.75" customHeight="1">
      <c r="A91" s="23">
        <v>37155.0</v>
      </c>
      <c r="B91" s="24">
        <v>3100.8</v>
      </c>
      <c r="C91" s="24">
        <v>3100.8</v>
      </c>
      <c r="D91" s="24">
        <v>2896.8</v>
      </c>
      <c r="E91" s="24">
        <v>2942.1</v>
      </c>
      <c r="F91" s="25">
        <v>2.1778E9</v>
      </c>
      <c r="G91" s="25">
        <v>1.21132E10</v>
      </c>
      <c r="H91" s="3">
        <f t="shared" si="1"/>
        <v>97310.9744</v>
      </c>
    </row>
    <row r="92" ht="15.75" customHeight="1">
      <c r="A92" s="23">
        <v>37162.0</v>
      </c>
      <c r="B92" s="24">
        <v>2941.9</v>
      </c>
      <c r="C92" s="24">
        <v>3062.9</v>
      </c>
      <c r="D92" s="24">
        <v>2882.6</v>
      </c>
      <c r="E92" s="24">
        <v>3049.4</v>
      </c>
      <c r="F92" s="25">
        <v>2.0236E9</v>
      </c>
      <c r="G92" s="25">
        <v>1.15881E10</v>
      </c>
      <c r="H92" s="3">
        <f t="shared" si="1"/>
        <v>100859.959</v>
      </c>
    </row>
    <row r="93" ht="15.75" customHeight="1">
      <c r="A93" s="23">
        <v>37169.0</v>
      </c>
      <c r="B93" s="24">
        <v>3049.5</v>
      </c>
      <c r="C93" s="24">
        <v>3179.9</v>
      </c>
      <c r="D93" s="24">
        <v>3049.5</v>
      </c>
      <c r="E93" s="24">
        <v>3179.4</v>
      </c>
      <c r="F93" s="25">
        <v>1.4258E9</v>
      </c>
      <c r="G93" s="25">
        <v>7.6972E9</v>
      </c>
      <c r="H93" s="3">
        <f t="shared" si="1"/>
        <v>105159.7539</v>
      </c>
    </row>
    <row r="94" ht="15.75" customHeight="1">
      <c r="A94" s="23">
        <v>37176.0</v>
      </c>
      <c r="B94" s="24">
        <v>3179.1</v>
      </c>
      <c r="C94" s="24">
        <v>3244.5</v>
      </c>
      <c r="D94" s="24">
        <v>3128.0</v>
      </c>
      <c r="E94" s="24">
        <v>3224.7</v>
      </c>
      <c r="F94" s="25">
        <v>1.5688E9</v>
      </c>
      <c r="G94" s="25">
        <v>8.6361E9</v>
      </c>
      <c r="H94" s="3">
        <f t="shared" si="1"/>
        <v>106658.0671</v>
      </c>
    </row>
    <row r="95" ht="15.75" customHeight="1">
      <c r="A95" s="23">
        <v>37183.0</v>
      </c>
      <c r="B95" s="24">
        <v>3225.1</v>
      </c>
      <c r="C95" s="24">
        <v>3238.1</v>
      </c>
      <c r="D95" s="24">
        <v>3172.1</v>
      </c>
      <c r="E95" s="24">
        <v>3175.7</v>
      </c>
      <c r="F95" s="25">
        <v>1.5139E9</v>
      </c>
      <c r="G95" s="25">
        <v>8.3445E9</v>
      </c>
      <c r="H95" s="3">
        <f t="shared" si="1"/>
        <v>105037.3751</v>
      </c>
    </row>
    <row r="96" ht="15.75" customHeight="1">
      <c r="A96" s="23">
        <v>37190.0</v>
      </c>
      <c r="B96" s="24">
        <v>3175.4</v>
      </c>
      <c r="C96" s="24">
        <v>3286.1</v>
      </c>
      <c r="D96" s="24">
        <v>3172.4</v>
      </c>
      <c r="E96" s="24">
        <v>3276.4</v>
      </c>
      <c r="F96" s="25">
        <v>1.6157E9</v>
      </c>
      <c r="G96" s="25">
        <v>9.646401E9</v>
      </c>
      <c r="H96" s="3">
        <f t="shared" si="1"/>
        <v>108368.0624</v>
      </c>
    </row>
    <row r="97" ht="15.75" customHeight="1">
      <c r="A97" s="23">
        <v>37197.0</v>
      </c>
      <c r="B97" s="24">
        <v>3276.2</v>
      </c>
      <c r="C97" s="24">
        <v>3284.2</v>
      </c>
      <c r="D97" s="24">
        <v>3228.8</v>
      </c>
      <c r="E97" s="24">
        <v>3239.9</v>
      </c>
      <c r="F97" s="25">
        <v>1.5509E9</v>
      </c>
      <c r="G97" s="25">
        <v>7.967001E9</v>
      </c>
      <c r="H97" s="3">
        <f t="shared" si="1"/>
        <v>107160.8123</v>
      </c>
    </row>
    <row r="98" ht="15.75" customHeight="1">
      <c r="A98" s="23">
        <v>37204.0</v>
      </c>
      <c r="B98" s="24">
        <v>3239.9</v>
      </c>
      <c r="C98" s="24">
        <v>3290.7</v>
      </c>
      <c r="D98" s="24">
        <v>3222.2</v>
      </c>
      <c r="E98" s="24">
        <v>3286.0</v>
      </c>
      <c r="F98" s="25">
        <v>1.3861E9</v>
      </c>
      <c r="G98" s="25">
        <v>7.994E9</v>
      </c>
      <c r="H98" s="3">
        <f t="shared" si="1"/>
        <v>108685.5858</v>
      </c>
    </row>
    <row r="99" ht="15.75" customHeight="1">
      <c r="A99" s="23">
        <v>37211.0</v>
      </c>
      <c r="B99" s="24">
        <v>3286.0</v>
      </c>
      <c r="C99" s="24">
        <v>3351.2</v>
      </c>
      <c r="D99" s="24">
        <v>3278.9</v>
      </c>
      <c r="E99" s="24">
        <v>3322.5</v>
      </c>
      <c r="F99" s="25">
        <v>1.7062E9</v>
      </c>
      <c r="G99" s="25">
        <v>1.01252E10</v>
      </c>
      <c r="H99" s="3">
        <f t="shared" si="1"/>
        <v>109892.8359</v>
      </c>
    </row>
    <row r="100" ht="15.75" customHeight="1">
      <c r="A100" s="23">
        <v>37218.0</v>
      </c>
      <c r="B100" s="24">
        <v>3322.5</v>
      </c>
      <c r="C100" s="24">
        <v>3361.7</v>
      </c>
      <c r="D100" s="24">
        <v>3310.2</v>
      </c>
      <c r="E100" s="24">
        <v>3332.9</v>
      </c>
      <c r="F100" s="25">
        <v>1.5165E9</v>
      </c>
      <c r="G100" s="25">
        <v>8.660601E9</v>
      </c>
      <c r="H100" s="3">
        <f t="shared" si="1"/>
        <v>110236.8195</v>
      </c>
    </row>
    <row r="101" ht="15.75" customHeight="1">
      <c r="A101" s="23">
        <v>37225.0</v>
      </c>
      <c r="B101" s="24">
        <v>3332.9</v>
      </c>
      <c r="C101" s="24">
        <v>3370.5</v>
      </c>
      <c r="D101" s="24">
        <v>3324.3</v>
      </c>
      <c r="E101" s="24">
        <v>3337.4</v>
      </c>
      <c r="F101" s="25">
        <v>1.9459E9</v>
      </c>
      <c r="G101" s="25">
        <v>1.09841E10</v>
      </c>
      <c r="H101" s="3">
        <f t="shared" si="1"/>
        <v>110385.6585</v>
      </c>
    </row>
    <row r="102" ht="15.75" customHeight="1">
      <c r="A102" s="23">
        <v>37232.0</v>
      </c>
      <c r="B102" s="24">
        <v>3337.5</v>
      </c>
      <c r="C102" s="24">
        <v>3381.1</v>
      </c>
      <c r="D102" s="24">
        <v>3321.8</v>
      </c>
      <c r="E102" s="24">
        <v>3371.8</v>
      </c>
      <c r="F102" s="25">
        <v>1.8273E9</v>
      </c>
      <c r="G102" s="25">
        <v>1.04848E10</v>
      </c>
      <c r="H102" s="3">
        <f t="shared" si="1"/>
        <v>111523.4504</v>
      </c>
    </row>
    <row r="103" ht="15.75" customHeight="1">
      <c r="A103" s="23">
        <v>37239.0</v>
      </c>
      <c r="B103" s="24">
        <v>3371.8</v>
      </c>
      <c r="C103" s="24">
        <v>3374.0</v>
      </c>
      <c r="D103" s="24">
        <v>3288.4</v>
      </c>
      <c r="E103" s="24">
        <v>3290.8</v>
      </c>
      <c r="F103" s="25">
        <v>1.6556E9</v>
      </c>
      <c r="G103" s="25">
        <v>9.116101E9</v>
      </c>
      <c r="H103" s="3">
        <f t="shared" si="1"/>
        <v>108844.3474</v>
      </c>
    </row>
    <row r="104" ht="15.75" customHeight="1">
      <c r="A104" s="23">
        <v>37246.0</v>
      </c>
      <c r="B104" s="24">
        <v>3290.8</v>
      </c>
      <c r="C104" s="24">
        <v>3379.3</v>
      </c>
      <c r="D104" s="24">
        <v>3289.6</v>
      </c>
      <c r="E104" s="24">
        <v>3374.5</v>
      </c>
      <c r="F104" s="25">
        <v>1.5707E9</v>
      </c>
      <c r="G104" s="25">
        <v>1.06003E10</v>
      </c>
      <c r="H104" s="3">
        <f t="shared" si="1"/>
        <v>111612.7539</v>
      </c>
    </row>
    <row r="105" ht="15.75" customHeight="1">
      <c r="A105" s="23">
        <v>37253.0</v>
      </c>
      <c r="B105" s="24">
        <v>3374.5</v>
      </c>
      <c r="C105" s="24">
        <v>3440.6</v>
      </c>
      <c r="D105" s="24">
        <v>3374.5</v>
      </c>
      <c r="E105" s="24">
        <v>3427.1</v>
      </c>
      <c r="F105" s="25">
        <v>3.417E8</v>
      </c>
      <c r="G105" s="25">
        <v>1.8876E9</v>
      </c>
      <c r="H105" s="3">
        <f t="shared" si="1"/>
        <v>113352.517</v>
      </c>
    </row>
    <row r="106" ht="15.75" customHeight="1">
      <c r="A106" s="23">
        <v>37260.0</v>
      </c>
      <c r="B106" s="24">
        <v>3427.1</v>
      </c>
      <c r="C106" s="24">
        <v>3445.7</v>
      </c>
      <c r="D106" s="24">
        <v>3409.0</v>
      </c>
      <c r="E106" s="24">
        <v>3435.7</v>
      </c>
      <c r="F106" s="25">
        <v>7.639E8</v>
      </c>
      <c r="G106" s="25">
        <v>4.0835E9</v>
      </c>
      <c r="H106" s="3">
        <f t="shared" si="1"/>
        <v>113636.965</v>
      </c>
    </row>
    <row r="107" ht="15.75" customHeight="1">
      <c r="A107" s="23">
        <v>37267.0</v>
      </c>
      <c r="B107" s="24">
        <v>3435.7</v>
      </c>
      <c r="C107" s="24">
        <v>3451.5</v>
      </c>
      <c r="D107" s="24">
        <v>3408.6</v>
      </c>
      <c r="E107" s="24">
        <v>3417.6</v>
      </c>
      <c r="F107" s="25">
        <v>1.6366E9</v>
      </c>
      <c r="G107" s="25">
        <v>8.8788E9</v>
      </c>
      <c r="H107" s="3">
        <f t="shared" si="1"/>
        <v>113038.3013</v>
      </c>
    </row>
    <row r="108" ht="15.75" customHeight="1">
      <c r="A108" s="23">
        <v>37274.0</v>
      </c>
      <c r="B108" s="24">
        <v>3417.6</v>
      </c>
      <c r="C108" s="24">
        <v>3425.8</v>
      </c>
      <c r="D108" s="24">
        <v>3377.3</v>
      </c>
      <c r="E108" s="24">
        <v>3387.0</v>
      </c>
      <c r="F108" s="25">
        <v>1.6216E9</v>
      </c>
      <c r="G108" s="25">
        <v>9.4099E9</v>
      </c>
      <c r="H108" s="3">
        <f t="shared" si="1"/>
        <v>112026.1957</v>
      </c>
    </row>
    <row r="109" ht="15.75" customHeight="1">
      <c r="A109" s="23">
        <v>37281.0</v>
      </c>
      <c r="B109" s="24">
        <v>3387.0</v>
      </c>
      <c r="C109" s="24">
        <v>3446.1</v>
      </c>
      <c r="D109" s="24">
        <v>3380.1</v>
      </c>
      <c r="E109" s="24">
        <v>3442.3</v>
      </c>
      <c r="F109" s="25">
        <v>1.915E9</v>
      </c>
      <c r="G109" s="25">
        <v>1.19732E10</v>
      </c>
      <c r="H109" s="3">
        <f t="shared" si="1"/>
        <v>113855.2623</v>
      </c>
    </row>
    <row r="110" ht="15.75" customHeight="1">
      <c r="A110" s="23">
        <v>37288.0</v>
      </c>
      <c r="B110" s="24">
        <v>3442.3</v>
      </c>
      <c r="C110" s="24">
        <v>3486.3</v>
      </c>
      <c r="D110" s="24">
        <v>3429.0</v>
      </c>
      <c r="E110" s="24">
        <v>3445.5</v>
      </c>
      <c r="F110" s="25">
        <v>1.4006E9</v>
      </c>
      <c r="G110" s="25">
        <v>8.2118E9</v>
      </c>
      <c r="H110" s="3">
        <f t="shared" si="1"/>
        <v>113961.1034</v>
      </c>
    </row>
    <row r="111" ht="15.75" customHeight="1">
      <c r="A111" s="23">
        <v>37295.0</v>
      </c>
      <c r="B111" s="24">
        <v>3445.5</v>
      </c>
      <c r="C111" s="24">
        <v>3472.9</v>
      </c>
      <c r="D111" s="24">
        <v>3406.6</v>
      </c>
      <c r="E111" s="24">
        <v>3450.4</v>
      </c>
      <c r="F111" s="25">
        <v>1.9717E9</v>
      </c>
      <c r="G111" s="25">
        <v>1.14034E10</v>
      </c>
      <c r="H111" s="3">
        <f t="shared" si="1"/>
        <v>114123.1726</v>
      </c>
    </row>
    <row r="112" ht="15.75" customHeight="1">
      <c r="A112" s="23">
        <v>37302.0</v>
      </c>
      <c r="B112" s="24">
        <v>3450.4</v>
      </c>
      <c r="C112" s="24">
        <v>3506.1</v>
      </c>
      <c r="D112" s="24">
        <v>3450.4</v>
      </c>
      <c r="E112" s="24">
        <v>3480.4</v>
      </c>
      <c r="F112" s="25">
        <v>1.7613E9</v>
      </c>
      <c r="G112" s="25">
        <v>1.03299E10</v>
      </c>
      <c r="H112" s="3">
        <f t="shared" si="1"/>
        <v>115115.433</v>
      </c>
    </row>
    <row r="113" ht="15.75" customHeight="1">
      <c r="A113" s="23">
        <v>37309.0</v>
      </c>
      <c r="B113" s="24">
        <v>3480.4</v>
      </c>
      <c r="C113" s="24">
        <v>3480.4</v>
      </c>
      <c r="D113" s="24">
        <v>3412.2</v>
      </c>
      <c r="E113" s="24">
        <v>3422.1</v>
      </c>
      <c r="F113" s="25">
        <v>2.195E9</v>
      </c>
      <c r="G113" s="25">
        <v>1.38946E10</v>
      </c>
      <c r="H113" s="3">
        <f t="shared" si="1"/>
        <v>113187.1403</v>
      </c>
    </row>
    <row r="114" ht="15.75" customHeight="1">
      <c r="A114" s="23">
        <v>37316.0</v>
      </c>
      <c r="B114" s="24">
        <v>3422.1</v>
      </c>
      <c r="C114" s="24">
        <v>3450.2</v>
      </c>
      <c r="D114" s="24">
        <v>3392.7</v>
      </c>
      <c r="E114" s="24">
        <v>3417.3</v>
      </c>
      <c r="F114" s="25">
        <v>1.8721E9</v>
      </c>
      <c r="G114" s="25">
        <v>1.07419E10</v>
      </c>
      <c r="H114" s="3">
        <f t="shared" si="1"/>
        <v>113028.3786</v>
      </c>
    </row>
    <row r="115" ht="15.75" customHeight="1">
      <c r="A115" s="23">
        <v>37323.0</v>
      </c>
      <c r="B115" s="24">
        <v>3417.3</v>
      </c>
      <c r="C115" s="24">
        <v>3499.9</v>
      </c>
      <c r="D115" s="24">
        <v>3415.7</v>
      </c>
      <c r="E115" s="24">
        <v>3485.3</v>
      </c>
      <c r="F115" s="25">
        <v>2.1527E9</v>
      </c>
      <c r="G115" s="25">
        <v>1.29942E10</v>
      </c>
      <c r="H115" s="3">
        <f t="shared" si="1"/>
        <v>115277.5021</v>
      </c>
    </row>
    <row r="116" ht="15.75" customHeight="1">
      <c r="A116" s="23">
        <v>37330.0</v>
      </c>
      <c r="B116" s="24">
        <v>3485.3</v>
      </c>
      <c r="C116" s="24">
        <v>3496.6</v>
      </c>
      <c r="D116" s="24">
        <v>3407.7</v>
      </c>
      <c r="E116" s="24">
        <v>3407.7</v>
      </c>
      <c r="F116" s="25">
        <v>1.6732E9</v>
      </c>
      <c r="G116" s="25">
        <v>9.2518E9</v>
      </c>
      <c r="H116" s="3">
        <f t="shared" si="1"/>
        <v>112710.8553</v>
      </c>
    </row>
    <row r="117" ht="15.75" customHeight="1">
      <c r="A117" s="23">
        <v>37337.0</v>
      </c>
      <c r="B117" s="24">
        <v>3407.7</v>
      </c>
      <c r="C117" s="24">
        <v>3474.6</v>
      </c>
      <c r="D117" s="24">
        <v>3407.7</v>
      </c>
      <c r="E117" s="24">
        <v>3433.8</v>
      </c>
      <c r="F117" s="25">
        <v>1.4809E9</v>
      </c>
      <c r="G117" s="25">
        <v>8.4898E9</v>
      </c>
      <c r="H117" s="3">
        <f t="shared" si="1"/>
        <v>113574.1218</v>
      </c>
    </row>
    <row r="118" ht="15.75" customHeight="1">
      <c r="A118" s="23">
        <v>37343.0</v>
      </c>
      <c r="B118" s="24">
        <v>3433.8</v>
      </c>
      <c r="C118" s="24">
        <v>3435.2</v>
      </c>
      <c r="D118" s="24">
        <v>3382.1</v>
      </c>
      <c r="E118" s="24">
        <v>3414.8</v>
      </c>
      <c r="F118" s="25">
        <v>1.5618E9</v>
      </c>
      <c r="G118" s="25">
        <v>1.00495E10</v>
      </c>
      <c r="H118" s="3">
        <f t="shared" si="1"/>
        <v>112945.6903</v>
      </c>
    </row>
    <row r="119" ht="15.75" customHeight="1">
      <c r="A119" s="23">
        <v>37351.0</v>
      </c>
      <c r="B119" s="24">
        <v>3414.8</v>
      </c>
      <c r="C119" s="24">
        <v>3418.0</v>
      </c>
      <c r="D119" s="24">
        <v>3365.7</v>
      </c>
      <c r="E119" s="24">
        <v>3390.0</v>
      </c>
      <c r="F119" s="25">
        <v>1.4678E9</v>
      </c>
      <c r="G119" s="25">
        <v>7.6309E9</v>
      </c>
      <c r="H119" s="3">
        <f t="shared" si="1"/>
        <v>112125.4217</v>
      </c>
    </row>
    <row r="120" ht="15.75" customHeight="1">
      <c r="A120" s="23">
        <v>37358.0</v>
      </c>
      <c r="B120" s="24">
        <v>3390.0</v>
      </c>
      <c r="C120" s="24">
        <v>3402.3</v>
      </c>
      <c r="D120" s="24">
        <v>3347.9</v>
      </c>
      <c r="E120" s="24">
        <v>3354.6</v>
      </c>
      <c r="F120" s="25">
        <v>1.5341E9</v>
      </c>
      <c r="G120" s="25">
        <v>8.7928E9</v>
      </c>
      <c r="H120" s="3">
        <f t="shared" si="1"/>
        <v>110954.5545</v>
      </c>
    </row>
    <row r="121" ht="15.75" customHeight="1">
      <c r="A121" s="23">
        <v>37365.0</v>
      </c>
      <c r="B121" s="24">
        <v>3354.5</v>
      </c>
      <c r="C121" s="24">
        <v>3412.3</v>
      </c>
      <c r="D121" s="24">
        <v>3352.9</v>
      </c>
      <c r="E121" s="24">
        <v>3407.9</v>
      </c>
      <c r="F121" s="25">
        <v>1.6191E9</v>
      </c>
      <c r="G121" s="25">
        <v>9.539E9</v>
      </c>
      <c r="H121" s="3">
        <f t="shared" si="1"/>
        <v>112717.4704</v>
      </c>
    </row>
    <row r="122" ht="15.75" customHeight="1">
      <c r="A122" s="23">
        <v>37372.0</v>
      </c>
      <c r="B122" s="24">
        <v>3407.3</v>
      </c>
      <c r="C122" s="24">
        <v>3424.6</v>
      </c>
      <c r="D122" s="24">
        <v>3370.3</v>
      </c>
      <c r="E122" s="24">
        <v>3379.1</v>
      </c>
      <c r="F122" s="25">
        <v>1.4402E9</v>
      </c>
      <c r="G122" s="25">
        <v>1.04247E10</v>
      </c>
      <c r="H122" s="3">
        <f t="shared" si="1"/>
        <v>111764.9004</v>
      </c>
    </row>
    <row r="123" ht="15.75" customHeight="1">
      <c r="A123" s="23">
        <v>37379.0</v>
      </c>
      <c r="B123" s="24">
        <v>3379.1</v>
      </c>
      <c r="C123" s="24">
        <v>3379.1</v>
      </c>
      <c r="D123" s="24">
        <v>3337.5</v>
      </c>
      <c r="E123" s="24">
        <v>3366.0</v>
      </c>
      <c r="F123" s="25">
        <v>1.8638E9</v>
      </c>
      <c r="G123" s="25">
        <v>1.0367E10</v>
      </c>
      <c r="H123" s="3">
        <f t="shared" si="1"/>
        <v>111331.6134</v>
      </c>
    </row>
    <row r="124" ht="15.75" customHeight="1">
      <c r="A124" s="23">
        <v>37386.0</v>
      </c>
      <c r="B124" s="24">
        <v>3366.0</v>
      </c>
      <c r="C124" s="24">
        <v>3366.9</v>
      </c>
      <c r="D124" s="24">
        <v>3320.5</v>
      </c>
      <c r="E124" s="24">
        <v>3330.9</v>
      </c>
      <c r="F124" s="25">
        <v>1.8234E9</v>
      </c>
      <c r="G124" s="25">
        <v>1.00443E10</v>
      </c>
      <c r="H124" s="3">
        <f t="shared" si="1"/>
        <v>110170.6688</v>
      </c>
    </row>
    <row r="125" ht="15.75" customHeight="1">
      <c r="A125" s="23">
        <v>37393.0</v>
      </c>
      <c r="B125" s="24">
        <v>3330.9</v>
      </c>
      <c r="C125" s="24">
        <v>3420.0</v>
      </c>
      <c r="D125" s="24">
        <v>3295.9</v>
      </c>
      <c r="E125" s="24">
        <v>3412.6</v>
      </c>
      <c r="F125" s="25">
        <v>1.7124E9</v>
      </c>
      <c r="G125" s="25">
        <v>1.05673E10</v>
      </c>
      <c r="H125" s="3">
        <f t="shared" si="1"/>
        <v>112872.9245</v>
      </c>
    </row>
    <row r="126" ht="15.75" customHeight="1">
      <c r="A126" s="23">
        <v>37400.0</v>
      </c>
      <c r="B126" s="24">
        <v>3412.6</v>
      </c>
      <c r="C126" s="24">
        <v>3412.6</v>
      </c>
      <c r="D126" s="24">
        <v>3368.5</v>
      </c>
      <c r="E126" s="24">
        <v>3387.1</v>
      </c>
      <c r="F126" s="25">
        <v>1.6247E9</v>
      </c>
      <c r="G126" s="25">
        <v>9.4784E9</v>
      </c>
      <c r="H126" s="3">
        <f t="shared" si="1"/>
        <v>112029.5032</v>
      </c>
    </row>
    <row r="127" ht="15.75" customHeight="1">
      <c r="A127" s="23">
        <v>37407.0</v>
      </c>
      <c r="B127" s="24">
        <v>3387.1</v>
      </c>
      <c r="C127" s="24">
        <v>3393.3</v>
      </c>
      <c r="D127" s="24">
        <v>3353.3</v>
      </c>
      <c r="E127" s="24">
        <v>3373.6</v>
      </c>
      <c r="F127" s="25">
        <v>2.1135E9</v>
      </c>
      <c r="G127" s="25">
        <v>1.21307E10</v>
      </c>
      <c r="H127" s="3">
        <f t="shared" si="1"/>
        <v>111582.986</v>
      </c>
    </row>
    <row r="128" ht="15.75" customHeight="1">
      <c r="A128" s="23">
        <v>37414.0</v>
      </c>
      <c r="B128" s="24">
        <v>3373.6</v>
      </c>
      <c r="C128" s="24">
        <v>3388.2</v>
      </c>
      <c r="D128" s="24">
        <v>3325.0</v>
      </c>
      <c r="E128" s="24">
        <v>3342.8</v>
      </c>
      <c r="F128" s="25">
        <v>1.8268E9</v>
      </c>
      <c r="G128" s="25">
        <v>1.03144E10</v>
      </c>
      <c r="H128" s="3">
        <f t="shared" si="1"/>
        <v>110564.2654</v>
      </c>
    </row>
    <row r="129" ht="15.75" customHeight="1">
      <c r="A129" s="23">
        <v>37421.0</v>
      </c>
      <c r="B129" s="24">
        <v>3342.8</v>
      </c>
      <c r="C129" s="24">
        <v>3349.0</v>
      </c>
      <c r="D129" s="24">
        <v>3294.1</v>
      </c>
      <c r="E129" s="24">
        <v>3294.1</v>
      </c>
      <c r="F129" s="25">
        <v>1.4762E9</v>
      </c>
      <c r="G129" s="25">
        <v>8.3765E9</v>
      </c>
      <c r="H129" s="3">
        <f t="shared" si="1"/>
        <v>108953.4961</v>
      </c>
    </row>
    <row r="130" ht="15.75" customHeight="1">
      <c r="A130" s="23">
        <v>37428.0</v>
      </c>
      <c r="B130" s="24">
        <v>3294.1</v>
      </c>
      <c r="C130" s="24">
        <v>3322.6</v>
      </c>
      <c r="D130" s="24">
        <v>3242.9</v>
      </c>
      <c r="E130" s="24">
        <v>3252.2</v>
      </c>
      <c r="F130" s="25">
        <v>1.7981E9</v>
      </c>
      <c r="G130" s="25">
        <v>9.6709E9</v>
      </c>
      <c r="H130" s="3">
        <f t="shared" si="1"/>
        <v>107567.6391</v>
      </c>
    </row>
    <row r="131" ht="15.75" customHeight="1">
      <c r="A131" s="23">
        <v>37435.0</v>
      </c>
      <c r="B131" s="24">
        <v>3252.2</v>
      </c>
      <c r="C131" s="24">
        <v>3252.2</v>
      </c>
      <c r="D131" s="24">
        <v>3174.0</v>
      </c>
      <c r="E131" s="24">
        <v>3216.0</v>
      </c>
      <c r="F131" s="25">
        <v>2.6266E9</v>
      </c>
      <c r="G131" s="25">
        <v>1.54701E10</v>
      </c>
      <c r="H131" s="3">
        <f t="shared" si="1"/>
        <v>106370.3116</v>
      </c>
    </row>
    <row r="132" ht="15.75" customHeight="1">
      <c r="A132" s="23">
        <v>37442.0</v>
      </c>
      <c r="B132" s="24">
        <v>3216.0</v>
      </c>
      <c r="C132" s="24">
        <v>3229.9</v>
      </c>
      <c r="D132" s="24">
        <v>3181.3</v>
      </c>
      <c r="E132" s="24">
        <v>3214.8</v>
      </c>
      <c r="F132" s="25">
        <v>1.6941E9</v>
      </c>
      <c r="G132" s="25">
        <v>9.9484E9</v>
      </c>
      <c r="H132" s="3">
        <f t="shared" si="1"/>
        <v>106330.6212</v>
      </c>
    </row>
    <row r="133" ht="15.75" customHeight="1">
      <c r="A133" s="23">
        <v>37449.0</v>
      </c>
      <c r="B133" s="24">
        <v>3214.8</v>
      </c>
      <c r="C133" s="24">
        <v>3259.0</v>
      </c>
      <c r="D133" s="24">
        <v>3183.0</v>
      </c>
      <c r="E133" s="24">
        <v>3196.9</v>
      </c>
      <c r="F133" s="25">
        <v>1.5475E9</v>
      </c>
      <c r="G133" s="25">
        <v>8.777201E9</v>
      </c>
      <c r="H133" s="3">
        <f t="shared" si="1"/>
        <v>105738.5725</v>
      </c>
    </row>
    <row r="134" ht="15.75" customHeight="1">
      <c r="A134" s="23">
        <v>37456.0</v>
      </c>
      <c r="B134" s="24">
        <v>3197.4</v>
      </c>
      <c r="C134" s="24">
        <v>3197.4</v>
      </c>
      <c r="D134" s="24">
        <v>3104.9</v>
      </c>
      <c r="E134" s="24">
        <v>3109.2</v>
      </c>
      <c r="F134" s="25">
        <v>1.8353E9</v>
      </c>
      <c r="G134" s="25">
        <v>1.0579E10</v>
      </c>
      <c r="H134" s="3">
        <f t="shared" si="1"/>
        <v>102837.8647</v>
      </c>
    </row>
    <row r="135" ht="15.75" customHeight="1">
      <c r="A135" s="23">
        <v>37463.0</v>
      </c>
      <c r="B135" s="24">
        <v>3109.2</v>
      </c>
      <c r="C135" s="24">
        <v>3109.2</v>
      </c>
      <c r="D135" s="24">
        <v>2982.1</v>
      </c>
      <c r="E135" s="24">
        <v>2989.5</v>
      </c>
      <c r="F135" s="25">
        <v>2.2616E9</v>
      </c>
      <c r="G135" s="25">
        <v>1.37789E10</v>
      </c>
      <c r="H135" s="3">
        <f t="shared" si="1"/>
        <v>98878.74578</v>
      </c>
    </row>
    <row r="136" ht="15.75" customHeight="1">
      <c r="A136" s="23">
        <v>37470.0</v>
      </c>
      <c r="B136" s="24">
        <v>2989.5</v>
      </c>
      <c r="C136" s="24">
        <v>3100.9</v>
      </c>
      <c r="D136" s="24">
        <v>2989.5</v>
      </c>
      <c r="E136" s="24">
        <v>3053.9</v>
      </c>
      <c r="F136" s="25">
        <v>1.8395E9</v>
      </c>
      <c r="G136" s="25">
        <v>1.04692E10</v>
      </c>
      <c r="H136" s="3">
        <f t="shared" si="1"/>
        <v>101008.798</v>
      </c>
    </row>
    <row r="137" ht="15.75" customHeight="1">
      <c r="A137" s="23">
        <v>37477.0</v>
      </c>
      <c r="B137" s="24">
        <v>3053.9</v>
      </c>
      <c r="C137" s="24">
        <v>3122.2</v>
      </c>
      <c r="D137" s="24">
        <v>2955.7</v>
      </c>
      <c r="E137" s="24">
        <v>3106.8</v>
      </c>
      <c r="F137" s="25">
        <v>1.5263E9</v>
      </c>
      <c r="G137" s="25">
        <v>8.189101E9</v>
      </c>
      <c r="H137" s="3">
        <f t="shared" si="1"/>
        <v>102758.4838</v>
      </c>
    </row>
    <row r="138" ht="15.75" customHeight="1">
      <c r="A138" s="23">
        <v>37484.0</v>
      </c>
      <c r="B138" s="24">
        <v>3106.8</v>
      </c>
      <c r="C138" s="24">
        <v>3147.9</v>
      </c>
      <c r="D138" s="24">
        <v>3086.1</v>
      </c>
      <c r="E138" s="24">
        <v>3133.3</v>
      </c>
      <c r="F138" s="25">
        <v>1.5929E9</v>
      </c>
      <c r="G138" s="25">
        <v>8.411501E9</v>
      </c>
      <c r="H138" s="3">
        <f t="shared" si="1"/>
        <v>103634.9805</v>
      </c>
    </row>
    <row r="139" ht="15.75" customHeight="1">
      <c r="A139" s="23">
        <v>37491.0</v>
      </c>
      <c r="B139" s="24">
        <v>3133.3</v>
      </c>
      <c r="C139" s="24">
        <v>3202.9</v>
      </c>
      <c r="D139" s="24">
        <v>3132.7</v>
      </c>
      <c r="E139" s="24">
        <v>3184.5</v>
      </c>
      <c r="F139" s="25">
        <v>1.6052E9</v>
      </c>
      <c r="G139" s="25">
        <v>8.3827E9</v>
      </c>
      <c r="H139" s="3">
        <f t="shared" si="1"/>
        <v>105328.4382</v>
      </c>
    </row>
    <row r="140" ht="15.75" customHeight="1">
      <c r="A140" s="23">
        <v>37498.0</v>
      </c>
      <c r="B140" s="24">
        <v>3184.5</v>
      </c>
      <c r="C140" s="24">
        <v>3191.0</v>
      </c>
      <c r="D140" s="24">
        <v>3115.5</v>
      </c>
      <c r="E140" s="24">
        <v>3120.1</v>
      </c>
      <c r="F140" s="25">
        <v>2.1511E9</v>
      </c>
      <c r="G140" s="25">
        <v>1.20522E10</v>
      </c>
      <c r="H140" s="3">
        <f t="shared" si="1"/>
        <v>103198.3859</v>
      </c>
    </row>
    <row r="141" ht="15.75" customHeight="1">
      <c r="A141" s="23">
        <v>37505.0</v>
      </c>
      <c r="B141" s="24">
        <v>3120.1</v>
      </c>
      <c r="C141" s="24">
        <v>3143.2</v>
      </c>
      <c r="D141" s="24">
        <v>3079.9</v>
      </c>
      <c r="E141" s="24">
        <v>3089.5</v>
      </c>
      <c r="F141" s="25">
        <v>1.754E9</v>
      </c>
      <c r="G141" s="25">
        <v>9.0456E9</v>
      </c>
      <c r="H141" s="3">
        <f t="shared" si="1"/>
        <v>102186.2803</v>
      </c>
    </row>
    <row r="142" ht="15.75" customHeight="1">
      <c r="A142" s="23">
        <v>37512.0</v>
      </c>
      <c r="B142" s="24">
        <v>3089.5</v>
      </c>
      <c r="C142" s="24">
        <v>3149.2</v>
      </c>
      <c r="D142" s="24">
        <v>3089.5</v>
      </c>
      <c r="E142" s="24">
        <v>3130.6</v>
      </c>
      <c r="F142" s="25">
        <v>1.7791E9</v>
      </c>
      <c r="G142" s="25">
        <v>8.598001E9</v>
      </c>
      <c r="H142" s="3">
        <f t="shared" si="1"/>
        <v>103545.6771</v>
      </c>
    </row>
    <row r="143" ht="15.75" customHeight="1">
      <c r="A143" s="23">
        <v>37519.0</v>
      </c>
      <c r="B143" s="24">
        <v>3130.6</v>
      </c>
      <c r="C143" s="24">
        <v>3156.7</v>
      </c>
      <c r="D143" s="24">
        <v>3062.3</v>
      </c>
      <c r="E143" s="24">
        <v>3073.6</v>
      </c>
      <c r="F143" s="25">
        <v>1.9394E9</v>
      </c>
      <c r="G143" s="25">
        <v>1.06895E10</v>
      </c>
      <c r="H143" s="3">
        <f t="shared" si="1"/>
        <v>101660.3824</v>
      </c>
    </row>
    <row r="144" ht="15.75" customHeight="1">
      <c r="A144" s="23">
        <v>37526.0</v>
      </c>
      <c r="B144" s="24">
        <v>3073.6</v>
      </c>
      <c r="C144" s="24">
        <v>3073.6</v>
      </c>
      <c r="D144" s="24">
        <v>2987.2</v>
      </c>
      <c r="E144" s="24">
        <v>3008.9</v>
      </c>
      <c r="F144" s="25">
        <v>1.9181E9</v>
      </c>
      <c r="G144" s="25">
        <v>1.15669E10</v>
      </c>
      <c r="H144" s="3">
        <f t="shared" si="1"/>
        <v>99520.40749</v>
      </c>
    </row>
    <row r="145" ht="15.75" customHeight="1">
      <c r="A145" s="23">
        <v>37533.0</v>
      </c>
      <c r="B145" s="24">
        <v>3008.9</v>
      </c>
      <c r="C145" s="24">
        <v>3018.0</v>
      </c>
      <c r="D145" s="24">
        <v>2953.2</v>
      </c>
      <c r="E145" s="24">
        <v>2991.6</v>
      </c>
      <c r="F145" s="25">
        <v>2.0721E9</v>
      </c>
      <c r="G145" s="25">
        <v>1.09822E10</v>
      </c>
      <c r="H145" s="3">
        <f t="shared" si="1"/>
        <v>98948.20401</v>
      </c>
    </row>
    <row r="146" ht="15.75" customHeight="1">
      <c r="A146" s="23">
        <v>37540.0</v>
      </c>
      <c r="B146" s="24">
        <v>2991.6</v>
      </c>
      <c r="C146" s="24">
        <v>2991.6</v>
      </c>
      <c r="D146" s="24">
        <v>2883.5</v>
      </c>
      <c r="E146" s="24">
        <v>2924.6</v>
      </c>
      <c r="F146" s="25">
        <v>1.5468E9</v>
      </c>
      <c r="G146" s="25">
        <v>8.502401E9</v>
      </c>
      <c r="H146" s="3">
        <f t="shared" si="1"/>
        <v>96732.15585</v>
      </c>
    </row>
    <row r="147" ht="15.75" customHeight="1">
      <c r="A147" s="23">
        <v>37547.0</v>
      </c>
      <c r="B147" s="24">
        <v>2924.6</v>
      </c>
      <c r="C147" s="24">
        <v>3028.4</v>
      </c>
      <c r="D147" s="24">
        <v>2924.6</v>
      </c>
      <c r="E147" s="24">
        <v>3010.6</v>
      </c>
      <c r="F147" s="25">
        <v>2.0835E9</v>
      </c>
      <c r="G147" s="25">
        <v>1.07246E10</v>
      </c>
      <c r="H147" s="3">
        <f t="shared" si="1"/>
        <v>99576.63558</v>
      </c>
    </row>
    <row r="148" ht="15.75" customHeight="1">
      <c r="A148" s="23">
        <v>37554.0</v>
      </c>
      <c r="B148" s="24">
        <v>3010.6</v>
      </c>
      <c r="C148" s="24">
        <v>3043.0</v>
      </c>
      <c r="D148" s="24">
        <v>2986.4</v>
      </c>
      <c r="E148" s="24">
        <v>3009.2</v>
      </c>
      <c r="F148" s="25">
        <v>1.7479E9</v>
      </c>
      <c r="G148" s="25">
        <v>1.03612E10</v>
      </c>
      <c r="H148" s="3">
        <f t="shared" si="1"/>
        <v>99530.33009</v>
      </c>
    </row>
    <row r="149" ht="15.75" customHeight="1">
      <c r="A149" s="23">
        <v>37561.0</v>
      </c>
      <c r="B149" s="24">
        <v>3009.2</v>
      </c>
      <c r="C149" s="24">
        <v>3042.9</v>
      </c>
      <c r="D149" s="24">
        <v>2994.0</v>
      </c>
      <c r="E149" s="24">
        <v>3010.3</v>
      </c>
      <c r="F149" s="25">
        <v>1.7327E9</v>
      </c>
      <c r="G149" s="25">
        <v>9.212701E9</v>
      </c>
      <c r="H149" s="3">
        <f t="shared" si="1"/>
        <v>99566.71297</v>
      </c>
    </row>
    <row r="150" ht="15.75" customHeight="1">
      <c r="A150" s="23">
        <v>37568.0</v>
      </c>
      <c r="B150" s="24">
        <v>3010.3</v>
      </c>
      <c r="C150" s="24">
        <v>3079.7</v>
      </c>
      <c r="D150" s="24">
        <v>3008.6</v>
      </c>
      <c r="E150" s="24">
        <v>3008.8</v>
      </c>
      <c r="F150" s="25">
        <v>1.6296E9</v>
      </c>
      <c r="G150" s="25">
        <v>1.01612E10</v>
      </c>
      <c r="H150" s="3">
        <f t="shared" si="1"/>
        <v>99517.09995</v>
      </c>
    </row>
    <row r="151" ht="15.75" customHeight="1">
      <c r="A151" s="23">
        <v>37575.0</v>
      </c>
      <c r="B151" s="24">
        <v>3008.8</v>
      </c>
      <c r="C151" s="24">
        <v>3008.8</v>
      </c>
      <c r="D151" s="24">
        <v>2950.7</v>
      </c>
      <c r="E151" s="24">
        <v>3004.9</v>
      </c>
      <c r="F151" s="25">
        <v>1.9441E9</v>
      </c>
      <c r="G151" s="25">
        <v>1.05546E10</v>
      </c>
      <c r="H151" s="3">
        <f t="shared" si="1"/>
        <v>99388.10611</v>
      </c>
    </row>
    <row r="152" ht="15.75" customHeight="1">
      <c r="A152" s="23">
        <v>37582.0</v>
      </c>
      <c r="B152" s="24">
        <v>3004.9</v>
      </c>
      <c r="C152" s="24">
        <v>3042.2</v>
      </c>
      <c r="D152" s="24">
        <v>2978.6</v>
      </c>
      <c r="E152" s="24">
        <v>3035.8</v>
      </c>
      <c r="F152" s="25">
        <v>2.0317E9</v>
      </c>
      <c r="G152" s="25">
        <v>1.03062E10</v>
      </c>
      <c r="H152" s="3">
        <f t="shared" si="1"/>
        <v>100410.1343</v>
      </c>
    </row>
    <row r="153" ht="15.75" customHeight="1">
      <c r="A153" s="23">
        <v>37589.0</v>
      </c>
      <c r="B153" s="24">
        <v>3035.8</v>
      </c>
      <c r="C153" s="24">
        <v>3061.4</v>
      </c>
      <c r="D153" s="24">
        <v>2997.4</v>
      </c>
      <c r="E153" s="24">
        <v>3061.4</v>
      </c>
      <c r="F153" s="25">
        <v>2.1505E9</v>
      </c>
      <c r="G153" s="25">
        <v>1.26311E10</v>
      </c>
      <c r="H153" s="3">
        <f t="shared" si="1"/>
        <v>101256.8631</v>
      </c>
    </row>
    <row r="154" ht="15.75" customHeight="1">
      <c r="A154" s="23">
        <v>37596.0</v>
      </c>
      <c r="B154" s="24">
        <v>3061.4</v>
      </c>
      <c r="C154" s="24">
        <v>3083.8</v>
      </c>
      <c r="D154" s="24">
        <v>3017.2</v>
      </c>
      <c r="E154" s="24">
        <v>3027.3</v>
      </c>
      <c r="F154" s="25">
        <v>1.6214E9</v>
      </c>
      <c r="G154" s="25">
        <v>8.9927E9</v>
      </c>
      <c r="H154" s="3">
        <f t="shared" si="1"/>
        <v>100128.9938</v>
      </c>
    </row>
    <row r="155" ht="15.75" customHeight="1">
      <c r="A155" s="23">
        <v>37603.0</v>
      </c>
      <c r="B155" s="24">
        <v>3027.3</v>
      </c>
      <c r="C155" s="24">
        <v>3054.4</v>
      </c>
      <c r="D155" s="24">
        <v>2957.9</v>
      </c>
      <c r="E155" s="24">
        <v>2971.3</v>
      </c>
      <c r="F155" s="25">
        <v>1.944E9</v>
      </c>
      <c r="G155" s="25">
        <v>9.0912E9</v>
      </c>
      <c r="H155" s="3">
        <f t="shared" si="1"/>
        <v>98276.77449</v>
      </c>
    </row>
    <row r="156" ht="15.75" customHeight="1">
      <c r="A156" s="23">
        <v>37610.0</v>
      </c>
      <c r="B156" s="24">
        <v>2971.3</v>
      </c>
      <c r="C156" s="24">
        <v>3019.6</v>
      </c>
      <c r="D156" s="24">
        <v>2945.9</v>
      </c>
      <c r="E156" s="24">
        <v>3011.4</v>
      </c>
      <c r="F156" s="25">
        <v>2.1277E9</v>
      </c>
      <c r="G156" s="25">
        <v>1.05759E10</v>
      </c>
      <c r="H156" s="3">
        <f t="shared" si="1"/>
        <v>99603.09585</v>
      </c>
    </row>
    <row r="157" ht="15.75" customHeight="1">
      <c r="A157" s="23">
        <v>37617.0</v>
      </c>
      <c r="B157" s="24">
        <v>3011.4</v>
      </c>
      <c r="C157" s="24">
        <v>3037.8</v>
      </c>
      <c r="D157" s="24">
        <v>3011.4</v>
      </c>
      <c r="E157" s="24">
        <v>3027.2</v>
      </c>
      <c r="F157" s="25">
        <v>3.496E8</v>
      </c>
      <c r="G157" s="25">
        <v>1.6374E9</v>
      </c>
      <c r="H157" s="3">
        <f t="shared" si="1"/>
        <v>100125.6863</v>
      </c>
    </row>
    <row r="158" ht="15.75" customHeight="1">
      <c r="A158" s="23">
        <v>37624.0</v>
      </c>
      <c r="B158" s="24">
        <v>3027.2</v>
      </c>
      <c r="C158" s="24">
        <v>3055.9</v>
      </c>
      <c r="D158" s="24">
        <v>2987.8</v>
      </c>
      <c r="E158" s="24">
        <v>3055.5</v>
      </c>
      <c r="F158" s="25">
        <v>5.124E8</v>
      </c>
      <c r="G158" s="25">
        <v>2.4689E9</v>
      </c>
      <c r="H158" s="3">
        <f t="shared" si="1"/>
        <v>101061.7186</v>
      </c>
    </row>
    <row r="159" ht="15.75" customHeight="1">
      <c r="A159" s="23">
        <v>37631.0</v>
      </c>
      <c r="B159" s="24">
        <v>3055.5</v>
      </c>
      <c r="C159" s="24">
        <v>3094.1</v>
      </c>
      <c r="D159" s="24">
        <v>3051.8</v>
      </c>
      <c r="E159" s="24">
        <v>3063.6</v>
      </c>
      <c r="F159" s="25">
        <v>1.6832E9</v>
      </c>
      <c r="G159" s="25">
        <v>9.0057E9</v>
      </c>
      <c r="H159" s="3">
        <f t="shared" si="1"/>
        <v>101329.6289</v>
      </c>
    </row>
    <row r="160" ht="15.75" customHeight="1">
      <c r="A160" s="23">
        <v>37638.0</v>
      </c>
      <c r="B160" s="24">
        <v>3063.5</v>
      </c>
      <c r="C160" s="24">
        <v>3084.8</v>
      </c>
      <c r="D160" s="24">
        <v>3051.3</v>
      </c>
      <c r="E160" s="24">
        <v>3051.7</v>
      </c>
      <c r="F160" s="25">
        <v>1.7366E9</v>
      </c>
      <c r="G160" s="25">
        <v>8.172799E9</v>
      </c>
      <c r="H160" s="3">
        <f t="shared" si="1"/>
        <v>100936.0323</v>
      </c>
    </row>
    <row r="161" ht="15.75" customHeight="1">
      <c r="A161" s="23">
        <v>37645.0</v>
      </c>
      <c r="B161" s="24">
        <v>3051.7</v>
      </c>
      <c r="C161" s="24">
        <v>3061.9</v>
      </c>
      <c r="D161" s="24">
        <v>3017.4</v>
      </c>
      <c r="E161" s="24">
        <v>3026.2</v>
      </c>
      <c r="F161" s="25">
        <v>1.9684E9</v>
      </c>
      <c r="G161" s="25">
        <v>9.4834E9</v>
      </c>
      <c r="H161" s="3">
        <f t="shared" si="1"/>
        <v>100092.611</v>
      </c>
    </row>
    <row r="162" ht="15.75" customHeight="1">
      <c r="A162" s="23">
        <v>37652.0</v>
      </c>
      <c r="B162" s="24">
        <v>3026.2</v>
      </c>
      <c r="C162" s="24">
        <v>3026.2</v>
      </c>
      <c r="D162" s="24">
        <v>2929.1</v>
      </c>
      <c r="E162" s="24">
        <v>2956.9</v>
      </c>
      <c r="F162" s="25">
        <v>1.4963E9</v>
      </c>
      <c r="G162" s="25">
        <v>8.7092E9</v>
      </c>
      <c r="H162" s="3">
        <f t="shared" si="1"/>
        <v>97800.48952</v>
      </c>
    </row>
    <row r="163" ht="15.75" customHeight="1">
      <c r="A163" s="23">
        <v>37659.0</v>
      </c>
      <c r="B163" s="24">
        <v>2956.9</v>
      </c>
      <c r="C163" s="24">
        <v>2969.2</v>
      </c>
      <c r="D163" s="24">
        <v>2882.6</v>
      </c>
      <c r="E163" s="24">
        <v>2906.0</v>
      </c>
      <c r="F163" s="25">
        <v>1.7922E9</v>
      </c>
      <c r="G163" s="25">
        <v>8.8838E9</v>
      </c>
      <c r="H163" s="3">
        <f t="shared" si="1"/>
        <v>96116.95442</v>
      </c>
    </row>
    <row r="164" ht="15.75" customHeight="1">
      <c r="A164" s="23">
        <v>37666.0</v>
      </c>
      <c r="B164" s="24">
        <v>2906.0</v>
      </c>
      <c r="C164" s="24">
        <v>2906.0</v>
      </c>
      <c r="D164" s="24">
        <v>2807.5</v>
      </c>
      <c r="E164" s="24">
        <v>2817.2</v>
      </c>
      <c r="F164" s="25">
        <v>1.9884E9</v>
      </c>
      <c r="G164" s="25">
        <v>1.00442E10</v>
      </c>
      <c r="H164" s="3">
        <f t="shared" si="1"/>
        <v>93179.86373</v>
      </c>
    </row>
    <row r="165" ht="15.75" customHeight="1">
      <c r="A165" s="23">
        <v>37673.0</v>
      </c>
      <c r="B165" s="24">
        <v>2817.2</v>
      </c>
      <c r="C165" s="24">
        <v>2873.5</v>
      </c>
      <c r="D165" s="24">
        <v>2796.3</v>
      </c>
      <c r="E165" s="24">
        <v>2820.2</v>
      </c>
      <c r="F165" s="25">
        <v>1.9515E9</v>
      </c>
      <c r="G165" s="25">
        <v>9.4142E9</v>
      </c>
      <c r="H165" s="3">
        <f t="shared" si="1"/>
        <v>93279.08977</v>
      </c>
    </row>
    <row r="166" ht="15.75" customHeight="1">
      <c r="A166" s="23">
        <v>37680.0</v>
      </c>
      <c r="B166" s="24">
        <v>2820.2</v>
      </c>
      <c r="C166" s="24">
        <v>2862.7</v>
      </c>
      <c r="D166" s="24">
        <v>2794.4</v>
      </c>
      <c r="E166" s="24">
        <v>2800.9</v>
      </c>
      <c r="F166" s="25">
        <v>2.1569E9</v>
      </c>
      <c r="G166" s="25">
        <v>1.05638E10</v>
      </c>
      <c r="H166" s="3">
        <f t="shared" si="1"/>
        <v>92640.7356</v>
      </c>
    </row>
    <row r="167" ht="15.75" customHeight="1">
      <c r="A167" s="23">
        <v>37687.0</v>
      </c>
      <c r="B167" s="24">
        <v>2800.9</v>
      </c>
      <c r="C167" s="24">
        <v>2820.0</v>
      </c>
      <c r="D167" s="24">
        <v>2740.7</v>
      </c>
      <c r="E167" s="24">
        <v>2744.0</v>
      </c>
      <c r="F167" s="25">
        <v>1.6366E9</v>
      </c>
      <c r="G167" s="25">
        <v>8.1022E9</v>
      </c>
      <c r="H167" s="3">
        <f t="shared" si="1"/>
        <v>90758.74843</v>
      </c>
    </row>
    <row r="168" ht="15.75" customHeight="1">
      <c r="A168" s="23">
        <v>37694.0</v>
      </c>
      <c r="B168" s="24">
        <v>2744.0</v>
      </c>
      <c r="C168" s="24">
        <v>2760.9</v>
      </c>
      <c r="D168" s="24">
        <v>2693.3</v>
      </c>
      <c r="E168" s="24">
        <v>2753.1</v>
      </c>
      <c r="F168" s="25">
        <v>1.9067E9</v>
      </c>
      <c r="G168" s="25">
        <v>9.102E9</v>
      </c>
      <c r="H168" s="3">
        <f t="shared" si="1"/>
        <v>91059.73407</v>
      </c>
    </row>
    <row r="169" ht="15.75" customHeight="1">
      <c r="A169" s="23">
        <v>37701.0</v>
      </c>
      <c r="B169" s="24">
        <v>2753.1</v>
      </c>
      <c r="C169" s="24">
        <v>2882.7</v>
      </c>
      <c r="D169" s="24">
        <v>2727.7</v>
      </c>
      <c r="E169" s="24">
        <v>2866.7</v>
      </c>
      <c r="F169" s="25">
        <v>2.3832E9</v>
      </c>
      <c r="G169" s="25">
        <v>1.06451E10</v>
      </c>
      <c r="H169" s="3">
        <f t="shared" si="1"/>
        <v>94817.09334</v>
      </c>
    </row>
    <row r="170" ht="15.75" customHeight="1">
      <c r="A170" s="23">
        <v>37708.0</v>
      </c>
      <c r="B170" s="24">
        <v>2866.7</v>
      </c>
      <c r="C170" s="24">
        <v>2911.9</v>
      </c>
      <c r="D170" s="24">
        <v>2829.0</v>
      </c>
      <c r="E170" s="24">
        <v>2897.7</v>
      </c>
      <c r="F170" s="25">
        <v>2.597E9</v>
      </c>
      <c r="G170" s="25">
        <v>1.30431E10</v>
      </c>
      <c r="H170" s="3">
        <f t="shared" si="1"/>
        <v>95842.42905</v>
      </c>
    </row>
    <row r="171" ht="15.75" customHeight="1">
      <c r="A171" s="23">
        <v>37715.0</v>
      </c>
      <c r="B171" s="24">
        <v>2897.7</v>
      </c>
      <c r="C171" s="24">
        <v>2933.5</v>
      </c>
      <c r="D171" s="24">
        <v>2865.9</v>
      </c>
      <c r="E171" s="24">
        <v>2933.5</v>
      </c>
      <c r="F171" s="25">
        <v>2.8184E9</v>
      </c>
      <c r="G171" s="25">
        <v>1.36538E10</v>
      </c>
      <c r="H171" s="3">
        <f t="shared" si="1"/>
        <v>97026.52643</v>
      </c>
    </row>
    <row r="172" ht="15.75" customHeight="1">
      <c r="A172" s="23">
        <v>37722.0</v>
      </c>
      <c r="B172" s="24">
        <v>2933.5</v>
      </c>
      <c r="C172" s="24">
        <v>2984.4</v>
      </c>
      <c r="D172" s="24">
        <v>2924.3</v>
      </c>
      <c r="E172" s="24">
        <v>2949.0</v>
      </c>
      <c r="F172" s="25">
        <v>2.323E9</v>
      </c>
      <c r="G172" s="25">
        <v>1.08726E10</v>
      </c>
      <c r="H172" s="3">
        <f t="shared" si="1"/>
        <v>97539.19428</v>
      </c>
    </row>
    <row r="173" ht="15.75" customHeight="1">
      <c r="A173" s="23">
        <v>37728.0</v>
      </c>
      <c r="B173" s="24">
        <v>2949.0</v>
      </c>
      <c r="C173" s="24">
        <v>2985.1</v>
      </c>
      <c r="D173" s="24">
        <v>2932.5</v>
      </c>
      <c r="E173" s="24">
        <v>2953.2</v>
      </c>
      <c r="F173" s="25">
        <v>1.4822E9</v>
      </c>
      <c r="G173" s="25">
        <v>6.742E9</v>
      </c>
      <c r="H173" s="3">
        <f t="shared" si="1"/>
        <v>97678.11074</v>
      </c>
    </row>
    <row r="174" ht="15.75" customHeight="1">
      <c r="A174" s="23">
        <v>37735.0</v>
      </c>
      <c r="B174" s="24">
        <v>2953.2</v>
      </c>
      <c r="C174" s="24">
        <v>3011.9</v>
      </c>
      <c r="D174" s="24">
        <v>2953.2</v>
      </c>
      <c r="E174" s="24">
        <v>3001.9</v>
      </c>
      <c r="F174" s="25">
        <v>1.1037E9</v>
      </c>
      <c r="G174" s="25">
        <v>6.0692E9</v>
      </c>
      <c r="H174" s="3">
        <f t="shared" si="1"/>
        <v>99288.88007</v>
      </c>
    </row>
    <row r="175" ht="15.75" customHeight="1">
      <c r="A175" s="23">
        <v>37743.0</v>
      </c>
      <c r="B175" s="24">
        <v>3001.9</v>
      </c>
      <c r="C175" s="24">
        <v>3023.7</v>
      </c>
      <c r="D175" s="24">
        <v>2969.6</v>
      </c>
      <c r="E175" s="24">
        <v>2975.4</v>
      </c>
      <c r="F175" s="25">
        <v>2.043E9</v>
      </c>
      <c r="G175" s="25">
        <v>9.8487E9</v>
      </c>
      <c r="H175" s="3">
        <f t="shared" si="1"/>
        <v>98412.38341</v>
      </c>
    </row>
    <row r="176" ht="15.75" customHeight="1">
      <c r="A176" s="23">
        <v>37750.0</v>
      </c>
      <c r="B176" s="24">
        <v>2975.4</v>
      </c>
      <c r="C176" s="24">
        <v>2990.1</v>
      </c>
      <c r="D176" s="24">
        <v>2936.3</v>
      </c>
      <c r="E176" s="24">
        <v>2956.0</v>
      </c>
      <c r="F176" s="25">
        <v>2.2012E9</v>
      </c>
      <c r="G176" s="25">
        <v>1.09719E10</v>
      </c>
      <c r="H176" s="3">
        <f t="shared" si="1"/>
        <v>97770.7217</v>
      </c>
    </row>
    <row r="177" ht="15.75" customHeight="1">
      <c r="A177" s="23">
        <v>37757.0</v>
      </c>
      <c r="B177" s="24">
        <v>2956.1</v>
      </c>
      <c r="C177" s="24">
        <v>2994.6</v>
      </c>
      <c r="D177" s="24">
        <v>2942.6</v>
      </c>
      <c r="E177" s="24">
        <v>2951.3</v>
      </c>
      <c r="F177" s="25">
        <v>2.2074E9</v>
      </c>
      <c r="G177" s="25">
        <v>9.7866E9</v>
      </c>
      <c r="H177" s="3">
        <f t="shared" si="1"/>
        <v>97615.26758</v>
      </c>
    </row>
    <row r="178" ht="15.75" customHeight="1">
      <c r="A178" s="23">
        <v>37764.0</v>
      </c>
      <c r="B178" s="24">
        <v>2951.3</v>
      </c>
      <c r="C178" s="24">
        <v>3004.3</v>
      </c>
      <c r="D178" s="24">
        <v>2917.9</v>
      </c>
      <c r="E178" s="24">
        <v>2997.3</v>
      </c>
      <c r="F178" s="25">
        <v>2.2981E9</v>
      </c>
      <c r="G178" s="25">
        <v>9.6163E9</v>
      </c>
      <c r="H178" s="3">
        <f t="shared" si="1"/>
        <v>99136.73348</v>
      </c>
    </row>
    <row r="179" ht="15.75" customHeight="1">
      <c r="A179" s="23">
        <v>37771.0</v>
      </c>
      <c r="B179" s="24">
        <v>2997.7</v>
      </c>
      <c r="C179" s="24">
        <v>3026.1</v>
      </c>
      <c r="D179" s="24">
        <v>2981.2</v>
      </c>
      <c r="E179" s="24">
        <v>3011.0</v>
      </c>
      <c r="F179" s="25">
        <v>2.7224E9</v>
      </c>
      <c r="G179" s="25">
        <v>1.17366E10</v>
      </c>
      <c r="H179" s="3">
        <f t="shared" si="1"/>
        <v>99589.86571</v>
      </c>
    </row>
    <row r="180" ht="15.75" customHeight="1">
      <c r="A180" s="23">
        <v>37778.0</v>
      </c>
      <c r="B180" s="24">
        <v>3011.0</v>
      </c>
      <c r="C180" s="24">
        <v>3056.6</v>
      </c>
      <c r="D180" s="24">
        <v>3011.0</v>
      </c>
      <c r="E180" s="24">
        <v>3048.9</v>
      </c>
      <c r="F180" s="25">
        <v>2.2265E9</v>
      </c>
      <c r="G180" s="25">
        <v>1.05433E10</v>
      </c>
      <c r="H180" s="3">
        <f t="shared" si="1"/>
        <v>100843.4213</v>
      </c>
    </row>
    <row r="181" ht="15.75" customHeight="1">
      <c r="A181" s="23">
        <v>37785.0</v>
      </c>
      <c r="B181" s="24">
        <v>3048.9</v>
      </c>
      <c r="C181" s="24">
        <v>3092.9</v>
      </c>
      <c r="D181" s="24">
        <v>3040.2</v>
      </c>
      <c r="E181" s="24">
        <v>3087.6</v>
      </c>
      <c r="F181" s="25">
        <v>2.5063E9</v>
      </c>
      <c r="G181" s="25">
        <v>1.00538E10</v>
      </c>
      <c r="H181" s="3">
        <f t="shared" si="1"/>
        <v>102123.4372</v>
      </c>
    </row>
    <row r="182" ht="15.75" customHeight="1">
      <c r="A182" s="23">
        <v>37792.0</v>
      </c>
      <c r="B182" s="24">
        <v>3087.6</v>
      </c>
      <c r="C182" s="24">
        <v>3124.6</v>
      </c>
      <c r="D182" s="24">
        <v>3070.8</v>
      </c>
      <c r="E182" s="24">
        <v>3089.5</v>
      </c>
      <c r="F182" s="25">
        <v>2.7854E9</v>
      </c>
      <c r="G182" s="25">
        <v>1.36732E10</v>
      </c>
      <c r="H182" s="3">
        <f t="shared" si="1"/>
        <v>102186.2803</v>
      </c>
    </row>
    <row r="183" ht="15.75" customHeight="1">
      <c r="A183" s="23">
        <v>37799.0</v>
      </c>
      <c r="B183" s="24">
        <v>3089.5</v>
      </c>
      <c r="C183" s="24">
        <v>3107.3</v>
      </c>
      <c r="D183" s="24">
        <v>3022.0</v>
      </c>
      <c r="E183" s="24">
        <v>3048.8</v>
      </c>
      <c r="F183" s="25">
        <v>2.2935E9</v>
      </c>
      <c r="G183" s="25">
        <v>1.16164E10</v>
      </c>
      <c r="H183" s="3">
        <f t="shared" si="1"/>
        <v>100840.1138</v>
      </c>
    </row>
    <row r="184" ht="15.75" customHeight="1">
      <c r="A184" s="23">
        <v>37806.0</v>
      </c>
      <c r="B184" s="24">
        <v>3048.8</v>
      </c>
      <c r="C184" s="24">
        <v>3052.1</v>
      </c>
      <c r="D184" s="24">
        <v>3003.8</v>
      </c>
      <c r="E184" s="24">
        <v>3028.4</v>
      </c>
      <c r="F184" s="25">
        <v>1.9918E9</v>
      </c>
      <c r="G184" s="25">
        <v>9.9916E9</v>
      </c>
      <c r="H184" s="3">
        <f t="shared" si="1"/>
        <v>100165.3767</v>
      </c>
    </row>
    <row r="185" ht="15.75" customHeight="1">
      <c r="A185" s="23">
        <v>37813.0</v>
      </c>
      <c r="B185" s="24">
        <v>3028.4</v>
      </c>
      <c r="C185" s="24">
        <v>3063.7</v>
      </c>
      <c r="D185" s="24">
        <v>3021.5</v>
      </c>
      <c r="E185" s="24">
        <v>3043.8</v>
      </c>
      <c r="F185" s="25">
        <v>2.2011E9</v>
      </c>
      <c r="G185" s="25">
        <v>1.05768E10</v>
      </c>
      <c r="H185" s="3">
        <f t="shared" si="1"/>
        <v>100674.7371</v>
      </c>
    </row>
    <row r="186" ht="15.75" customHeight="1">
      <c r="A186" s="23">
        <v>37820.0</v>
      </c>
      <c r="B186" s="24">
        <v>3043.8</v>
      </c>
      <c r="C186" s="24">
        <v>3095.3</v>
      </c>
      <c r="D186" s="24">
        <v>3043.7</v>
      </c>
      <c r="E186" s="24">
        <v>3083.6</v>
      </c>
      <c r="F186" s="25">
        <v>1.945E9</v>
      </c>
      <c r="G186" s="25">
        <v>9.4688E9</v>
      </c>
      <c r="H186" s="3">
        <f t="shared" si="1"/>
        <v>101991.1358</v>
      </c>
    </row>
    <row r="187" ht="15.75" customHeight="1">
      <c r="A187" s="23">
        <v>37827.0</v>
      </c>
      <c r="B187" s="24">
        <v>3083.6</v>
      </c>
      <c r="C187" s="24">
        <v>3102.6</v>
      </c>
      <c r="D187" s="24">
        <v>3058.9</v>
      </c>
      <c r="E187" s="24">
        <v>3098.6</v>
      </c>
      <c r="F187" s="25">
        <v>1.9001E9</v>
      </c>
      <c r="G187" s="25">
        <v>1.03196E10</v>
      </c>
      <c r="H187" s="3">
        <f t="shared" si="1"/>
        <v>102487.266</v>
      </c>
    </row>
    <row r="188" ht="15.75" customHeight="1">
      <c r="A188" s="23">
        <v>37834.0</v>
      </c>
      <c r="B188" s="24">
        <v>3098.6</v>
      </c>
      <c r="C188" s="24">
        <v>3141.6</v>
      </c>
      <c r="D188" s="24">
        <v>3083.5</v>
      </c>
      <c r="E188" s="24">
        <v>3140.3</v>
      </c>
      <c r="F188" s="25">
        <v>2.173E9</v>
      </c>
      <c r="G188" s="25">
        <v>1.05008E10</v>
      </c>
      <c r="H188" s="3">
        <f t="shared" si="1"/>
        <v>103866.5079</v>
      </c>
    </row>
    <row r="189" ht="15.75" customHeight="1">
      <c r="A189" s="23">
        <v>37841.0</v>
      </c>
      <c r="B189" s="24">
        <v>3140.3</v>
      </c>
      <c r="C189" s="24">
        <v>3157.7</v>
      </c>
      <c r="D189" s="24">
        <v>3120.1</v>
      </c>
      <c r="E189" s="24">
        <v>3149.4</v>
      </c>
      <c r="F189" s="25">
        <v>1.7246E9</v>
      </c>
      <c r="G189" s="25">
        <v>8.4007E9</v>
      </c>
      <c r="H189" s="3">
        <f t="shared" si="1"/>
        <v>104167.4936</v>
      </c>
    </row>
    <row r="190" ht="15.75" customHeight="1">
      <c r="A190" s="23">
        <v>37848.0</v>
      </c>
      <c r="B190" s="24">
        <v>3149.4</v>
      </c>
      <c r="C190" s="24">
        <v>3164.4</v>
      </c>
      <c r="D190" s="24">
        <v>3141.6</v>
      </c>
      <c r="E190" s="24">
        <v>3148.0</v>
      </c>
      <c r="F190" s="25">
        <v>2.0198E9</v>
      </c>
      <c r="G190" s="25">
        <v>9.8749E9</v>
      </c>
      <c r="H190" s="3">
        <f t="shared" si="1"/>
        <v>104121.1881</v>
      </c>
    </row>
    <row r="191" ht="15.75" customHeight="1">
      <c r="A191" s="23">
        <v>37855.0</v>
      </c>
      <c r="B191" s="24">
        <v>3148.0</v>
      </c>
      <c r="C191" s="24">
        <v>3185.8</v>
      </c>
      <c r="D191" s="24">
        <v>3148.0</v>
      </c>
      <c r="E191" s="24">
        <v>3184.4</v>
      </c>
      <c r="F191" s="25">
        <v>2.2109E9</v>
      </c>
      <c r="G191" s="25">
        <v>1.1385E10</v>
      </c>
      <c r="H191" s="3">
        <f t="shared" si="1"/>
        <v>105325.1306</v>
      </c>
    </row>
    <row r="192" ht="15.75" customHeight="1">
      <c r="A192" s="23">
        <v>37862.0</v>
      </c>
      <c r="B192" s="24">
        <v>3184.4</v>
      </c>
      <c r="C192" s="24">
        <v>3210.7</v>
      </c>
      <c r="D192" s="24">
        <v>3161.8</v>
      </c>
      <c r="E192" s="24">
        <v>3199.7</v>
      </c>
      <c r="F192" s="25">
        <v>2.8111E9</v>
      </c>
      <c r="G192" s="25">
        <v>1.58142E10</v>
      </c>
      <c r="H192" s="3">
        <f t="shared" si="1"/>
        <v>105831.1834</v>
      </c>
    </row>
    <row r="193" ht="15.75" customHeight="1">
      <c r="A193" s="23">
        <v>37869.0</v>
      </c>
      <c r="B193" s="24">
        <v>3199.7</v>
      </c>
      <c r="C193" s="24">
        <v>3237.4</v>
      </c>
      <c r="D193" s="24">
        <v>3199.7</v>
      </c>
      <c r="E193" s="24">
        <v>3213.8</v>
      </c>
      <c r="F193" s="25">
        <v>2.6647E9</v>
      </c>
      <c r="G193" s="25">
        <v>1.26872E10</v>
      </c>
      <c r="H193" s="3">
        <f t="shared" si="1"/>
        <v>106297.5458</v>
      </c>
    </row>
    <row r="194" ht="15.75" customHeight="1">
      <c r="A194" s="23">
        <v>37876.0</v>
      </c>
      <c r="B194" s="24">
        <v>3213.8</v>
      </c>
      <c r="C194" s="24">
        <v>3247.4</v>
      </c>
      <c r="D194" s="24">
        <v>3189.2</v>
      </c>
      <c r="E194" s="24">
        <v>3192.5</v>
      </c>
      <c r="F194" s="25">
        <v>2.0942E9</v>
      </c>
      <c r="G194" s="25">
        <v>9.9776E9</v>
      </c>
      <c r="H194" s="3">
        <f t="shared" si="1"/>
        <v>105593.0409</v>
      </c>
    </row>
    <row r="195" ht="15.75" customHeight="1">
      <c r="A195" s="23">
        <v>37883.0</v>
      </c>
      <c r="B195" s="24">
        <v>3192.5</v>
      </c>
      <c r="C195" s="24">
        <v>3247.1</v>
      </c>
      <c r="D195" s="24">
        <v>3183.2</v>
      </c>
      <c r="E195" s="24">
        <v>3218.1</v>
      </c>
      <c r="F195" s="25">
        <v>2.2128E9</v>
      </c>
      <c r="G195" s="25">
        <v>1.15738E10</v>
      </c>
      <c r="H195" s="3">
        <f t="shared" si="1"/>
        <v>106439.7698</v>
      </c>
    </row>
    <row r="196" ht="15.75" customHeight="1">
      <c r="A196" s="23">
        <v>37890.0</v>
      </c>
      <c r="B196" s="24">
        <v>3218.1</v>
      </c>
      <c r="C196" s="24">
        <v>3220.0</v>
      </c>
      <c r="D196" s="24">
        <v>3163.4</v>
      </c>
      <c r="E196" s="24">
        <v>3171.5</v>
      </c>
      <c r="F196" s="25">
        <v>2.3483E9</v>
      </c>
      <c r="G196" s="25">
        <v>1.32615E10</v>
      </c>
      <c r="H196" s="3">
        <f t="shared" si="1"/>
        <v>104898.4587</v>
      </c>
    </row>
    <row r="197" ht="15.75" customHeight="1">
      <c r="A197" s="23">
        <v>37897.0</v>
      </c>
      <c r="B197" s="24">
        <v>3171.5</v>
      </c>
      <c r="C197" s="24">
        <v>3206.8</v>
      </c>
      <c r="D197" s="24">
        <v>3153.0</v>
      </c>
      <c r="E197" s="24">
        <v>3203.3</v>
      </c>
      <c r="F197" s="25">
        <v>2.258E9</v>
      </c>
      <c r="G197" s="25">
        <v>1.12823E10</v>
      </c>
      <c r="H197" s="3">
        <f t="shared" si="1"/>
        <v>105950.2547</v>
      </c>
    </row>
    <row r="198" ht="15.75" customHeight="1">
      <c r="A198" s="23">
        <v>37904.0</v>
      </c>
      <c r="B198" s="24">
        <v>3203.3</v>
      </c>
      <c r="C198" s="24">
        <v>3267.8</v>
      </c>
      <c r="D198" s="24">
        <v>3203.3</v>
      </c>
      <c r="E198" s="24">
        <v>3260.2</v>
      </c>
      <c r="F198" s="25">
        <v>1.686E9</v>
      </c>
      <c r="G198" s="25">
        <v>9.3592E9</v>
      </c>
      <c r="H198" s="3">
        <f t="shared" si="1"/>
        <v>107832.2418</v>
      </c>
    </row>
    <row r="199" ht="15.75" customHeight="1">
      <c r="A199" s="23">
        <v>37911.0</v>
      </c>
      <c r="B199" s="24">
        <v>3260.2</v>
      </c>
      <c r="C199" s="24">
        <v>3299.7</v>
      </c>
      <c r="D199" s="24">
        <v>3260.2</v>
      </c>
      <c r="E199" s="24">
        <v>3294.3</v>
      </c>
      <c r="F199" s="25">
        <v>2.0034E9</v>
      </c>
      <c r="G199" s="25">
        <v>1.12115E10</v>
      </c>
      <c r="H199" s="3">
        <f t="shared" si="1"/>
        <v>108960.1111</v>
      </c>
    </row>
    <row r="200" ht="15.75" customHeight="1">
      <c r="A200" s="23">
        <v>37918.0</v>
      </c>
      <c r="B200" s="24">
        <v>3294.3</v>
      </c>
      <c r="C200" s="24">
        <v>3311.8</v>
      </c>
      <c r="D200" s="24">
        <v>3254.3</v>
      </c>
      <c r="E200" s="24">
        <v>3256.3</v>
      </c>
      <c r="F200" s="25">
        <v>1.8898E9</v>
      </c>
      <c r="G200" s="25">
        <v>1.00517E10</v>
      </c>
      <c r="H200" s="3">
        <f t="shared" si="1"/>
        <v>107703.248</v>
      </c>
    </row>
    <row r="201" ht="15.75" customHeight="1">
      <c r="A201" s="23">
        <v>37925.0</v>
      </c>
      <c r="B201" s="24">
        <v>3256.3</v>
      </c>
      <c r="C201" s="24">
        <v>3286.6</v>
      </c>
      <c r="D201" s="24">
        <v>3240.5</v>
      </c>
      <c r="E201" s="24">
        <v>3272.0</v>
      </c>
      <c r="F201" s="25">
        <v>1.9603E9</v>
      </c>
      <c r="G201" s="25">
        <v>1.21711E10</v>
      </c>
      <c r="H201" s="3">
        <f t="shared" si="1"/>
        <v>108222.5309</v>
      </c>
    </row>
    <row r="202" ht="15.75" customHeight="1">
      <c r="A202" s="23">
        <v>37932.0</v>
      </c>
      <c r="B202" s="24">
        <v>3272.0</v>
      </c>
      <c r="C202" s="24">
        <v>3276.3</v>
      </c>
      <c r="D202" s="24">
        <v>3226.4</v>
      </c>
      <c r="E202" s="24">
        <v>3248.5</v>
      </c>
      <c r="F202" s="25">
        <v>1.9184E9</v>
      </c>
      <c r="G202" s="25">
        <v>1.01343E10</v>
      </c>
      <c r="H202" s="3">
        <f t="shared" si="1"/>
        <v>107445.2603</v>
      </c>
    </row>
    <row r="203" ht="15.75" customHeight="1">
      <c r="A203" s="23">
        <v>37939.0</v>
      </c>
      <c r="B203" s="24">
        <v>3248.5</v>
      </c>
      <c r="C203" s="24">
        <v>3248.5</v>
      </c>
      <c r="D203" s="24">
        <v>3195.0</v>
      </c>
      <c r="E203" s="24">
        <v>3201.8</v>
      </c>
      <c r="F203" s="25">
        <v>2.2176E9</v>
      </c>
      <c r="G203" s="25">
        <v>1.17298E10</v>
      </c>
      <c r="H203" s="3">
        <f t="shared" si="1"/>
        <v>105900.6417</v>
      </c>
    </row>
    <row r="204" ht="15.75" customHeight="1">
      <c r="A204" s="23">
        <v>37946.0</v>
      </c>
      <c r="B204" s="24">
        <v>3201.8</v>
      </c>
      <c r="C204" s="24">
        <v>3201.8</v>
      </c>
      <c r="D204" s="24">
        <v>3158.8</v>
      </c>
      <c r="E204" s="24">
        <v>3169.1</v>
      </c>
      <c r="F204" s="25">
        <v>1.9646E9</v>
      </c>
      <c r="G204" s="25">
        <v>1.04097E10</v>
      </c>
      <c r="H204" s="3">
        <f t="shared" si="1"/>
        <v>104819.0779</v>
      </c>
    </row>
    <row r="205" ht="15.75" customHeight="1">
      <c r="A205" s="23">
        <v>37953.0</v>
      </c>
      <c r="B205" s="24">
        <v>3169.1</v>
      </c>
      <c r="C205" s="24">
        <v>3201.4</v>
      </c>
      <c r="D205" s="24">
        <v>3167.0</v>
      </c>
      <c r="E205" s="24">
        <v>3186.4</v>
      </c>
      <c r="F205" s="25">
        <v>1.6115E9</v>
      </c>
      <c r="G205" s="25">
        <v>9.350199E9</v>
      </c>
      <c r="H205" s="3">
        <f t="shared" si="1"/>
        <v>105391.2813</v>
      </c>
    </row>
    <row r="206" ht="15.75" customHeight="1">
      <c r="A206" s="23">
        <v>37960.0</v>
      </c>
      <c r="B206" s="24">
        <v>3186.4</v>
      </c>
      <c r="C206" s="24">
        <v>3234.7</v>
      </c>
      <c r="D206" s="24">
        <v>3162.5</v>
      </c>
      <c r="E206" s="24">
        <v>3229.8</v>
      </c>
      <c r="F206" s="25">
        <v>1.6761E9</v>
      </c>
      <c r="G206" s="25">
        <v>9.7827E9</v>
      </c>
      <c r="H206" s="3">
        <f t="shared" si="1"/>
        <v>106826.7513</v>
      </c>
    </row>
    <row r="207" ht="15.75" customHeight="1">
      <c r="A207" s="23">
        <v>37967.0</v>
      </c>
      <c r="B207" s="24">
        <v>3229.8</v>
      </c>
      <c r="C207" s="24">
        <v>3243.9</v>
      </c>
      <c r="D207" s="24">
        <v>3186.2</v>
      </c>
      <c r="E207" s="24">
        <v>3212.7</v>
      </c>
      <c r="F207" s="25">
        <v>1.8179E9</v>
      </c>
      <c r="G207" s="25">
        <v>9.4059E9</v>
      </c>
      <c r="H207" s="3">
        <f t="shared" si="1"/>
        <v>106261.1629</v>
      </c>
    </row>
    <row r="208" ht="15.75" customHeight="1">
      <c r="A208" s="23">
        <v>37974.0</v>
      </c>
      <c r="B208" s="24">
        <v>3212.7</v>
      </c>
      <c r="C208" s="24">
        <v>3249.7</v>
      </c>
      <c r="D208" s="24">
        <v>3212.7</v>
      </c>
      <c r="E208" s="24">
        <v>3232.8</v>
      </c>
      <c r="F208" s="25">
        <v>2.4789E9</v>
      </c>
      <c r="G208" s="25">
        <v>1.41613E10</v>
      </c>
      <c r="H208" s="3">
        <f t="shared" si="1"/>
        <v>106925.9774</v>
      </c>
    </row>
    <row r="209" ht="15.75" customHeight="1">
      <c r="A209" s="23">
        <v>37979.0</v>
      </c>
      <c r="B209" s="24">
        <v>3232.8</v>
      </c>
      <c r="C209" s="24">
        <v>3267.0</v>
      </c>
      <c r="D209" s="24">
        <v>3232.8</v>
      </c>
      <c r="E209" s="24">
        <v>3265.6</v>
      </c>
      <c r="F209" s="25">
        <v>1.055E9</v>
      </c>
      <c r="G209" s="25">
        <v>3.5058E9</v>
      </c>
      <c r="H209" s="3">
        <f t="shared" si="1"/>
        <v>108010.8487</v>
      </c>
    </row>
    <row r="210" ht="15.75" customHeight="1">
      <c r="A210" s="23">
        <v>37988.0</v>
      </c>
      <c r="B210" s="24">
        <v>3265.6</v>
      </c>
      <c r="C210" s="24">
        <v>3302.7</v>
      </c>
      <c r="D210" s="24">
        <v>3265.6</v>
      </c>
      <c r="E210" s="24">
        <v>3300.7</v>
      </c>
      <c r="F210" s="25">
        <v>6.014E8</v>
      </c>
      <c r="G210" s="25">
        <v>2.8383E9</v>
      </c>
      <c r="H210" s="3">
        <f t="shared" si="1"/>
        <v>109171.7933</v>
      </c>
    </row>
    <row r="211" ht="15.75" customHeight="1">
      <c r="A211" s="23">
        <v>37995.0</v>
      </c>
      <c r="B211" s="24">
        <v>3300.7</v>
      </c>
      <c r="C211" s="24">
        <v>3323.2</v>
      </c>
      <c r="D211" s="24">
        <v>3283.2</v>
      </c>
      <c r="E211" s="24">
        <v>3301.6</v>
      </c>
      <c r="F211" s="25">
        <v>1.7134E9</v>
      </c>
      <c r="G211" s="25">
        <v>9.396799E9</v>
      </c>
      <c r="H211" s="3">
        <f t="shared" si="1"/>
        <v>109201.5612</v>
      </c>
    </row>
    <row r="212" ht="15.75" customHeight="1">
      <c r="A212" s="23">
        <v>38002.0</v>
      </c>
      <c r="B212" s="24">
        <v>3301.6</v>
      </c>
      <c r="C212" s="24">
        <v>3316.9</v>
      </c>
      <c r="D212" s="24">
        <v>3285.5</v>
      </c>
      <c r="E212" s="24">
        <v>3288.8</v>
      </c>
      <c r="F212" s="25">
        <v>2.1506E9</v>
      </c>
      <c r="G212" s="25">
        <v>1.21506E10</v>
      </c>
      <c r="H212" s="3">
        <f t="shared" si="1"/>
        <v>108778.1967</v>
      </c>
    </row>
    <row r="213" ht="15.75" customHeight="1">
      <c r="A213" s="23">
        <v>38009.0</v>
      </c>
      <c r="B213" s="24">
        <v>3288.8</v>
      </c>
      <c r="C213" s="24">
        <v>3336.6</v>
      </c>
      <c r="D213" s="24">
        <v>3288.8</v>
      </c>
      <c r="E213" s="24">
        <v>3334.7</v>
      </c>
      <c r="F213" s="25">
        <v>1.9831E9</v>
      </c>
      <c r="G213" s="25">
        <v>1.09489E10</v>
      </c>
      <c r="H213" s="3">
        <f t="shared" si="1"/>
        <v>110296.3551</v>
      </c>
    </row>
    <row r="214" ht="15.75" customHeight="1">
      <c r="A214" s="23">
        <v>38016.0</v>
      </c>
      <c r="B214" s="24">
        <v>3334.7</v>
      </c>
      <c r="C214" s="24">
        <v>3346.2</v>
      </c>
      <c r="D214" s="24">
        <v>3258.3</v>
      </c>
      <c r="E214" s="24">
        <v>3272.0</v>
      </c>
      <c r="F214" s="25">
        <v>2.1658E9</v>
      </c>
      <c r="G214" s="25">
        <v>1.32743E10</v>
      </c>
      <c r="H214" s="3">
        <f t="shared" si="1"/>
        <v>108222.5309</v>
      </c>
    </row>
    <row r="215" ht="15.75" customHeight="1">
      <c r="A215" s="23">
        <v>38023.0</v>
      </c>
      <c r="B215" s="24">
        <v>3272.0</v>
      </c>
      <c r="C215" s="24">
        <v>3285.8</v>
      </c>
      <c r="D215" s="24">
        <v>3252.9</v>
      </c>
      <c r="E215" s="24">
        <v>3272.2</v>
      </c>
      <c r="F215" s="25">
        <v>1.9226E9</v>
      </c>
      <c r="G215" s="25">
        <v>1.03291E10</v>
      </c>
      <c r="H215" s="3">
        <f t="shared" si="1"/>
        <v>108229.146</v>
      </c>
    </row>
    <row r="216" ht="15.75" customHeight="1">
      <c r="A216" s="23">
        <v>38030.0</v>
      </c>
      <c r="B216" s="24">
        <v>3272.2</v>
      </c>
      <c r="C216" s="24">
        <v>3337.5</v>
      </c>
      <c r="D216" s="24">
        <v>3272.2</v>
      </c>
      <c r="E216" s="24">
        <v>3333.7</v>
      </c>
      <c r="F216" s="25">
        <v>2.1415E9</v>
      </c>
      <c r="G216" s="25">
        <v>1.15954E10</v>
      </c>
      <c r="H216" s="3">
        <f t="shared" si="1"/>
        <v>110263.2798</v>
      </c>
    </row>
    <row r="217" ht="15.75" customHeight="1">
      <c r="A217" s="23">
        <v>38037.0</v>
      </c>
      <c r="B217" s="24">
        <v>3333.7</v>
      </c>
      <c r="C217" s="24">
        <v>3357.3</v>
      </c>
      <c r="D217" s="24">
        <v>3316.9</v>
      </c>
      <c r="E217" s="24">
        <v>3344.1</v>
      </c>
      <c r="F217" s="25">
        <v>1.8769E9</v>
      </c>
      <c r="G217" s="25">
        <v>1.02524E10</v>
      </c>
      <c r="H217" s="3">
        <f t="shared" si="1"/>
        <v>110607.2633</v>
      </c>
    </row>
    <row r="218" ht="15.75" customHeight="1">
      <c r="A218" s="23">
        <v>38044.0</v>
      </c>
      <c r="B218" s="24">
        <v>3344.1</v>
      </c>
      <c r="C218" s="24">
        <v>3360.9</v>
      </c>
      <c r="D218" s="24">
        <v>3320.9</v>
      </c>
      <c r="E218" s="24">
        <v>3360.6</v>
      </c>
      <c r="F218" s="25">
        <v>2.3292E9</v>
      </c>
      <c r="G218" s="25">
        <v>1.22932E10</v>
      </c>
      <c r="H218" s="3">
        <f t="shared" si="1"/>
        <v>111153.0065</v>
      </c>
    </row>
    <row r="219" ht="15.75" customHeight="1">
      <c r="A219" s="23">
        <v>38051.0</v>
      </c>
      <c r="B219" s="24">
        <v>3360.6</v>
      </c>
      <c r="C219" s="24">
        <v>3407.5</v>
      </c>
      <c r="D219" s="24">
        <v>3360.6</v>
      </c>
      <c r="E219" s="24">
        <v>3407.5</v>
      </c>
      <c r="F219" s="25">
        <v>2.3252E9</v>
      </c>
      <c r="G219" s="25">
        <v>1.17267E10</v>
      </c>
      <c r="H219" s="3">
        <f t="shared" si="1"/>
        <v>112704.2403</v>
      </c>
    </row>
    <row r="220" ht="15.75" customHeight="1">
      <c r="A220" s="23">
        <v>38058.0</v>
      </c>
      <c r="B220" s="24">
        <v>3407.5</v>
      </c>
      <c r="C220" s="24">
        <v>3429.3</v>
      </c>
      <c r="D220" s="24">
        <v>3391.1</v>
      </c>
      <c r="E220" s="24">
        <v>3402.3</v>
      </c>
      <c r="F220" s="25">
        <v>2.3816E9</v>
      </c>
      <c r="G220" s="25">
        <v>1.28693E10</v>
      </c>
      <c r="H220" s="3">
        <f t="shared" si="1"/>
        <v>112532.2485</v>
      </c>
    </row>
    <row r="221" ht="15.75" customHeight="1">
      <c r="A221" s="23">
        <v>38065.0</v>
      </c>
      <c r="B221" s="24">
        <v>3402.3</v>
      </c>
      <c r="C221" s="24">
        <v>3456.1</v>
      </c>
      <c r="D221" s="24">
        <v>3395.0</v>
      </c>
      <c r="E221" s="24">
        <v>3435.3</v>
      </c>
      <c r="F221" s="25">
        <v>2.3812E9</v>
      </c>
      <c r="G221" s="25">
        <v>1.21369E10</v>
      </c>
      <c r="H221" s="3">
        <f t="shared" si="1"/>
        <v>113623.7349</v>
      </c>
    </row>
    <row r="222" ht="15.75" customHeight="1">
      <c r="A222" s="23">
        <v>38072.0</v>
      </c>
      <c r="B222" s="24">
        <v>3435.3</v>
      </c>
      <c r="C222" s="24">
        <v>3435.7</v>
      </c>
      <c r="D222" s="24">
        <v>3376.3</v>
      </c>
      <c r="E222" s="24">
        <v>3428.5</v>
      </c>
      <c r="F222" s="25">
        <v>2.4641E9</v>
      </c>
      <c r="G222" s="25">
        <v>1.37944E10</v>
      </c>
      <c r="H222" s="3">
        <f t="shared" si="1"/>
        <v>113398.8225</v>
      </c>
    </row>
    <row r="223" ht="15.75" customHeight="1">
      <c r="A223" s="23">
        <v>38079.0</v>
      </c>
      <c r="B223" s="24">
        <v>3428.5</v>
      </c>
      <c r="C223" s="24">
        <v>3447.6</v>
      </c>
      <c r="D223" s="24">
        <v>3409.5</v>
      </c>
      <c r="E223" s="24">
        <v>3438.6</v>
      </c>
      <c r="F223" s="25">
        <v>2.2787E9</v>
      </c>
      <c r="G223" s="25">
        <v>1.14477E10</v>
      </c>
      <c r="H223" s="3">
        <f t="shared" si="1"/>
        <v>113732.8835</v>
      </c>
    </row>
    <row r="224" ht="15.75" customHeight="1">
      <c r="A224" s="23">
        <v>38085.0</v>
      </c>
      <c r="B224" s="24">
        <v>3438.6</v>
      </c>
      <c r="C224" s="24">
        <v>3469.2</v>
      </c>
      <c r="D224" s="24">
        <v>3438.6</v>
      </c>
      <c r="E224" s="24">
        <v>3450.6</v>
      </c>
      <c r="F224" s="25">
        <v>1.6011E9</v>
      </c>
      <c r="G224" s="25">
        <v>9.4566E9</v>
      </c>
      <c r="H224" s="3">
        <f t="shared" si="1"/>
        <v>114129.7877</v>
      </c>
    </row>
    <row r="225" ht="15.75" customHeight="1">
      <c r="A225" s="23">
        <v>38093.0</v>
      </c>
      <c r="B225" s="24">
        <v>3450.6</v>
      </c>
      <c r="C225" s="24">
        <v>3456.4</v>
      </c>
      <c r="D225" s="24">
        <v>3408.5</v>
      </c>
      <c r="E225" s="24">
        <v>3417.3</v>
      </c>
      <c r="F225" s="25">
        <v>1.6345E9</v>
      </c>
      <c r="G225" s="25">
        <v>8.9066E9</v>
      </c>
      <c r="H225" s="3">
        <f t="shared" si="1"/>
        <v>113028.3786</v>
      </c>
    </row>
    <row r="226" ht="15.75" customHeight="1">
      <c r="A226" s="23">
        <v>38100.0</v>
      </c>
      <c r="B226" s="24">
        <v>3417.3</v>
      </c>
      <c r="C226" s="24">
        <v>3468.0</v>
      </c>
      <c r="D226" s="24">
        <v>3417.3</v>
      </c>
      <c r="E226" s="24">
        <v>3457.0</v>
      </c>
      <c r="F226" s="25">
        <v>2.2419E9</v>
      </c>
      <c r="G226" s="25">
        <v>1.2512E10</v>
      </c>
      <c r="H226" s="3">
        <f t="shared" si="1"/>
        <v>114341.4699</v>
      </c>
    </row>
    <row r="227" ht="15.75" customHeight="1">
      <c r="A227" s="23">
        <v>38107.0</v>
      </c>
      <c r="B227" s="24">
        <v>3457.4</v>
      </c>
      <c r="C227" s="24">
        <v>3460.4</v>
      </c>
      <c r="D227" s="24">
        <v>3378.6</v>
      </c>
      <c r="E227" s="24">
        <v>3400.8</v>
      </c>
      <c r="F227" s="25">
        <v>2.2939E9</v>
      </c>
      <c r="G227" s="25">
        <v>1.28733E10</v>
      </c>
      <c r="H227" s="3">
        <f t="shared" si="1"/>
        <v>112482.6354</v>
      </c>
    </row>
    <row r="228" ht="15.75" customHeight="1">
      <c r="A228" s="23">
        <v>38114.0</v>
      </c>
      <c r="B228" s="24">
        <v>3400.8</v>
      </c>
      <c r="C228" s="24">
        <v>3412.6</v>
      </c>
      <c r="D228" s="24">
        <v>3376.7</v>
      </c>
      <c r="E228" s="24">
        <v>3393.2</v>
      </c>
      <c r="F228" s="25">
        <v>2.3659E9</v>
      </c>
      <c r="G228" s="25">
        <v>1.17922E10</v>
      </c>
      <c r="H228" s="3">
        <f t="shared" si="1"/>
        <v>112231.2628</v>
      </c>
    </row>
    <row r="229" ht="15.75" customHeight="1">
      <c r="A229" s="23">
        <v>38121.0</v>
      </c>
      <c r="B229" s="24">
        <v>3393.2</v>
      </c>
      <c r="C229" s="24">
        <v>3393.2</v>
      </c>
      <c r="D229" s="24">
        <v>3341.0</v>
      </c>
      <c r="E229" s="24">
        <v>3359.5</v>
      </c>
      <c r="F229" s="25">
        <v>2.2168E9</v>
      </c>
      <c r="G229" s="25">
        <v>1.21228E10</v>
      </c>
      <c r="H229" s="3">
        <f t="shared" si="1"/>
        <v>111116.6237</v>
      </c>
    </row>
    <row r="230" ht="15.75" customHeight="1">
      <c r="A230" s="23">
        <v>38128.0</v>
      </c>
      <c r="B230" s="24">
        <v>3359.5</v>
      </c>
      <c r="C230" s="24">
        <v>3397.9</v>
      </c>
      <c r="D230" s="24">
        <v>3343.4</v>
      </c>
      <c r="E230" s="24">
        <v>3395.4</v>
      </c>
      <c r="F230" s="25">
        <v>2.0075E9</v>
      </c>
      <c r="G230" s="25">
        <v>1.08215E10</v>
      </c>
      <c r="H230" s="3">
        <f t="shared" si="1"/>
        <v>112304.0286</v>
      </c>
    </row>
    <row r="231" ht="15.75" customHeight="1">
      <c r="A231" s="23">
        <v>38135.0</v>
      </c>
      <c r="B231" s="24">
        <v>3395.4</v>
      </c>
      <c r="C231" s="24">
        <v>3467.6</v>
      </c>
      <c r="D231" s="24">
        <v>3390.8</v>
      </c>
      <c r="E231" s="24">
        <v>3450.4</v>
      </c>
      <c r="F231" s="25">
        <v>2.5623E9</v>
      </c>
      <c r="G231" s="25">
        <v>1.41697E10</v>
      </c>
      <c r="H231" s="3">
        <f t="shared" si="1"/>
        <v>114123.1726</v>
      </c>
    </row>
    <row r="232" ht="15.75" customHeight="1">
      <c r="A232" s="23">
        <v>38142.0</v>
      </c>
      <c r="B232" s="24">
        <v>3450.4</v>
      </c>
      <c r="C232" s="24">
        <v>3478.0</v>
      </c>
      <c r="D232" s="24">
        <v>3449.9</v>
      </c>
      <c r="E232" s="24">
        <v>3467.7</v>
      </c>
      <c r="F232" s="25">
        <v>1.9408E9</v>
      </c>
      <c r="G232" s="25">
        <v>1.02169E10</v>
      </c>
      <c r="H232" s="3">
        <f t="shared" si="1"/>
        <v>114695.3761</v>
      </c>
    </row>
    <row r="233" ht="15.75" customHeight="1">
      <c r="A233" s="23">
        <v>38149.0</v>
      </c>
      <c r="B233" s="24">
        <v>3467.7</v>
      </c>
      <c r="C233" s="24">
        <v>3501.6</v>
      </c>
      <c r="D233" s="24">
        <v>3458.7</v>
      </c>
      <c r="E233" s="24">
        <v>3478.2</v>
      </c>
      <c r="F233" s="25">
        <v>2.1879E9</v>
      </c>
      <c r="G233" s="25">
        <v>1.16128E10</v>
      </c>
      <c r="H233" s="3">
        <f t="shared" si="1"/>
        <v>115042.6672</v>
      </c>
    </row>
    <row r="234" ht="15.75" customHeight="1">
      <c r="A234" s="23">
        <v>38156.0</v>
      </c>
      <c r="B234" s="24">
        <v>3478.2</v>
      </c>
      <c r="C234" s="24">
        <v>3531.1</v>
      </c>
      <c r="D234" s="24">
        <v>3457.9</v>
      </c>
      <c r="E234" s="24">
        <v>3527.7</v>
      </c>
      <c r="F234" s="25">
        <v>2.3392E9</v>
      </c>
      <c r="G234" s="25">
        <v>1.25235E10</v>
      </c>
      <c r="H234" s="3">
        <f t="shared" si="1"/>
        <v>116679.8968</v>
      </c>
    </row>
    <row r="235" ht="15.75" customHeight="1">
      <c r="A235" s="23">
        <v>38163.0</v>
      </c>
      <c r="B235" s="24">
        <v>3527.7</v>
      </c>
      <c r="C235" s="24">
        <v>3556.4</v>
      </c>
      <c r="D235" s="24">
        <v>3527.7</v>
      </c>
      <c r="E235" s="24">
        <v>3529.2</v>
      </c>
      <c r="F235" s="25">
        <v>2.8795E9</v>
      </c>
      <c r="G235" s="25">
        <v>1.75335E10</v>
      </c>
      <c r="H235" s="3">
        <f t="shared" si="1"/>
        <v>116729.5098</v>
      </c>
    </row>
    <row r="236" ht="15.75" customHeight="1">
      <c r="A236" s="23">
        <v>38170.0</v>
      </c>
      <c r="B236" s="24">
        <v>3529.2</v>
      </c>
      <c r="C236" s="24">
        <v>3540.5</v>
      </c>
      <c r="D236" s="24">
        <v>3514.6</v>
      </c>
      <c r="E236" s="24">
        <v>3534.4</v>
      </c>
      <c r="F236" s="25">
        <v>2.3257E9</v>
      </c>
      <c r="G236" s="25">
        <v>1.18478E10</v>
      </c>
      <c r="H236" s="3">
        <f t="shared" si="1"/>
        <v>116901.5016</v>
      </c>
    </row>
    <row r="237" ht="15.75" customHeight="1">
      <c r="A237" s="23">
        <v>38177.0</v>
      </c>
      <c r="B237" s="24">
        <v>3534.4</v>
      </c>
      <c r="C237" s="24">
        <v>3568.7</v>
      </c>
      <c r="D237" s="24">
        <v>3520.9</v>
      </c>
      <c r="E237" s="24">
        <v>3564.0</v>
      </c>
      <c r="F237" s="25">
        <v>2.361E9</v>
      </c>
      <c r="G237" s="25">
        <v>1.20125E10</v>
      </c>
      <c r="H237" s="3">
        <f t="shared" si="1"/>
        <v>117880.5319</v>
      </c>
    </row>
    <row r="238" ht="15.75" customHeight="1">
      <c r="A238" s="23">
        <v>38184.0</v>
      </c>
      <c r="B238" s="24">
        <v>3564.0</v>
      </c>
      <c r="C238" s="24">
        <v>3568.0</v>
      </c>
      <c r="D238" s="24">
        <v>3518.7</v>
      </c>
      <c r="E238" s="24">
        <v>3531.0</v>
      </c>
      <c r="F238" s="25">
        <v>1.8047E9</v>
      </c>
      <c r="G238" s="25">
        <v>1.18439E10</v>
      </c>
      <c r="H238" s="3">
        <f t="shared" si="1"/>
        <v>116789.0454</v>
      </c>
    </row>
    <row r="239" ht="15.75" customHeight="1">
      <c r="A239" s="23">
        <v>38191.0</v>
      </c>
      <c r="B239" s="24">
        <v>3531.0</v>
      </c>
      <c r="C239" s="24">
        <v>3535.8</v>
      </c>
      <c r="D239" s="24">
        <v>3485.2</v>
      </c>
      <c r="E239" s="24">
        <v>3485.2</v>
      </c>
      <c r="F239" s="25">
        <v>2.2448E9</v>
      </c>
      <c r="G239" s="25">
        <v>1.3774E10</v>
      </c>
      <c r="H239" s="3">
        <f t="shared" si="1"/>
        <v>115274.1946</v>
      </c>
    </row>
    <row r="240" ht="15.75" customHeight="1">
      <c r="A240" s="23">
        <v>38198.0</v>
      </c>
      <c r="B240" s="24">
        <v>3485.2</v>
      </c>
      <c r="C240" s="24">
        <v>3538.6</v>
      </c>
      <c r="D240" s="24">
        <v>3478.2</v>
      </c>
      <c r="E240" s="24">
        <v>3536.1</v>
      </c>
      <c r="F240" s="25">
        <v>2.3665E9</v>
      </c>
      <c r="G240" s="25">
        <v>1.40335E10</v>
      </c>
      <c r="H240" s="3">
        <f t="shared" si="1"/>
        <v>116957.7297</v>
      </c>
    </row>
    <row r="241" ht="15.75" customHeight="1">
      <c r="A241" s="23">
        <v>38205.0</v>
      </c>
      <c r="B241" s="24">
        <v>3536.1</v>
      </c>
      <c r="C241" s="24">
        <v>3562.6</v>
      </c>
      <c r="D241" s="24">
        <v>3519.3</v>
      </c>
      <c r="E241" s="24">
        <v>3530.6</v>
      </c>
      <c r="F241" s="25">
        <v>1.8714E9</v>
      </c>
      <c r="G241" s="25">
        <v>1.05132E10</v>
      </c>
      <c r="H241" s="3">
        <f t="shared" si="1"/>
        <v>116775.8153</v>
      </c>
    </row>
    <row r="242" ht="15.75" customHeight="1">
      <c r="A242" s="23">
        <v>38212.0</v>
      </c>
      <c r="B242" s="24">
        <v>3530.6</v>
      </c>
      <c r="C242" s="24">
        <v>3530.6</v>
      </c>
      <c r="D242" s="24">
        <v>3475.5</v>
      </c>
      <c r="E242" s="24">
        <v>3477.8</v>
      </c>
      <c r="F242" s="25">
        <v>2.1384E9</v>
      </c>
      <c r="G242" s="25">
        <v>1.19589E10</v>
      </c>
      <c r="H242" s="3">
        <f t="shared" si="1"/>
        <v>115029.4371</v>
      </c>
    </row>
    <row r="243" ht="15.75" customHeight="1">
      <c r="A243" s="23">
        <v>38219.0</v>
      </c>
      <c r="B243" s="24">
        <v>3477.8</v>
      </c>
      <c r="C243" s="24">
        <v>3502.2</v>
      </c>
      <c r="D243" s="24">
        <v>3467.1</v>
      </c>
      <c r="E243" s="24">
        <v>3497.7</v>
      </c>
      <c r="F243" s="25">
        <v>1.8656E9</v>
      </c>
      <c r="G243" s="25">
        <v>1.11879E10</v>
      </c>
      <c r="H243" s="3">
        <f t="shared" si="1"/>
        <v>115687.6364</v>
      </c>
    </row>
    <row r="244" ht="15.75" customHeight="1">
      <c r="A244" s="23">
        <v>38226.0</v>
      </c>
      <c r="B244" s="24">
        <v>3497.7</v>
      </c>
      <c r="C244" s="24">
        <v>3565.3</v>
      </c>
      <c r="D244" s="24">
        <v>3497.7</v>
      </c>
      <c r="E244" s="24">
        <v>3558.9</v>
      </c>
      <c r="F244" s="25">
        <v>2.3214E9</v>
      </c>
      <c r="G244" s="25">
        <v>1.31407E10</v>
      </c>
      <c r="H244" s="3">
        <f t="shared" si="1"/>
        <v>117711.8476</v>
      </c>
    </row>
    <row r="245" ht="15.75" customHeight="1">
      <c r="A245" s="23">
        <v>38233.0</v>
      </c>
      <c r="B245" s="24">
        <v>3558.9</v>
      </c>
      <c r="C245" s="24">
        <v>3595.0</v>
      </c>
      <c r="D245" s="24">
        <v>3551.9</v>
      </c>
      <c r="E245" s="24">
        <v>3577.3</v>
      </c>
      <c r="F245" s="25">
        <v>2.3358E9</v>
      </c>
      <c r="G245" s="25">
        <v>1.27174E10</v>
      </c>
      <c r="H245" s="3">
        <f t="shared" si="1"/>
        <v>118320.4339</v>
      </c>
    </row>
    <row r="246" ht="15.75" customHeight="1">
      <c r="A246" s="23">
        <v>38240.0</v>
      </c>
      <c r="B246" s="24">
        <v>3577.3</v>
      </c>
      <c r="C246" s="24">
        <v>3608.2</v>
      </c>
      <c r="D246" s="24">
        <v>3574.2</v>
      </c>
      <c r="E246" s="24">
        <v>3596.0</v>
      </c>
      <c r="F246" s="25">
        <v>2.1186E9</v>
      </c>
      <c r="G246" s="25">
        <v>1.00283E10</v>
      </c>
      <c r="H246" s="3">
        <f t="shared" si="1"/>
        <v>118938.9429</v>
      </c>
    </row>
    <row r="247" ht="15.75" customHeight="1">
      <c r="A247" s="23">
        <v>38247.0</v>
      </c>
      <c r="B247" s="24">
        <v>3596.0</v>
      </c>
      <c r="C247" s="24">
        <v>3636.4</v>
      </c>
      <c r="D247" s="24">
        <v>3594.6</v>
      </c>
      <c r="E247" s="24">
        <v>3631.6</v>
      </c>
      <c r="F247" s="25">
        <v>2.2583E9</v>
      </c>
      <c r="G247" s="25">
        <v>1.33032E10</v>
      </c>
      <c r="H247" s="3">
        <f t="shared" si="1"/>
        <v>120116.4252</v>
      </c>
    </row>
    <row r="248" ht="15.75" customHeight="1">
      <c r="A248" s="23">
        <v>38254.0</v>
      </c>
      <c r="B248" s="24">
        <v>3631.6</v>
      </c>
      <c r="C248" s="24">
        <v>3644.3</v>
      </c>
      <c r="D248" s="24">
        <v>3613.9</v>
      </c>
      <c r="E248" s="24">
        <v>3623.9</v>
      </c>
      <c r="F248" s="25">
        <v>2.3613E9</v>
      </c>
      <c r="G248" s="25">
        <v>1.30301E10</v>
      </c>
      <c r="H248" s="3">
        <f t="shared" si="1"/>
        <v>119861.7451</v>
      </c>
    </row>
    <row r="249" ht="15.75" customHeight="1">
      <c r="A249" s="23">
        <v>38261.0</v>
      </c>
      <c r="B249" s="24">
        <v>3623.9</v>
      </c>
      <c r="C249" s="24">
        <v>3674.2</v>
      </c>
      <c r="D249" s="24">
        <v>3610.0</v>
      </c>
      <c r="E249" s="24">
        <v>3659.6</v>
      </c>
      <c r="F249" s="25">
        <v>2.1556E9</v>
      </c>
      <c r="G249" s="25">
        <v>1.19783E10</v>
      </c>
      <c r="H249" s="3">
        <f t="shared" si="1"/>
        <v>121042.5349</v>
      </c>
    </row>
    <row r="250" ht="15.75" customHeight="1">
      <c r="A250" s="23">
        <v>38268.0</v>
      </c>
      <c r="B250" s="24">
        <v>3659.6</v>
      </c>
      <c r="C250" s="24">
        <v>3720.4</v>
      </c>
      <c r="D250" s="24">
        <v>3659.6</v>
      </c>
      <c r="E250" s="24">
        <v>3686.8</v>
      </c>
      <c r="F250" s="25">
        <v>2.1116E9</v>
      </c>
      <c r="G250" s="25">
        <v>1.14062E10</v>
      </c>
      <c r="H250" s="3">
        <f t="shared" si="1"/>
        <v>121942.1843</v>
      </c>
    </row>
    <row r="251" ht="15.75" customHeight="1">
      <c r="A251" s="23">
        <v>38275.0</v>
      </c>
      <c r="B251" s="24">
        <v>3686.8</v>
      </c>
      <c r="C251" s="24">
        <v>3725.2</v>
      </c>
      <c r="D251" s="24">
        <v>3686.8</v>
      </c>
      <c r="E251" s="24">
        <v>3720.5</v>
      </c>
      <c r="F251" s="25">
        <v>2.9063E9</v>
      </c>
      <c r="G251" s="25">
        <v>1.60351E10</v>
      </c>
      <c r="H251" s="3">
        <f t="shared" si="1"/>
        <v>123056.8234</v>
      </c>
    </row>
    <row r="252" ht="15.75" customHeight="1">
      <c r="A252" s="23">
        <v>38282.0</v>
      </c>
      <c r="B252" s="24">
        <v>3720.9</v>
      </c>
      <c r="C252" s="24">
        <v>3720.9</v>
      </c>
      <c r="D252" s="24">
        <v>3695.4</v>
      </c>
      <c r="E252" s="24">
        <v>3709.9</v>
      </c>
      <c r="F252" s="25">
        <v>2.5198E9</v>
      </c>
      <c r="G252" s="25">
        <v>1.42755E10</v>
      </c>
      <c r="H252" s="3">
        <f t="shared" si="1"/>
        <v>122706.2248</v>
      </c>
    </row>
    <row r="253" ht="15.75" customHeight="1">
      <c r="A253" s="23">
        <v>38289.0</v>
      </c>
      <c r="B253" s="24">
        <v>3709.9</v>
      </c>
      <c r="C253" s="24">
        <v>3779.5</v>
      </c>
      <c r="D253" s="24">
        <v>3674.9</v>
      </c>
      <c r="E253" s="24">
        <v>3778.6</v>
      </c>
      <c r="F253" s="25">
        <v>3.5056E9</v>
      </c>
      <c r="G253" s="25">
        <v>2.15489E10</v>
      </c>
      <c r="H253" s="3">
        <f t="shared" si="1"/>
        <v>124978.501</v>
      </c>
    </row>
    <row r="254" ht="15.75" customHeight="1">
      <c r="A254" s="23">
        <v>38296.0</v>
      </c>
      <c r="B254" s="24">
        <v>3778.6</v>
      </c>
      <c r="C254" s="24">
        <v>3854.9</v>
      </c>
      <c r="D254" s="24">
        <v>3777.9</v>
      </c>
      <c r="E254" s="24">
        <v>3843.5</v>
      </c>
      <c r="F254" s="25">
        <v>2.5828E9</v>
      </c>
      <c r="G254" s="25">
        <v>1.72179E10</v>
      </c>
      <c r="H254" s="3">
        <f t="shared" si="1"/>
        <v>127125.091</v>
      </c>
    </row>
    <row r="255" ht="15.75" customHeight="1">
      <c r="A255" s="23">
        <v>38303.0</v>
      </c>
      <c r="B255" s="24">
        <v>3843.5</v>
      </c>
      <c r="C255" s="24">
        <v>3868.2</v>
      </c>
      <c r="D255" s="24">
        <v>3821.2</v>
      </c>
      <c r="E255" s="24">
        <v>3862.5</v>
      </c>
      <c r="F255" s="25">
        <v>2.2711E9</v>
      </c>
      <c r="G255" s="25">
        <v>1.45745E10</v>
      </c>
      <c r="H255" s="3">
        <f t="shared" si="1"/>
        <v>127753.5225</v>
      </c>
    </row>
    <row r="256" ht="15.75" customHeight="1">
      <c r="A256" s="23">
        <v>38310.0</v>
      </c>
      <c r="B256" s="24">
        <v>3862.5</v>
      </c>
      <c r="C256" s="24">
        <v>3889.0</v>
      </c>
      <c r="D256" s="24">
        <v>3862.0</v>
      </c>
      <c r="E256" s="24">
        <v>3872.7</v>
      </c>
      <c r="F256" s="25">
        <v>2.3093E9</v>
      </c>
      <c r="G256" s="25">
        <v>1.47631E10</v>
      </c>
      <c r="H256" s="3">
        <f t="shared" si="1"/>
        <v>128090.891</v>
      </c>
    </row>
    <row r="257" ht="15.75" customHeight="1">
      <c r="A257" s="23">
        <v>38317.0</v>
      </c>
      <c r="B257" s="24">
        <v>3872.7</v>
      </c>
      <c r="C257" s="24">
        <v>3917.8</v>
      </c>
      <c r="D257" s="24">
        <v>3825.1</v>
      </c>
      <c r="E257" s="24">
        <v>3912.1</v>
      </c>
      <c r="F257" s="25">
        <v>2.4873E9</v>
      </c>
      <c r="G257" s="25">
        <v>1.68924E10</v>
      </c>
      <c r="H257" s="3">
        <f t="shared" si="1"/>
        <v>129394.0597</v>
      </c>
    </row>
    <row r="258" ht="15.75" customHeight="1">
      <c r="A258" s="23">
        <v>38324.0</v>
      </c>
      <c r="B258" s="24">
        <v>3912.1</v>
      </c>
      <c r="C258" s="24">
        <v>3948.7</v>
      </c>
      <c r="D258" s="24">
        <v>3899.3</v>
      </c>
      <c r="E258" s="24">
        <v>3939.5</v>
      </c>
      <c r="F258" s="25">
        <v>2.2464E9</v>
      </c>
      <c r="G258" s="25">
        <v>1.47557E10</v>
      </c>
      <c r="H258" s="3">
        <f t="shared" si="1"/>
        <v>130300.3241</v>
      </c>
    </row>
    <row r="259" ht="15.75" customHeight="1">
      <c r="A259" s="23">
        <v>38331.0</v>
      </c>
      <c r="B259" s="24">
        <v>3939.5</v>
      </c>
      <c r="C259" s="24">
        <v>3964.8</v>
      </c>
      <c r="D259" s="24">
        <v>3877.1</v>
      </c>
      <c r="E259" s="24">
        <v>3898.5</v>
      </c>
      <c r="F259" s="25">
        <v>2.405E9</v>
      </c>
      <c r="G259" s="25">
        <v>1.47192E10</v>
      </c>
      <c r="H259" s="3">
        <f t="shared" si="1"/>
        <v>128944.235</v>
      </c>
    </row>
    <row r="260" ht="15.75" customHeight="1">
      <c r="A260" s="23">
        <v>38338.0</v>
      </c>
      <c r="B260" s="24">
        <v>3886.9</v>
      </c>
      <c r="C260" s="24">
        <v>3997.6</v>
      </c>
      <c r="D260" s="24">
        <v>3886.9</v>
      </c>
      <c r="E260" s="24">
        <v>3988.0</v>
      </c>
      <c r="F260" s="25">
        <v>2.2642E9</v>
      </c>
      <c r="G260" s="25">
        <v>1.70293E10</v>
      </c>
      <c r="H260" s="3">
        <f t="shared" si="1"/>
        <v>131904.4784</v>
      </c>
    </row>
    <row r="261" ht="15.75" customHeight="1">
      <c r="A261" s="23">
        <v>38345.0</v>
      </c>
      <c r="B261" s="24">
        <v>3988.0</v>
      </c>
      <c r="C261" s="24">
        <v>4048.6</v>
      </c>
      <c r="D261" s="24">
        <v>3980.6</v>
      </c>
      <c r="E261" s="24">
        <v>4048.6</v>
      </c>
      <c r="F261" s="25">
        <v>1.8484E9</v>
      </c>
      <c r="G261" s="25">
        <v>1.48286E10</v>
      </c>
      <c r="H261" s="3">
        <f t="shared" si="1"/>
        <v>133908.8443</v>
      </c>
    </row>
    <row r="262" ht="15.75" customHeight="1">
      <c r="A262" s="23">
        <v>38352.0</v>
      </c>
      <c r="B262" s="24">
        <v>4048.6</v>
      </c>
      <c r="C262" s="24">
        <v>4055.0</v>
      </c>
      <c r="D262" s="24">
        <v>4036.5</v>
      </c>
      <c r="E262" s="24">
        <v>4050.6</v>
      </c>
      <c r="F262" s="25">
        <v>3.765E8</v>
      </c>
      <c r="G262" s="25">
        <v>2.2687E9</v>
      </c>
      <c r="H262" s="3">
        <f t="shared" si="1"/>
        <v>133974.995</v>
      </c>
    </row>
    <row r="263" ht="15.75" customHeight="1">
      <c r="A263" s="23">
        <v>38359.0</v>
      </c>
      <c r="B263" s="24">
        <v>4050.6</v>
      </c>
      <c r="C263" s="24">
        <v>4069.7</v>
      </c>
      <c r="D263" s="24">
        <v>4026.1</v>
      </c>
      <c r="E263" s="24">
        <v>4063.2</v>
      </c>
      <c r="F263" s="25">
        <v>1.2347E9</v>
      </c>
      <c r="G263" s="25">
        <v>7.7541E9</v>
      </c>
      <c r="H263" s="3">
        <f t="shared" si="1"/>
        <v>134391.7444</v>
      </c>
    </row>
    <row r="264" ht="15.75" customHeight="1">
      <c r="A264" s="23">
        <v>38366.0</v>
      </c>
      <c r="B264" s="24">
        <v>4063.2</v>
      </c>
      <c r="C264" s="24">
        <v>4089.8</v>
      </c>
      <c r="D264" s="24">
        <v>4056.8</v>
      </c>
      <c r="E264" s="24">
        <v>4061.6</v>
      </c>
      <c r="F264" s="25">
        <v>1.8926E9</v>
      </c>
      <c r="G264" s="25">
        <v>1.25155E10</v>
      </c>
      <c r="H264" s="3">
        <f t="shared" si="1"/>
        <v>134338.8238</v>
      </c>
    </row>
    <row r="265" ht="15.75" customHeight="1">
      <c r="A265" s="23">
        <v>38373.0</v>
      </c>
      <c r="B265" s="24">
        <v>4061.6</v>
      </c>
      <c r="C265" s="24">
        <v>4094.3</v>
      </c>
      <c r="D265" s="24">
        <v>4027.3</v>
      </c>
      <c r="E265" s="24">
        <v>4043.9</v>
      </c>
      <c r="F265" s="25">
        <v>1.915E9</v>
      </c>
      <c r="G265" s="25">
        <v>1.29695E10</v>
      </c>
      <c r="H265" s="3">
        <f t="shared" si="1"/>
        <v>133753.3902</v>
      </c>
    </row>
    <row r="266" ht="15.75" customHeight="1">
      <c r="A266" s="23">
        <v>38380.0</v>
      </c>
      <c r="B266" s="24">
        <v>4043.9</v>
      </c>
      <c r="C266" s="24">
        <v>4121.0</v>
      </c>
      <c r="D266" s="24">
        <v>4041.7</v>
      </c>
      <c r="E266" s="24">
        <v>4098.9</v>
      </c>
      <c r="F266" s="25">
        <v>1.7872E9</v>
      </c>
      <c r="G266" s="25">
        <v>1.31828E10</v>
      </c>
      <c r="H266" s="3">
        <f t="shared" si="1"/>
        <v>135572.5342</v>
      </c>
    </row>
    <row r="267" ht="15.75" customHeight="1">
      <c r="A267" s="23">
        <v>38387.0</v>
      </c>
      <c r="B267" s="24">
        <v>4098.9</v>
      </c>
      <c r="C267" s="24">
        <v>4165.4</v>
      </c>
      <c r="D267" s="24">
        <v>4095.4</v>
      </c>
      <c r="E267" s="24">
        <v>4161.8</v>
      </c>
      <c r="F267" s="25">
        <v>2.5184E9</v>
      </c>
      <c r="G267" s="25">
        <v>1.68372E10</v>
      </c>
      <c r="H267" s="3">
        <f t="shared" si="1"/>
        <v>137652.9735</v>
      </c>
    </row>
    <row r="268" ht="15.75" customHeight="1">
      <c r="A268" s="23">
        <v>38394.0</v>
      </c>
      <c r="B268" s="24">
        <v>4161.8</v>
      </c>
      <c r="C268" s="24">
        <v>4195.6</v>
      </c>
      <c r="D268" s="24">
        <v>4160.0</v>
      </c>
      <c r="E268" s="24">
        <v>4174.3</v>
      </c>
      <c r="F268" s="25">
        <v>2.2153E9</v>
      </c>
      <c r="G268" s="25">
        <v>1.54885E10</v>
      </c>
      <c r="H268" s="3">
        <f t="shared" si="1"/>
        <v>138066.4153</v>
      </c>
    </row>
    <row r="269" ht="15.75" customHeight="1">
      <c r="A269" s="23">
        <v>38401.0</v>
      </c>
      <c r="B269" s="24">
        <v>4174.3</v>
      </c>
      <c r="C269" s="24">
        <v>4190.5</v>
      </c>
      <c r="D269" s="24">
        <v>4140.7</v>
      </c>
      <c r="E269" s="24">
        <v>4163.6</v>
      </c>
      <c r="F269" s="25">
        <v>2.5592E9</v>
      </c>
      <c r="G269" s="25">
        <v>1.72672E10</v>
      </c>
      <c r="H269" s="3">
        <f t="shared" si="1"/>
        <v>137712.5091</v>
      </c>
    </row>
    <row r="270" ht="15.75" customHeight="1">
      <c r="A270" s="23">
        <v>38408.0</v>
      </c>
      <c r="B270" s="24">
        <v>4163.6</v>
      </c>
      <c r="C270" s="24">
        <v>4175.2</v>
      </c>
      <c r="D270" s="24">
        <v>4096.9</v>
      </c>
      <c r="E270" s="24">
        <v>4130.5</v>
      </c>
      <c r="F270" s="25">
        <v>2.5788E9</v>
      </c>
      <c r="G270" s="25">
        <v>1.91322E10</v>
      </c>
      <c r="H270" s="3">
        <f t="shared" si="1"/>
        <v>136617.7152</v>
      </c>
    </row>
    <row r="271" ht="15.75" customHeight="1">
      <c r="A271" s="23">
        <v>38415.0</v>
      </c>
      <c r="B271" s="24">
        <v>4130.5</v>
      </c>
      <c r="C271" s="24">
        <v>4228.7</v>
      </c>
      <c r="D271" s="24">
        <v>4130.5</v>
      </c>
      <c r="E271" s="24">
        <v>4220.4</v>
      </c>
      <c r="F271" s="25">
        <v>2.3043E9</v>
      </c>
      <c r="G271" s="25">
        <v>1.65729E10</v>
      </c>
      <c r="H271" s="3">
        <f t="shared" si="1"/>
        <v>139591.1887</v>
      </c>
    </row>
    <row r="272" ht="15.75" customHeight="1">
      <c r="A272" s="23">
        <v>38422.0</v>
      </c>
      <c r="B272" s="24">
        <v>4220.4</v>
      </c>
      <c r="C272" s="24">
        <v>4255.0</v>
      </c>
      <c r="D272" s="24">
        <v>4195.5</v>
      </c>
      <c r="E272" s="24">
        <v>4203.8</v>
      </c>
      <c r="F272" s="25">
        <v>2.329E9</v>
      </c>
      <c r="G272" s="25">
        <v>1.60124E10</v>
      </c>
      <c r="H272" s="3">
        <f t="shared" si="1"/>
        <v>139042.138</v>
      </c>
    </row>
    <row r="273" ht="15.75" customHeight="1">
      <c r="A273" s="23">
        <v>38429.0</v>
      </c>
      <c r="B273" s="24">
        <v>4203.8</v>
      </c>
      <c r="C273" s="24">
        <v>4258.1</v>
      </c>
      <c r="D273" s="24">
        <v>4195.3</v>
      </c>
      <c r="E273" s="24">
        <v>4249.1</v>
      </c>
      <c r="F273" s="25">
        <v>2.2807E9</v>
      </c>
      <c r="G273" s="25">
        <v>1.68164E10</v>
      </c>
      <c r="H273" s="3">
        <f t="shared" si="1"/>
        <v>140540.4511</v>
      </c>
    </row>
    <row r="274" ht="15.75" customHeight="1">
      <c r="A274" s="23">
        <v>38435.0</v>
      </c>
      <c r="B274" s="24">
        <v>4249.1</v>
      </c>
      <c r="C274" s="24">
        <v>4266.9</v>
      </c>
      <c r="D274" s="24">
        <v>4123.8</v>
      </c>
      <c r="E274" s="24">
        <v>4136.4</v>
      </c>
      <c r="F274" s="25">
        <v>1.9746E9</v>
      </c>
      <c r="G274" s="25">
        <v>1.46221E10</v>
      </c>
      <c r="H274" s="3">
        <f t="shared" si="1"/>
        <v>136812.8597</v>
      </c>
    </row>
    <row r="275" ht="15.75" customHeight="1">
      <c r="A275" s="23">
        <v>38443.0</v>
      </c>
      <c r="B275" s="24">
        <v>4136.4</v>
      </c>
      <c r="C275" s="24">
        <v>4151.2</v>
      </c>
      <c r="D275" s="24">
        <v>4059.5</v>
      </c>
      <c r="E275" s="24">
        <v>4138.3</v>
      </c>
      <c r="F275" s="25">
        <v>1.8875E9</v>
      </c>
      <c r="G275" s="25">
        <v>1.22865E10</v>
      </c>
      <c r="H275" s="3">
        <f t="shared" si="1"/>
        <v>136875.7029</v>
      </c>
    </row>
    <row r="276" ht="15.75" customHeight="1">
      <c r="A276" s="23">
        <v>38450.0</v>
      </c>
      <c r="B276" s="24">
        <v>4109.8</v>
      </c>
      <c r="C276" s="24">
        <v>4165.6</v>
      </c>
      <c r="D276" s="24">
        <v>4109.8</v>
      </c>
      <c r="E276" s="24">
        <v>4165.6</v>
      </c>
      <c r="F276" s="25">
        <v>2.0688E9</v>
      </c>
      <c r="G276" s="25">
        <v>1.30867E10</v>
      </c>
      <c r="H276" s="3">
        <f t="shared" si="1"/>
        <v>137778.6598</v>
      </c>
    </row>
    <row r="277" ht="15.75" customHeight="1">
      <c r="A277" s="23">
        <v>38457.0</v>
      </c>
      <c r="B277" s="24">
        <v>4165.6</v>
      </c>
      <c r="C277" s="24">
        <v>4165.6</v>
      </c>
      <c r="D277" s="24">
        <v>4010.8</v>
      </c>
      <c r="E277" s="24">
        <v>4014.3</v>
      </c>
      <c r="F277" s="25">
        <v>2.1561E9</v>
      </c>
      <c r="G277" s="25">
        <v>1.53303E10</v>
      </c>
      <c r="H277" s="3">
        <f t="shared" si="1"/>
        <v>132774.36</v>
      </c>
    </row>
    <row r="278" ht="15.75" customHeight="1">
      <c r="A278" s="23">
        <v>38464.0</v>
      </c>
      <c r="B278" s="24">
        <v>4014.3</v>
      </c>
      <c r="C278" s="24">
        <v>4057.2</v>
      </c>
      <c r="D278" s="24">
        <v>3958.3</v>
      </c>
      <c r="E278" s="24">
        <v>4034.1</v>
      </c>
      <c r="F278" s="25">
        <v>2.524E9</v>
      </c>
      <c r="G278" s="25">
        <v>1.73025E10</v>
      </c>
      <c r="H278" s="3">
        <f t="shared" si="1"/>
        <v>133429.2518</v>
      </c>
    </row>
    <row r="279" ht="15.75" customHeight="1">
      <c r="A279" s="23">
        <v>38471.0</v>
      </c>
      <c r="B279" s="24">
        <v>4034.1</v>
      </c>
      <c r="C279" s="24">
        <v>4050.6</v>
      </c>
      <c r="D279" s="24">
        <v>3969.1</v>
      </c>
      <c r="E279" s="24">
        <v>3983.2</v>
      </c>
      <c r="F279" s="25">
        <v>1.9474E9</v>
      </c>
      <c r="G279" s="25">
        <v>1.54639E10</v>
      </c>
      <c r="H279" s="3">
        <f t="shared" si="1"/>
        <v>131745.7167</v>
      </c>
    </row>
    <row r="280" ht="15.75" customHeight="1">
      <c r="A280" s="23">
        <v>38478.0</v>
      </c>
      <c r="B280" s="24">
        <v>3983.2</v>
      </c>
      <c r="C280" s="24">
        <v>4031.1</v>
      </c>
      <c r="D280" s="24">
        <v>3926.6</v>
      </c>
      <c r="E280" s="24">
        <v>3983.3</v>
      </c>
      <c r="F280" s="25">
        <v>2.2493E9</v>
      </c>
      <c r="G280" s="25">
        <v>1.40951E10</v>
      </c>
      <c r="H280" s="3">
        <f t="shared" si="1"/>
        <v>131749.0243</v>
      </c>
    </row>
    <row r="281" ht="15.75" customHeight="1">
      <c r="A281" s="23">
        <v>38485.0</v>
      </c>
      <c r="B281" s="24">
        <v>3983.3</v>
      </c>
      <c r="C281" s="24">
        <v>4028.9</v>
      </c>
      <c r="D281" s="24">
        <v>3974.6</v>
      </c>
      <c r="E281" s="24">
        <v>4012.1</v>
      </c>
      <c r="F281" s="25">
        <v>2.2349E9</v>
      </c>
      <c r="G281" s="25">
        <v>1.59744E10</v>
      </c>
      <c r="H281" s="3">
        <f t="shared" si="1"/>
        <v>132701.5942</v>
      </c>
    </row>
    <row r="282" ht="15.75" customHeight="1">
      <c r="A282" s="23">
        <v>38492.0</v>
      </c>
      <c r="B282" s="24">
        <v>4012.1</v>
      </c>
      <c r="C282" s="24">
        <v>4057.6</v>
      </c>
      <c r="D282" s="24">
        <v>3943.8</v>
      </c>
      <c r="E282" s="24">
        <v>4041.2</v>
      </c>
      <c r="F282" s="25">
        <v>2.2435E9</v>
      </c>
      <c r="G282" s="25">
        <v>1.55729E10</v>
      </c>
      <c r="H282" s="3">
        <f t="shared" si="1"/>
        <v>133664.0868</v>
      </c>
    </row>
    <row r="283" ht="15.75" customHeight="1">
      <c r="A283" s="23">
        <v>38499.0</v>
      </c>
      <c r="B283" s="24">
        <v>4041.3</v>
      </c>
      <c r="C283" s="24">
        <v>4120.2</v>
      </c>
      <c r="D283" s="24">
        <v>4041.0</v>
      </c>
      <c r="E283" s="24">
        <v>4116.4</v>
      </c>
      <c r="F283" s="25">
        <v>2.4117E9</v>
      </c>
      <c r="G283" s="25">
        <v>1.78962E10</v>
      </c>
      <c r="H283" s="3">
        <f t="shared" si="1"/>
        <v>136151.3528</v>
      </c>
    </row>
    <row r="284" ht="15.75" customHeight="1">
      <c r="A284" s="23">
        <v>38506.0</v>
      </c>
      <c r="B284" s="24">
        <v>4116.4</v>
      </c>
      <c r="C284" s="24">
        <v>4194.2</v>
      </c>
      <c r="D284" s="24">
        <v>4098.8</v>
      </c>
      <c r="E284" s="24">
        <v>4194.0</v>
      </c>
      <c r="F284" s="25">
        <v>2.8742E9</v>
      </c>
      <c r="G284" s="25">
        <v>1.9035E10</v>
      </c>
      <c r="H284" s="3">
        <f t="shared" si="1"/>
        <v>138717.9996</v>
      </c>
    </row>
    <row r="285" ht="15.75" customHeight="1">
      <c r="A285" s="23">
        <v>38513.0</v>
      </c>
      <c r="B285" s="24">
        <v>4194.0</v>
      </c>
      <c r="C285" s="24">
        <v>4231.9</v>
      </c>
      <c r="D285" s="24">
        <v>4179.3</v>
      </c>
      <c r="E285" s="24">
        <v>4221.7</v>
      </c>
      <c r="F285" s="25">
        <v>2.1248E9</v>
      </c>
      <c r="G285" s="25">
        <v>1.41471E10</v>
      </c>
      <c r="H285" s="3">
        <f t="shared" si="1"/>
        <v>139634.1867</v>
      </c>
    </row>
    <row r="286" ht="15.75" customHeight="1">
      <c r="A286" s="23">
        <v>38520.0</v>
      </c>
      <c r="B286" s="24">
        <v>4221.7</v>
      </c>
      <c r="C286" s="24">
        <v>4312.2</v>
      </c>
      <c r="D286" s="24">
        <v>4219.6</v>
      </c>
      <c r="E286" s="24">
        <v>4312.2</v>
      </c>
      <c r="F286" s="25">
        <v>2.1697E9</v>
      </c>
      <c r="G286" s="25">
        <v>1.5816E10</v>
      </c>
      <c r="H286" s="3">
        <f t="shared" si="1"/>
        <v>142627.5055</v>
      </c>
    </row>
    <row r="287" ht="15.75" customHeight="1">
      <c r="A287" s="23">
        <v>38527.0</v>
      </c>
      <c r="B287" s="24">
        <v>4312.2</v>
      </c>
      <c r="C287" s="24">
        <v>4321.7</v>
      </c>
      <c r="D287" s="24">
        <v>4224.2</v>
      </c>
      <c r="E287" s="24">
        <v>4245.6</v>
      </c>
      <c r="F287" s="25">
        <v>2.4881E9</v>
      </c>
      <c r="G287" s="25">
        <v>1.91215E10</v>
      </c>
      <c r="H287" s="3">
        <f t="shared" si="1"/>
        <v>140424.6874</v>
      </c>
    </row>
    <row r="288" ht="15.75" customHeight="1">
      <c r="A288" s="23">
        <v>38534.0</v>
      </c>
      <c r="B288" s="24">
        <v>4245.6</v>
      </c>
      <c r="C288" s="24">
        <v>4294.9</v>
      </c>
      <c r="D288" s="24">
        <v>4221.5</v>
      </c>
      <c r="E288" s="24">
        <v>4272.6</v>
      </c>
      <c r="F288" s="25">
        <v>2.3767E9</v>
      </c>
      <c r="G288" s="25">
        <v>1.58956E10</v>
      </c>
      <c r="H288" s="3">
        <f t="shared" si="1"/>
        <v>141317.7218</v>
      </c>
    </row>
    <row r="289" ht="15.75" customHeight="1">
      <c r="A289" s="23">
        <v>38541.0</v>
      </c>
      <c r="B289" s="24">
        <v>4272.6</v>
      </c>
      <c r="C289" s="24">
        <v>4316.3</v>
      </c>
      <c r="D289" s="24">
        <v>4213.6</v>
      </c>
      <c r="E289" s="24">
        <v>4229.2</v>
      </c>
      <c r="F289" s="25">
        <v>2.0304E9</v>
      </c>
      <c r="G289" s="25">
        <v>1.31581E10</v>
      </c>
      <c r="H289" s="3">
        <f t="shared" si="1"/>
        <v>139882.2518</v>
      </c>
    </row>
    <row r="290" ht="15.75" customHeight="1">
      <c r="A290" s="23">
        <v>38548.0</v>
      </c>
      <c r="B290" s="24">
        <v>4229.2</v>
      </c>
      <c r="C290" s="24">
        <v>4301.5</v>
      </c>
      <c r="D290" s="24">
        <v>4229.2</v>
      </c>
      <c r="E290" s="24">
        <v>4292.4</v>
      </c>
      <c r="F290" s="25">
        <v>2.0792E9</v>
      </c>
      <c r="G290" s="25">
        <v>1.27855E10</v>
      </c>
      <c r="H290" s="3">
        <f t="shared" si="1"/>
        <v>141972.6136</v>
      </c>
    </row>
    <row r="291" ht="15.75" customHeight="1">
      <c r="A291" s="23">
        <v>38555.0</v>
      </c>
      <c r="B291" s="24">
        <v>4292.4</v>
      </c>
      <c r="C291" s="24">
        <v>4371.2</v>
      </c>
      <c r="D291" s="24">
        <v>4273.1</v>
      </c>
      <c r="E291" s="24">
        <v>4371.1</v>
      </c>
      <c r="F291" s="25">
        <v>2.1103E9</v>
      </c>
      <c r="G291" s="25">
        <v>1.58254E10</v>
      </c>
      <c r="H291" s="3">
        <f t="shared" si="1"/>
        <v>144575.6433</v>
      </c>
    </row>
    <row r="292" ht="15.75" customHeight="1">
      <c r="A292" s="23">
        <v>38562.0</v>
      </c>
      <c r="B292" s="24">
        <v>4371.1</v>
      </c>
      <c r="C292" s="24">
        <v>4398.8</v>
      </c>
      <c r="D292" s="24">
        <v>4365.3</v>
      </c>
      <c r="E292" s="24">
        <v>4388.8</v>
      </c>
      <c r="F292" s="25">
        <v>2.1535E9</v>
      </c>
      <c r="G292" s="25">
        <v>1.64302E10</v>
      </c>
      <c r="H292" s="3">
        <f t="shared" si="1"/>
        <v>145161.0769</v>
      </c>
    </row>
    <row r="293" ht="15.75" customHeight="1">
      <c r="A293" s="23">
        <v>38569.0</v>
      </c>
      <c r="B293" s="24">
        <v>4388.8</v>
      </c>
      <c r="C293" s="24">
        <v>4399.2</v>
      </c>
      <c r="D293" s="24">
        <v>4361.4</v>
      </c>
      <c r="E293" s="24">
        <v>4377.3</v>
      </c>
      <c r="F293" s="25">
        <v>2.2114E9</v>
      </c>
      <c r="G293" s="25">
        <v>1.46979E10</v>
      </c>
      <c r="H293" s="3">
        <f t="shared" si="1"/>
        <v>144780.7105</v>
      </c>
    </row>
    <row r="294" ht="15.75" customHeight="1">
      <c r="A294" s="23">
        <v>38576.0</v>
      </c>
      <c r="B294" s="24">
        <v>4377.3</v>
      </c>
      <c r="C294" s="24">
        <v>4472.0</v>
      </c>
      <c r="D294" s="24">
        <v>4374.2</v>
      </c>
      <c r="E294" s="24">
        <v>4469.2</v>
      </c>
      <c r="F294" s="25">
        <v>2.5334E9</v>
      </c>
      <c r="G294" s="25">
        <v>1.86596E10</v>
      </c>
      <c r="H294" s="3">
        <f t="shared" si="1"/>
        <v>147820.3347</v>
      </c>
    </row>
    <row r="295" ht="15.75" customHeight="1">
      <c r="A295" s="23">
        <v>38583.0</v>
      </c>
      <c r="B295" s="24">
        <v>4469.2</v>
      </c>
      <c r="C295" s="24">
        <v>4484.9</v>
      </c>
      <c r="D295" s="24">
        <v>4434.7</v>
      </c>
      <c r="E295" s="24">
        <v>4461.6</v>
      </c>
      <c r="F295" s="25">
        <v>2.3403E9</v>
      </c>
      <c r="G295" s="25">
        <v>1.68865E10</v>
      </c>
      <c r="H295" s="3">
        <f t="shared" si="1"/>
        <v>147568.9621</v>
      </c>
    </row>
    <row r="296" ht="15.75" customHeight="1">
      <c r="A296" s="23">
        <v>38590.0</v>
      </c>
      <c r="B296" s="24">
        <v>4461.6</v>
      </c>
      <c r="C296" s="24">
        <v>4502.2</v>
      </c>
      <c r="D296" s="24">
        <v>4416.4</v>
      </c>
      <c r="E296" s="24">
        <v>4452.4</v>
      </c>
      <c r="F296" s="25">
        <v>2.7187E9</v>
      </c>
      <c r="G296" s="25">
        <v>2.06942E10</v>
      </c>
      <c r="H296" s="3">
        <f t="shared" si="1"/>
        <v>147264.6689</v>
      </c>
    </row>
    <row r="297" ht="15.75" customHeight="1">
      <c r="A297" s="23">
        <v>38597.0</v>
      </c>
      <c r="B297" s="24">
        <v>4452.5</v>
      </c>
      <c r="C297" s="24">
        <v>4514.3</v>
      </c>
      <c r="D297" s="24">
        <v>4392.0</v>
      </c>
      <c r="E297" s="24">
        <v>4473.7</v>
      </c>
      <c r="F297" s="25">
        <v>2.3571E9</v>
      </c>
      <c r="G297" s="25">
        <v>1.74299E10</v>
      </c>
      <c r="H297" s="3">
        <f t="shared" si="1"/>
        <v>147969.1738</v>
      </c>
    </row>
    <row r="298" ht="15.75" customHeight="1">
      <c r="A298" s="23">
        <v>38604.0</v>
      </c>
      <c r="B298" s="24">
        <v>4473.7</v>
      </c>
      <c r="C298" s="24">
        <v>4502.9</v>
      </c>
      <c r="D298" s="24">
        <v>4440.9</v>
      </c>
      <c r="E298" s="24">
        <v>4468.1</v>
      </c>
      <c r="F298" s="25">
        <v>2.4087E9</v>
      </c>
      <c r="G298" s="25">
        <v>1.60998E10</v>
      </c>
      <c r="H298" s="3">
        <f t="shared" si="1"/>
        <v>147783.9518</v>
      </c>
    </row>
    <row r="299" ht="15.75" customHeight="1">
      <c r="A299" s="23">
        <v>38611.0</v>
      </c>
      <c r="B299" s="24">
        <v>4468.1</v>
      </c>
      <c r="C299" s="24">
        <v>4560.9</v>
      </c>
      <c r="D299" s="24">
        <v>4465.0</v>
      </c>
      <c r="E299" s="24">
        <v>4553.6</v>
      </c>
      <c r="F299" s="25">
        <v>2.7068E9</v>
      </c>
      <c r="G299" s="25">
        <v>2.05292E10</v>
      </c>
      <c r="H299" s="3">
        <f t="shared" si="1"/>
        <v>150611.8939</v>
      </c>
    </row>
    <row r="300" ht="15.75" customHeight="1">
      <c r="A300" s="23">
        <v>38618.0</v>
      </c>
      <c r="B300" s="24">
        <v>4553.6</v>
      </c>
      <c r="C300" s="24">
        <v>4584.8</v>
      </c>
      <c r="D300" s="24">
        <v>4537.5</v>
      </c>
      <c r="E300" s="24">
        <v>4562.4</v>
      </c>
      <c r="F300" s="25">
        <v>2.2368E9</v>
      </c>
      <c r="G300" s="25">
        <v>1.60897E10</v>
      </c>
      <c r="H300" s="3">
        <f t="shared" si="1"/>
        <v>150902.9569</v>
      </c>
    </row>
    <row r="301" ht="15.75" customHeight="1">
      <c r="A301" s="23">
        <v>38625.0</v>
      </c>
      <c r="B301" s="24">
        <v>4562.4</v>
      </c>
      <c r="C301" s="24">
        <v>4679.1</v>
      </c>
      <c r="D301" s="24">
        <v>4562.4</v>
      </c>
      <c r="E301" s="24">
        <v>4641.2</v>
      </c>
      <c r="F301" s="25">
        <v>2.8267E9</v>
      </c>
      <c r="G301" s="25">
        <v>2.27144E10</v>
      </c>
      <c r="H301" s="3">
        <f t="shared" si="1"/>
        <v>153509.2942</v>
      </c>
    </row>
    <row r="302" ht="15.75" customHeight="1">
      <c r="A302" s="23">
        <v>38632.0</v>
      </c>
      <c r="B302" s="24">
        <v>4641.2</v>
      </c>
      <c r="C302" s="24">
        <v>4654.3</v>
      </c>
      <c r="D302" s="24">
        <v>4421.5</v>
      </c>
      <c r="E302" s="24">
        <v>4440.6</v>
      </c>
      <c r="F302" s="25">
        <v>2.2122E9</v>
      </c>
      <c r="G302" s="25">
        <v>1.59903E10</v>
      </c>
      <c r="H302" s="3">
        <f t="shared" si="1"/>
        <v>146874.3798</v>
      </c>
    </row>
    <row r="303" ht="15.75" customHeight="1">
      <c r="A303" s="23">
        <v>38639.0</v>
      </c>
      <c r="B303" s="24">
        <v>4440.6</v>
      </c>
      <c r="C303" s="24">
        <v>4479.8</v>
      </c>
      <c r="D303" s="24">
        <v>4393.2</v>
      </c>
      <c r="E303" s="24">
        <v>4406.1</v>
      </c>
      <c r="F303" s="25">
        <v>2.1683E9</v>
      </c>
      <c r="G303" s="25">
        <v>1.49128E10</v>
      </c>
      <c r="H303" s="3">
        <f t="shared" si="1"/>
        <v>145733.2804</v>
      </c>
    </row>
    <row r="304" ht="15.75" customHeight="1">
      <c r="A304" s="23">
        <v>38646.0</v>
      </c>
      <c r="B304" s="24">
        <v>4406.1</v>
      </c>
      <c r="C304" s="24">
        <v>4461.3</v>
      </c>
      <c r="D304" s="24">
        <v>4311.1</v>
      </c>
      <c r="E304" s="24">
        <v>4364.3</v>
      </c>
      <c r="F304" s="25">
        <v>2.334E9</v>
      </c>
      <c r="G304" s="25">
        <v>1.64205E10</v>
      </c>
      <c r="H304" s="3">
        <f t="shared" si="1"/>
        <v>144350.731</v>
      </c>
    </row>
    <row r="305" ht="15.75" customHeight="1">
      <c r="A305" s="23">
        <v>38653.0</v>
      </c>
      <c r="B305" s="24">
        <v>4364.3</v>
      </c>
      <c r="C305" s="24">
        <v>4453.8</v>
      </c>
      <c r="D305" s="24">
        <v>4337.7</v>
      </c>
      <c r="E305" s="24">
        <v>4383.0</v>
      </c>
      <c r="F305" s="25">
        <v>2.4677E9</v>
      </c>
      <c r="G305" s="25">
        <v>2.01568E10</v>
      </c>
      <c r="H305" s="3">
        <f t="shared" si="1"/>
        <v>144969.2399</v>
      </c>
    </row>
    <row r="306" ht="15.75" customHeight="1">
      <c r="A306" s="23">
        <v>38660.0</v>
      </c>
      <c r="B306" s="24">
        <v>4383.0</v>
      </c>
      <c r="C306" s="24">
        <v>4533.5</v>
      </c>
      <c r="D306" s="24">
        <v>4383.0</v>
      </c>
      <c r="E306" s="24">
        <v>4519.5</v>
      </c>
      <c r="F306" s="25">
        <v>1.9194E9</v>
      </c>
      <c r="G306" s="25">
        <v>1.46682E10</v>
      </c>
      <c r="H306" s="3">
        <f t="shared" si="1"/>
        <v>149484.0246</v>
      </c>
    </row>
    <row r="307" ht="15.75" customHeight="1">
      <c r="A307" s="23">
        <v>38667.0</v>
      </c>
      <c r="B307" s="24">
        <v>4519.5</v>
      </c>
      <c r="C307" s="24">
        <v>4583.1</v>
      </c>
      <c r="D307" s="24">
        <v>4497.4</v>
      </c>
      <c r="E307" s="24">
        <v>4574.3</v>
      </c>
      <c r="F307" s="25">
        <v>2.1322E9</v>
      </c>
      <c r="G307" s="25">
        <v>1.58189E10</v>
      </c>
      <c r="H307" s="3">
        <f t="shared" si="1"/>
        <v>151296.5535</v>
      </c>
    </row>
    <row r="308" ht="15.75" customHeight="1">
      <c r="A308" s="23">
        <v>38674.0</v>
      </c>
      <c r="B308" s="24">
        <v>4574.3</v>
      </c>
      <c r="C308" s="24">
        <v>4671.1</v>
      </c>
      <c r="D308" s="24">
        <v>4574.3</v>
      </c>
      <c r="E308" s="24">
        <v>4671.1</v>
      </c>
      <c r="F308" s="25">
        <v>2.42E9</v>
      </c>
      <c r="G308" s="25">
        <v>1.63469E10</v>
      </c>
      <c r="H308" s="3">
        <f t="shared" si="1"/>
        <v>154498.247</v>
      </c>
    </row>
    <row r="309" ht="15.75" customHeight="1">
      <c r="A309" s="23">
        <v>38681.0</v>
      </c>
      <c r="B309" s="24">
        <v>4671.1</v>
      </c>
      <c r="C309" s="24">
        <v>4680.1</v>
      </c>
      <c r="D309" s="24">
        <v>4614.0</v>
      </c>
      <c r="E309" s="24">
        <v>4648.8</v>
      </c>
      <c r="F309" s="25">
        <v>2.6148E9</v>
      </c>
      <c r="G309" s="25">
        <v>1.89863E10</v>
      </c>
      <c r="H309" s="3">
        <f t="shared" si="1"/>
        <v>153760.6668</v>
      </c>
    </row>
    <row r="310" ht="15.75" customHeight="1">
      <c r="A310" s="23">
        <v>38688.0</v>
      </c>
      <c r="B310" s="24">
        <v>4648.8</v>
      </c>
      <c r="C310" s="24">
        <v>4677.6</v>
      </c>
      <c r="D310" s="24">
        <v>4577.4</v>
      </c>
      <c r="E310" s="24">
        <v>4623.5</v>
      </c>
      <c r="F310" s="25">
        <v>2.9455E9</v>
      </c>
      <c r="G310" s="25">
        <v>1.88883E10</v>
      </c>
      <c r="H310" s="3">
        <f t="shared" si="1"/>
        <v>152923.8606</v>
      </c>
    </row>
    <row r="311" ht="15.75" customHeight="1">
      <c r="A311" s="23">
        <v>38695.0</v>
      </c>
      <c r="B311" s="24">
        <v>4623.5</v>
      </c>
      <c r="C311" s="24">
        <v>4636.2</v>
      </c>
      <c r="D311" s="24">
        <v>4549.3</v>
      </c>
      <c r="E311" s="24">
        <v>4580.1</v>
      </c>
      <c r="F311" s="25">
        <v>2.0412E9</v>
      </c>
      <c r="G311" s="25">
        <v>1.43725E10</v>
      </c>
      <c r="H311" s="3">
        <f t="shared" si="1"/>
        <v>151488.3906</v>
      </c>
    </row>
    <row r="312" ht="15.75" customHeight="1">
      <c r="A312" s="23">
        <v>38702.0</v>
      </c>
      <c r="B312" s="24">
        <v>4580.1</v>
      </c>
      <c r="C312" s="24">
        <v>4645.6</v>
      </c>
      <c r="D312" s="24">
        <v>4580.1</v>
      </c>
      <c r="E312" s="24">
        <v>4644.0</v>
      </c>
      <c r="F312" s="25">
        <v>2.0389E9</v>
      </c>
      <c r="G312" s="25">
        <v>1.48763E10</v>
      </c>
      <c r="H312" s="3">
        <f t="shared" si="1"/>
        <v>153601.9051</v>
      </c>
    </row>
    <row r="313" ht="15.75" customHeight="1">
      <c r="A313" s="23">
        <v>38709.0</v>
      </c>
      <c r="B313" s="24">
        <v>4644.0</v>
      </c>
      <c r="C313" s="24">
        <v>4732.9</v>
      </c>
      <c r="D313" s="24">
        <v>4638.2</v>
      </c>
      <c r="E313" s="24">
        <v>4727.7</v>
      </c>
      <c r="F313" s="25">
        <v>1.8748E9</v>
      </c>
      <c r="G313" s="25">
        <v>1.7007E10</v>
      </c>
      <c r="H313" s="3">
        <f t="shared" si="1"/>
        <v>156370.3116</v>
      </c>
    </row>
    <row r="314" ht="15.75" customHeight="1">
      <c r="A314" s="23">
        <v>38716.0</v>
      </c>
      <c r="B314" s="24">
        <v>4727.7</v>
      </c>
      <c r="C314" s="24">
        <v>4775.8</v>
      </c>
      <c r="D314" s="24">
        <v>4723.1</v>
      </c>
      <c r="E314" s="24">
        <v>4763.4</v>
      </c>
      <c r="F314" s="25">
        <v>5.466E8</v>
      </c>
      <c r="G314" s="25">
        <v>3.7476E9</v>
      </c>
      <c r="H314" s="3">
        <f t="shared" si="1"/>
        <v>157551.1014</v>
      </c>
    </row>
    <row r="315" ht="15.75" customHeight="1">
      <c r="A315" s="23">
        <v>38723.0</v>
      </c>
      <c r="B315" s="24">
        <v>4763.4</v>
      </c>
      <c r="C315" s="24">
        <v>4831.0</v>
      </c>
      <c r="D315" s="24">
        <v>4751.1</v>
      </c>
      <c r="E315" s="24">
        <v>4791.1</v>
      </c>
      <c r="F315" s="25">
        <v>1.1726E9</v>
      </c>
      <c r="G315" s="25">
        <v>8.7209E9</v>
      </c>
      <c r="H315" s="3">
        <f t="shared" si="1"/>
        <v>158467.2885</v>
      </c>
    </row>
    <row r="316" ht="15.75" customHeight="1">
      <c r="A316" s="23">
        <v>38730.0</v>
      </c>
      <c r="B316" s="24">
        <v>4791.1</v>
      </c>
      <c r="C316" s="24">
        <v>4857.8</v>
      </c>
      <c r="D316" s="24">
        <v>4791.1</v>
      </c>
      <c r="E316" s="24">
        <v>4836.7</v>
      </c>
      <c r="F316" s="25">
        <v>1.8918E9</v>
      </c>
      <c r="G316" s="25">
        <v>1.41926E10</v>
      </c>
      <c r="H316" s="3">
        <f t="shared" si="1"/>
        <v>159975.5242</v>
      </c>
    </row>
    <row r="317" ht="15.75" customHeight="1">
      <c r="A317" s="23">
        <v>38737.0</v>
      </c>
      <c r="B317" s="24">
        <v>4836.7</v>
      </c>
      <c r="C317" s="24">
        <v>4869.3</v>
      </c>
      <c r="D317" s="24">
        <v>4778.0</v>
      </c>
      <c r="E317" s="24">
        <v>4854.4</v>
      </c>
      <c r="F317" s="25">
        <v>2.3357E9</v>
      </c>
      <c r="G317" s="25">
        <v>1.72526E10</v>
      </c>
      <c r="H317" s="3">
        <f t="shared" si="1"/>
        <v>160560.9579</v>
      </c>
    </row>
    <row r="318" ht="15.75" customHeight="1">
      <c r="A318" s="23">
        <v>38744.0</v>
      </c>
      <c r="B318" s="24">
        <v>4854.4</v>
      </c>
      <c r="C318" s="24">
        <v>4923.1</v>
      </c>
      <c r="D318" s="24">
        <v>4773.0</v>
      </c>
      <c r="E318" s="24">
        <v>4919.3</v>
      </c>
      <c r="F318" s="25">
        <v>1.8641E9</v>
      </c>
      <c r="G318" s="25">
        <v>1.63558E10</v>
      </c>
      <c r="H318" s="3">
        <f t="shared" si="1"/>
        <v>162707.5478</v>
      </c>
    </row>
    <row r="319" ht="15.75" customHeight="1">
      <c r="A319" s="23">
        <v>38751.0</v>
      </c>
      <c r="B319" s="24">
        <v>4919.3</v>
      </c>
      <c r="C319" s="24">
        <v>4982.6</v>
      </c>
      <c r="D319" s="24">
        <v>4844.9</v>
      </c>
      <c r="E319" s="24">
        <v>4883.8</v>
      </c>
      <c r="F319" s="25">
        <v>2.4954E9</v>
      </c>
      <c r="G319" s="25">
        <v>2.03046E10</v>
      </c>
      <c r="H319" s="3">
        <f t="shared" si="1"/>
        <v>161533.373</v>
      </c>
    </row>
    <row r="320" ht="15.75" customHeight="1">
      <c r="A320" s="23">
        <v>38758.0</v>
      </c>
      <c r="B320" s="24">
        <v>4883.8</v>
      </c>
      <c r="C320" s="24">
        <v>4923.7</v>
      </c>
      <c r="D320" s="24">
        <v>4824.9</v>
      </c>
      <c r="E320" s="24">
        <v>4871.5</v>
      </c>
      <c r="F320" s="25">
        <v>2.3991E9</v>
      </c>
      <c r="G320" s="25">
        <v>1.91057E10</v>
      </c>
      <c r="H320" s="3">
        <f t="shared" si="1"/>
        <v>161126.5463</v>
      </c>
    </row>
    <row r="321" ht="15.75" customHeight="1">
      <c r="A321" s="23">
        <v>38765.0</v>
      </c>
      <c r="B321" s="24">
        <v>4871.5</v>
      </c>
      <c r="C321" s="24">
        <v>4895.6</v>
      </c>
      <c r="D321" s="24">
        <v>4790.8</v>
      </c>
      <c r="E321" s="24">
        <v>4799.9</v>
      </c>
      <c r="F321" s="25">
        <v>2.5038E9</v>
      </c>
      <c r="G321" s="25">
        <v>1.99972E10</v>
      </c>
      <c r="H321" s="3">
        <f t="shared" si="1"/>
        <v>158758.3515</v>
      </c>
    </row>
    <row r="322" ht="15.75" customHeight="1">
      <c r="A322" s="23">
        <v>38772.0</v>
      </c>
      <c r="B322" s="24">
        <v>4799.9</v>
      </c>
      <c r="C322" s="24">
        <v>4929.2</v>
      </c>
      <c r="D322" s="24">
        <v>4799.9</v>
      </c>
      <c r="E322" s="24">
        <v>4893.4</v>
      </c>
      <c r="F322" s="25">
        <v>2.8362E9</v>
      </c>
      <c r="G322" s="25">
        <v>2.55178E10</v>
      </c>
      <c r="H322" s="3">
        <f t="shared" si="1"/>
        <v>161850.8963</v>
      </c>
    </row>
    <row r="323" ht="15.75" customHeight="1">
      <c r="A323" s="23">
        <v>38779.0</v>
      </c>
      <c r="B323" s="24">
        <v>4893.4</v>
      </c>
      <c r="C323" s="24">
        <v>4939.5</v>
      </c>
      <c r="D323" s="24">
        <v>4849.1</v>
      </c>
      <c r="E323" s="24">
        <v>4898.5</v>
      </c>
      <c r="F323" s="25">
        <v>2.6946E9</v>
      </c>
      <c r="G323" s="25">
        <v>2.0206E10</v>
      </c>
      <c r="H323" s="3">
        <f t="shared" si="1"/>
        <v>162019.5806</v>
      </c>
    </row>
    <row r="324" ht="15.75" customHeight="1">
      <c r="A324" s="23">
        <v>38786.0</v>
      </c>
      <c r="B324" s="24">
        <v>4898.5</v>
      </c>
      <c r="C324" s="24">
        <v>4904.8</v>
      </c>
      <c r="D324" s="24">
        <v>4844.8</v>
      </c>
      <c r="E324" s="24">
        <v>4888.1</v>
      </c>
      <c r="F324" s="25">
        <v>2.2932E9</v>
      </c>
      <c r="G324" s="25">
        <v>1.69773E10</v>
      </c>
      <c r="H324" s="3">
        <f t="shared" si="1"/>
        <v>161675.597</v>
      </c>
    </row>
    <row r="325" ht="15.75" customHeight="1">
      <c r="A325" s="23">
        <v>38793.0</v>
      </c>
      <c r="B325" s="24">
        <v>4888.1</v>
      </c>
      <c r="C325" s="24">
        <v>4997.8</v>
      </c>
      <c r="D325" s="24">
        <v>4888.1</v>
      </c>
      <c r="E325" s="24">
        <v>4971.7</v>
      </c>
      <c r="F325" s="25">
        <v>2.7387E9</v>
      </c>
      <c r="G325" s="25">
        <v>2.08881E10</v>
      </c>
      <c r="H325" s="3">
        <f t="shared" si="1"/>
        <v>164440.6959</v>
      </c>
    </row>
    <row r="326" ht="15.75" customHeight="1">
      <c r="A326" s="23">
        <v>38800.0</v>
      </c>
      <c r="B326" s="24">
        <v>4971.7</v>
      </c>
      <c r="C326" s="24">
        <v>5051.9</v>
      </c>
      <c r="D326" s="24">
        <v>4971.7</v>
      </c>
      <c r="E326" s="24">
        <v>5040.1</v>
      </c>
      <c r="F326" s="25">
        <v>2.5418E9</v>
      </c>
      <c r="G326" s="25">
        <v>1.758E10</v>
      </c>
      <c r="H326" s="3">
        <f t="shared" si="1"/>
        <v>166703.0495</v>
      </c>
    </row>
    <row r="327" ht="15.75" customHeight="1">
      <c r="A327" s="23">
        <v>38807.0</v>
      </c>
      <c r="B327" s="24">
        <v>5040.1</v>
      </c>
      <c r="C327" s="24">
        <v>5139.5</v>
      </c>
      <c r="D327" s="24">
        <v>5040.1</v>
      </c>
      <c r="E327" s="24">
        <v>5129.7</v>
      </c>
      <c r="F327" s="25">
        <v>3.2361E9</v>
      </c>
      <c r="G327" s="25">
        <v>2.56239E10</v>
      </c>
      <c r="H327" s="3">
        <f t="shared" si="1"/>
        <v>169666.6005</v>
      </c>
    </row>
    <row r="328" ht="15.75" customHeight="1">
      <c r="A328" s="23">
        <v>38814.0</v>
      </c>
      <c r="B328" s="24">
        <v>5129.7</v>
      </c>
      <c r="C328" s="24">
        <v>5248.8</v>
      </c>
      <c r="D328" s="24">
        <v>5122.1</v>
      </c>
      <c r="E328" s="24">
        <v>5232.9</v>
      </c>
      <c r="F328" s="25">
        <v>2.5338E9</v>
      </c>
      <c r="G328" s="25">
        <v>2.13423E10</v>
      </c>
      <c r="H328" s="3">
        <f t="shared" si="1"/>
        <v>173079.9762</v>
      </c>
    </row>
    <row r="329" ht="15.75" customHeight="1">
      <c r="A329" s="23">
        <v>38820.0</v>
      </c>
      <c r="B329" s="24">
        <v>5232.9</v>
      </c>
      <c r="C329" s="24">
        <v>5239.8</v>
      </c>
      <c r="D329" s="24">
        <v>5158.9</v>
      </c>
      <c r="E329" s="24">
        <v>5175.7</v>
      </c>
      <c r="F329" s="25">
        <v>1.6587E9</v>
      </c>
      <c r="G329" s="25">
        <v>1.33903E10</v>
      </c>
      <c r="H329" s="3">
        <f t="shared" si="1"/>
        <v>171188.0664</v>
      </c>
    </row>
    <row r="330" ht="15.75" customHeight="1">
      <c r="A330" s="23">
        <v>38828.0</v>
      </c>
      <c r="B330" s="24">
        <v>5175.7</v>
      </c>
      <c r="C330" s="24">
        <v>5301.8</v>
      </c>
      <c r="D330" s="24">
        <v>5175.7</v>
      </c>
      <c r="E330" s="24">
        <v>5250.1</v>
      </c>
      <c r="F330" s="25">
        <v>2.3474E9</v>
      </c>
      <c r="G330" s="25">
        <v>1.86792E10</v>
      </c>
      <c r="H330" s="3">
        <f t="shared" si="1"/>
        <v>173648.8721</v>
      </c>
    </row>
    <row r="331" ht="15.75" customHeight="1">
      <c r="A331" s="23">
        <v>38835.0</v>
      </c>
      <c r="B331" s="24">
        <v>5250.1</v>
      </c>
      <c r="C331" s="24">
        <v>5336.6</v>
      </c>
      <c r="D331" s="24">
        <v>5246.6</v>
      </c>
      <c r="E331" s="24">
        <v>5258.8</v>
      </c>
      <c r="F331" s="25">
        <v>2.3252E9</v>
      </c>
      <c r="G331" s="25">
        <v>1.99437E10</v>
      </c>
      <c r="H331" s="3">
        <f t="shared" si="1"/>
        <v>173936.6276</v>
      </c>
    </row>
    <row r="332" ht="15.75" customHeight="1">
      <c r="A332" s="23">
        <v>38842.0</v>
      </c>
      <c r="B332" s="24">
        <v>5258.8</v>
      </c>
      <c r="C332" s="24">
        <v>5315.7</v>
      </c>
      <c r="D332" s="24">
        <v>5189.2</v>
      </c>
      <c r="E332" s="24">
        <v>5255.4</v>
      </c>
      <c r="F332" s="25">
        <v>2.4735E9</v>
      </c>
      <c r="G332" s="25">
        <v>1.90733E10</v>
      </c>
      <c r="H332" s="3">
        <f t="shared" si="1"/>
        <v>173824.1715</v>
      </c>
    </row>
    <row r="333" ht="15.75" customHeight="1">
      <c r="A333" s="23">
        <v>38849.0</v>
      </c>
      <c r="B333" s="24">
        <v>5255.4</v>
      </c>
      <c r="C333" s="24">
        <v>5406.7</v>
      </c>
      <c r="D333" s="24">
        <v>5255.4</v>
      </c>
      <c r="E333" s="24">
        <v>5329.5</v>
      </c>
      <c r="F333" s="25">
        <v>2.529E9</v>
      </c>
      <c r="G333" s="25">
        <v>1.99762E10</v>
      </c>
      <c r="H333" s="3">
        <f t="shared" si="1"/>
        <v>176275.0546</v>
      </c>
    </row>
    <row r="334" ht="15.75" customHeight="1">
      <c r="A334" s="23">
        <v>38856.0</v>
      </c>
      <c r="B334" s="24">
        <v>5329.5</v>
      </c>
      <c r="C334" s="24">
        <v>5329.5</v>
      </c>
      <c r="D334" s="24">
        <v>5096.0</v>
      </c>
      <c r="E334" s="24">
        <v>5100.9</v>
      </c>
      <c r="F334" s="25">
        <v>2.8756E9</v>
      </c>
      <c r="G334" s="25">
        <v>2.27641E10</v>
      </c>
      <c r="H334" s="3">
        <f t="shared" si="1"/>
        <v>168714.0306</v>
      </c>
    </row>
    <row r="335" ht="15.75" customHeight="1">
      <c r="A335" s="23">
        <v>38863.0</v>
      </c>
      <c r="B335" s="24">
        <v>5100.9</v>
      </c>
      <c r="C335" s="24">
        <v>5105.4</v>
      </c>
      <c r="D335" s="24">
        <v>4976.8</v>
      </c>
      <c r="E335" s="24">
        <v>5053.7</v>
      </c>
      <c r="F335" s="25">
        <v>2.925E9</v>
      </c>
      <c r="G335" s="25">
        <v>2.51509E10</v>
      </c>
      <c r="H335" s="3">
        <f t="shared" si="1"/>
        <v>167152.8742</v>
      </c>
    </row>
    <row r="336" ht="15.75" customHeight="1">
      <c r="A336" s="23">
        <v>38870.0</v>
      </c>
      <c r="B336" s="24">
        <v>5053.7</v>
      </c>
      <c r="C336" s="24">
        <v>5110.7</v>
      </c>
      <c r="D336" s="24">
        <v>5001.7</v>
      </c>
      <c r="E336" s="24">
        <v>5077.2</v>
      </c>
      <c r="F336" s="25">
        <v>2.4301E9</v>
      </c>
      <c r="G336" s="25">
        <v>1.88219E10</v>
      </c>
      <c r="H336" s="3">
        <f t="shared" si="1"/>
        <v>167930.1449</v>
      </c>
    </row>
    <row r="337" ht="15.75" customHeight="1">
      <c r="A337" s="23">
        <v>38877.0</v>
      </c>
      <c r="B337" s="24">
        <v>5077.2</v>
      </c>
      <c r="C337" s="24">
        <v>5120.0</v>
      </c>
      <c r="D337" s="24">
        <v>4903.9</v>
      </c>
      <c r="E337" s="24">
        <v>4966.0</v>
      </c>
      <c r="F337" s="25">
        <v>2.8122E9</v>
      </c>
      <c r="G337" s="25">
        <v>2.2049E10</v>
      </c>
      <c r="H337" s="3">
        <f t="shared" si="1"/>
        <v>164252.1664</v>
      </c>
    </row>
    <row r="338" ht="15.75" customHeight="1">
      <c r="A338" s="23">
        <v>38884.0</v>
      </c>
      <c r="B338" s="24">
        <v>4966.0</v>
      </c>
      <c r="C338" s="24">
        <v>4976.6</v>
      </c>
      <c r="D338" s="24">
        <v>4758.3</v>
      </c>
      <c r="E338" s="24">
        <v>4969.0</v>
      </c>
      <c r="F338" s="25">
        <v>2.7638E9</v>
      </c>
      <c r="G338" s="25">
        <v>2.09038E10</v>
      </c>
      <c r="H338" s="3">
        <f t="shared" si="1"/>
        <v>164351.3925</v>
      </c>
    </row>
    <row r="339" ht="15.75" customHeight="1">
      <c r="A339" s="23">
        <v>38891.0</v>
      </c>
      <c r="B339" s="24">
        <v>4969.0</v>
      </c>
      <c r="C339" s="24">
        <v>5011.8</v>
      </c>
      <c r="D339" s="24">
        <v>4843.0</v>
      </c>
      <c r="E339" s="24">
        <v>4964.9</v>
      </c>
      <c r="F339" s="25">
        <v>2.4871E9</v>
      </c>
      <c r="G339" s="25">
        <v>1.73132E10</v>
      </c>
      <c r="H339" s="3">
        <f t="shared" si="1"/>
        <v>164215.7836</v>
      </c>
    </row>
    <row r="340" ht="15.75" customHeight="1">
      <c r="A340" s="23">
        <v>38898.0</v>
      </c>
      <c r="B340" s="24">
        <v>4964.9</v>
      </c>
      <c r="C340" s="24">
        <v>5113.1</v>
      </c>
      <c r="D340" s="24">
        <v>4922.6</v>
      </c>
      <c r="E340" s="24">
        <v>5073.9</v>
      </c>
      <c r="F340" s="25">
        <v>2.7672E9</v>
      </c>
      <c r="G340" s="25">
        <v>2.37715E10</v>
      </c>
      <c r="H340" s="3">
        <f t="shared" si="1"/>
        <v>167820.9962</v>
      </c>
    </row>
    <row r="341" ht="15.75" customHeight="1">
      <c r="A341" s="23">
        <v>38905.0</v>
      </c>
      <c r="B341" s="24">
        <v>5073.9</v>
      </c>
      <c r="C341" s="24">
        <v>5146.6</v>
      </c>
      <c r="D341" s="24">
        <v>5053.5</v>
      </c>
      <c r="E341" s="24">
        <v>5135.3</v>
      </c>
      <c r="F341" s="25">
        <v>2.418E9</v>
      </c>
      <c r="G341" s="25">
        <v>1.71175E10</v>
      </c>
      <c r="H341" s="3">
        <f t="shared" si="1"/>
        <v>169851.8225</v>
      </c>
    </row>
    <row r="342" ht="15.75" customHeight="1">
      <c r="A342" s="23">
        <v>38912.0</v>
      </c>
      <c r="B342" s="24">
        <v>5135.3</v>
      </c>
      <c r="C342" s="24">
        <v>5142.8</v>
      </c>
      <c r="D342" s="24">
        <v>4966.1</v>
      </c>
      <c r="E342" s="24">
        <v>4966.1</v>
      </c>
      <c r="F342" s="25">
        <v>2.3E9</v>
      </c>
      <c r="G342" s="25">
        <v>1.7388E10</v>
      </c>
      <c r="H342" s="3">
        <f t="shared" si="1"/>
        <v>164255.474</v>
      </c>
    </row>
    <row r="343" ht="15.75" customHeight="1">
      <c r="A343" s="23">
        <v>38919.0</v>
      </c>
      <c r="B343" s="24">
        <v>4966.1</v>
      </c>
      <c r="C343" s="24">
        <v>4996.5</v>
      </c>
      <c r="D343" s="24">
        <v>4899.9</v>
      </c>
      <c r="E343" s="24">
        <v>4960.6</v>
      </c>
      <c r="F343" s="25">
        <v>2.2034E9</v>
      </c>
      <c r="G343" s="25">
        <v>1.6715E10</v>
      </c>
      <c r="H343" s="3">
        <f t="shared" si="1"/>
        <v>164073.5596</v>
      </c>
    </row>
    <row r="344" ht="15.75" customHeight="1">
      <c r="A344" s="23">
        <v>38926.0</v>
      </c>
      <c r="B344" s="24">
        <v>4960.6</v>
      </c>
      <c r="C344" s="24">
        <v>5015.9</v>
      </c>
      <c r="D344" s="24">
        <v>4901.7</v>
      </c>
      <c r="E344" s="24">
        <v>4958.3</v>
      </c>
      <c r="F344" s="25">
        <v>2.5296E9</v>
      </c>
      <c r="G344" s="25">
        <v>1.95226E10</v>
      </c>
      <c r="H344" s="3">
        <f t="shared" si="1"/>
        <v>163997.4863</v>
      </c>
    </row>
    <row r="345" ht="15.75" customHeight="1">
      <c r="A345" s="23">
        <v>38933.0</v>
      </c>
      <c r="B345" s="24">
        <v>4958.3</v>
      </c>
      <c r="C345" s="24">
        <v>5027.1</v>
      </c>
      <c r="D345" s="24">
        <v>4919.5</v>
      </c>
      <c r="E345" s="24">
        <v>4956.1</v>
      </c>
      <c r="F345" s="25">
        <v>2.4639E9</v>
      </c>
      <c r="G345" s="25">
        <v>1.79283E10</v>
      </c>
      <c r="H345" s="3">
        <f t="shared" si="1"/>
        <v>163924.7205</v>
      </c>
    </row>
    <row r="346" ht="15.75" customHeight="1">
      <c r="A346" s="23">
        <v>38940.0</v>
      </c>
      <c r="B346" s="24">
        <v>4956.1</v>
      </c>
      <c r="C346" s="24">
        <v>5024.8</v>
      </c>
      <c r="D346" s="24">
        <v>4926.3</v>
      </c>
      <c r="E346" s="24">
        <v>4949.2</v>
      </c>
      <c r="F346" s="25">
        <v>2.2561E9</v>
      </c>
      <c r="G346" s="25">
        <v>1.72241E10</v>
      </c>
      <c r="H346" s="3">
        <f t="shared" si="1"/>
        <v>163696.5006</v>
      </c>
    </row>
    <row r="347" ht="15.75" customHeight="1">
      <c r="A347" s="23">
        <v>38947.0</v>
      </c>
      <c r="B347" s="24">
        <v>4949.2</v>
      </c>
      <c r="C347" s="24">
        <v>5059.1</v>
      </c>
      <c r="D347" s="24">
        <v>4927.4</v>
      </c>
      <c r="E347" s="24">
        <v>5052.5</v>
      </c>
      <c r="F347" s="25">
        <v>2.8787E9</v>
      </c>
      <c r="G347" s="25">
        <v>2.02416E10</v>
      </c>
      <c r="H347" s="3">
        <f t="shared" si="1"/>
        <v>167113.1838</v>
      </c>
    </row>
    <row r="348" ht="15.75" customHeight="1">
      <c r="A348" s="23">
        <v>38954.0</v>
      </c>
      <c r="B348" s="24">
        <v>5052.5</v>
      </c>
      <c r="C348" s="24">
        <v>5107.8</v>
      </c>
      <c r="D348" s="24">
        <v>4982.7</v>
      </c>
      <c r="E348" s="24">
        <v>5023.6</v>
      </c>
      <c r="F348" s="25">
        <v>3.2609E9</v>
      </c>
      <c r="G348" s="25">
        <v>2.40358E10</v>
      </c>
      <c r="H348" s="3">
        <f t="shared" si="1"/>
        <v>166157.3063</v>
      </c>
    </row>
    <row r="349" ht="15.75" customHeight="1">
      <c r="A349" s="23">
        <v>38961.0</v>
      </c>
      <c r="B349" s="24">
        <v>5023.6</v>
      </c>
      <c r="C349" s="24">
        <v>5121.3</v>
      </c>
      <c r="D349" s="24">
        <v>5014.3</v>
      </c>
      <c r="E349" s="24">
        <v>5097.1</v>
      </c>
      <c r="F349" s="25">
        <v>2.6755E9</v>
      </c>
      <c r="G349" s="25">
        <v>1.8831E10</v>
      </c>
      <c r="H349" s="3">
        <f t="shared" si="1"/>
        <v>168588.3442</v>
      </c>
    </row>
    <row r="350" ht="15.75" customHeight="1">
      <c r="A350" s="23">
        <v>38968.0</v>
      </c>
      <c r="B350" s="24">
        <v>5097.1</v>
      </c>
      <c r="C350" s="24">
        <v>5164.2</v>
      </c>
      <c r="D350" s="24">
        <v>5061.4</v>
      </c>
      <c r="E350" s="24">
        <v>5098.3</v>
      </c>
      <c r="F350" s="25">
        <v>2.4195E9</v>
      </c>
      <c r="G350" s="25">
        <v>1.72459E10</v>
      </c>
      <c r="H350" s="3">
        <f t="shared" si="1"/>
        <v>168628.0347</v>
      </c>
    </row>
    <row r="351" ht="15.75" customHeight="1">
      <c r="A351" s="23">
        <v>38975.0</v>
      </c>
      <c r="B351" s="24">
        <v>5098.3</v>
      </c>
      <c r="C351" s="24">
        <v>5099.5</v>
      </c>
      <c r="D351" s="24">
        <v>4961.3</v>
      </c>
      <c r="E351" s="24">
        <v>5036.4</v>
      </c>
      <c r="F351" s="25">
        <v>2.7768E9</v>
      </c>
      <c r="G351" s="25">
        <v>2.16033E10</v>
      </c>
      <c r="H351" s="3">
        <f t="shared" si="1"/>
        <v>166580.6708</v>
      </c>
    </row>
    <row r="352" ht="15.75" customHeight="1">
      <c r="A352" s="23">
        <v>38982.0</v>
      </c>
      <c r="B352" s="24">
        <v>5036.4</v>
      </c>
      <c r="C352" s="24">
        <v>5098.4</v>
      </c>
      <c r="D352" s="24">
        <v>4964.2</v>
      </c>
      <c r="E352" s="24">
        <v>4983.2</v>
      </c>
      <c r="F352" s="25">
        <v>3.374E9</v>
      </c>
      <c r="G352" s="25">
        <v>2.46711E10</v>
      </c>
      <c r="H352" s="3">
        <f t="shared" si="1"/>
        <v>164821.0624</v>
      </c>
    </row>
    <row r="353" ht="15.75" customHeight="1">
      <c r="A353" s="23">
        <v>38989.0</v>
      </c>
      <c r="B353" s="24">
        <v>4983.2</v>
      </c>
      <c r="C353" s="24">
        <v>5155.3</v>
      </c>
      <c r="D353" s="24">
        <v>4963.4</v>
      </c>
      <c r="E353" s="24">
        <v>5154.1</v>
      </c>
      <c r="F353" s="25">
        <v>3.2748E9</v>
      </c>
      <c r="G353" s="25">
        <v>2.29479E10</v>
      </c>
      <c r="H353" s="3">
        <f t="shared" si="1"/>
        <v>170473.6389</v>
      </c>
    </row>
    <row r="354" ht="15.75" customHeight="1">
      <c r="A354" s="23">
        <v>38996.0</v>
      </c>
      <c r="B354" s="24">
        <v>5154.1</v>
      </c>
      <c r="C354" s="24">
        <v>5229.3</v>
      </c>
      <c r="D354" s="24">
        <v>5142.7</v>
      </c>
      <c r="E354" s="24">
        <v>5220.7</v>
      </c>
      <c r="F354" s="25">
        <v>2.1637E9</v>
      </c>
      <c r="G354" s="25">
        <v>1.60615E10</v>
      </c>
      <c r="H354" s="3">
        <f t="shared" si="1"/>
        <v>172676.457</v>
      </c>
    </row>
    <row r="355" ht="15.75" customHeight="1">
      <c r="A355" s="23">
        <v>39003.0</v>
      </c>
      <c r="B355" s="24">
        <v>5220.7</v>
      </c>
      <c r="C355" s="24">
        <v>5314.5</v>
      </c>
      <c r="D355" s="24">
        <v>5173.1</v>
      </c>
      <c r="E355" s="24">
        <v>5290.0</v>
      </c>
      <c r="F355" s="25">
        <v>2.6584E9</v>
      </c>
      <c r="G355" s="25">
        <v>1.92832E10</v>
      </c>
      <c r="H355" s="3">
        <f t="shared" si="1"/>
        <v>174968.5784</v>
      </c>
    </row>
    <row r="356" ht="15.75" customHeight="1">
      <c r="A356" s="23">
        <v>39010.0</v>
      </c>
      <c r="B356" s="24">
        <v>5290.0</v>
      </c>
      <c r="C356" s="24">
        <v>5335.4</v>
      </c>
      <c r="D356" s="24">
        <v>5264.6</v>
      </c>
      <c r="E356" s="24">
        <v>5335.4</v>
      </c>
      <c r="F356" s="25">
        <v>3.2342E9</v>
      </c>
      <c r="G356" s="25">
        <v>2.35806E10</v>
      </c>
      <c r="H356" s="3">
        <f t="shared" si="1"/>
        <v>176470.1991</v>
      </c>
    </row>
    <row r="357" ht="15.75" customHeight="1">
      <c r="A357" s="23">
        <v>39017.0</v>
      </c>
      <c r="B357" s="24">
        <v>5335.4</v>
      </c>
      <c r="C357" s="24">
        <v>5391.1</v>
      </c>
      <c r="D357" s="24">
        <v>5315.9</v>
      </c>
      <c r="E357" s="24">
        <v>5358.5</v>
      </c>
      <c r="F357" s="25">
        <v>3.2197E9</v>
      </c>
      <c r="G357" s="25">
        <v>2.63967E10</v>
      </c>
      <c r="H357" s="3">
        <f t="shared" si="1"/>
        <v>177234.2396</v>
      </c>
    </row>
    <row r="358" ht="15.75" customHeight="1">
      <c r="A358" s="23">
        <v>39024.0</v>
      </c>
      <c r="B358" s="24">
        <v>5358.5</v>
      </c>
      <c r="C358" s="24">
        <v>5432.5</v>
      </c>
      <c r="D358" s="24">
        <v>5348.8</v>
      </c>
      <c r="E358" s="24">
        <v>5432.0</v>
      </c>
      <c r="F358" s="25">
        <v>2.8007E9</v>
      </c>
      <c r="G358" s="25">
        <v>2.22651E10</v>
      </c>
      <c r="H358" s="3">
        <f t="shared" si="1"/>
        <v>179665.2775</v>
      </c>
    </row>
    <row r="359" ht="15.75" customHeight="1">
      <c r="A359" s="23">
        <v>39031.0</v>
      </c>
      <c r="B359" s="24">
        <v>5432.0</v>
      </c>
      <c r="C359" s="24">
        <v>5496.3</v>
      </c>
      <c r="D359" s="24">
        <v>5406.3</v>
      </c>
      <c r="E359" s="24">
        <v>5436.7</v>
      </c>
      <c r="F359" s="25">
        <v>2.5137E9</v>
      </c>
      <c r="G359" s="25">
        <v>2.08793E10</v>
      </c>
      <c r="H359" s="3">
        <f t="shared" si="1"/>
        <v>179820.7316</v>
      </c>
    </row>
    <row r="360" ht="15.75" customHeight="1">
      <c r="A360" s="23">
        <v>39038.0</v>
      </c>
      <c r="B360" s="24">
        <v>5436.7</v>
      </c>
      <c r="C360" s="24">
        <v>5462.0</v>
      </c>
      <c r="D360" s="24">
        <v>5356.9</v>
      </c>
      <c r="E360" s="24">
        <v>5419.7</v>
      </c>
      <c r="F360" s="25">
        <v>2.766E9</v>
      </c>
      <c r="G360" s="25">
        <v>2.26008E10</v>
      </c>
      <c r="H360" s="3">
        <f t="shared" si="1"/>
        <v>179258.4508</v>
      </c>
    </row>
    <row r="361" ht="15.75" customHeight="1">
      <c r="A361" s="23">
        <v>39045.0</v>
      </c>
      <c r="B361" s="24">
        <v>5419.7</v>
      </c>
      <c r="C361" s="24">
        <v>5473.8</v>
      </c>
      <c r="D361" s="24">
        <v>5322.4</v>
      </c>
      <c r="E361" s="24">
        <v>5453.6</v>
      </c>
      <c r="F361" s="25">
        <v>3.872E9</v>
      </c>
      <c r="G361" s="25">
        <v>2.89226E10</v>
      </c>
      <c r="H361" s="3">
        <f t="shared" si="1"/>
        <v>180379.705</v>
      </c>
    </row>
    <row r="362" ht="15.75" customHeight="1">
      <c r="A362" s="23">
        <v>39052.0</v>
      </c>
      <c r="B362" s="24">
        <v>5453.6</v>
      </c>
      <c r="C362" s="24">
        <v>5495.7</v>
      </c>
      <c r="D362" s="24">
        <v>5368.3</v>
      </c>
      <c r="E362" s="24">
        <v>5427.9</v>
      </c>
      <c r="F362" s="25">
        <v>3.4078E9</v>
      </c>
      <c r="G362" s="25">
        <v>2.35105E10</v>
      </c>
      <c r="H362" s="3">
        <f t="shared" si="1"/>
        <v>179529.6686</v>
      </c>
    </row>
    <row r="363" ht="15.75" customHeight="1">
      <c r="A363" s="23">
        <v>39059.0</v>
      </c>
      <c r="B363" s="24">
        <v>5427.9</v>
      </c>
      <c r="C363" s="24">
        <v>5471.6</v>
      </c>
      <c r="D363" s="24">
        <v>5411.0</v>
      </c>
      <c r="E363" s="24">
        <v>5425.8</v>
      </c>
      <c r="F363" s="25">
        <v>3.2141E9</v>
      </c>
      <c r="G363" s="25">
        <v>2.21364E10</v>
      </c>
      <c r="H363" s="3">
        <f t="shared" si="1"/>
        <v>179460.2104</v>
      </c>
    </row>
    <row r="364" ht="15.75" customHeight="1">
      <c r="A364" s="23">
        <v>39066.0</v>
      </c>
      <c r="B364" s="24">
        <v>5425.8</v>
      </c>
      <c r="C364" s="24">
        <v>5587.4</v>
      </c>
      <c r="D364" s="24">
        <v>5425.8</v>
      </c>
      <c r="E364" s="24">
        <v>5575.4</v>
      </c>
      <c r="F364" s="25">
        <v>3.1761E9</v>
      </c>
      <c r="G364" s="25">
        <v>2.17931E10</v>
      </c>
      <c r="H364" s="3">
        <f t="shared" si="1"/>
        <v>184408.2821</v>
      </c>
    </row>
    <row r="365" ht="15.75" customHeight="1">
      <c r="A365" s="23">
        <v>39073.0</v>
      </c>
      <c r="B365" s="24">
        <v>5575.4</v>
      </c>
      <c r="C365" s="24">
        <v>5618.4</v>
      </c>
      <c r="D365" s="24">
        <v>5557.1</v>
      </c>
      <c r="E365" s="24">
        <v>5603.7</v>
      </c>
      <c r="F365" s="25">
        <v>3.692E9</v>
      </c>
      <c r="G365" s="25">
        <v>3.15348E10</v>
      </c>
      <c r="H365" s="3">
        <f t="shared" si="1"/>
        <v>185344.3143</v>
      </c>
    </row>
    <row r="366" ht="15.75" customHeight="1">
      <c r="A366" s="23">
        <v>39080.0</v>
      </c>
      <c r="B366" s="24">
        <v>5603.7</v>
      </c>
      <c r="C366" s="24">
        <v>5684.4</v>
      </c>
      <c r="D366" s="24">
        <v>5600.8</v>
      </c>
      <c r="E366" s="24">
        <v>5669.9</v>
      </c>
      <c r="F366" s="25">
        <v>7.362E8</v>
      </c>
      <c r="G366" s="25">
        <v>4.9732E9</v>
      </c>
      <c r="H366" s="3">
        <f t="shared" si="1"/>
        <v>187533.9022</v>
      </c>
    </row>
    <row r="367" ht="15.75" customHeight="1">
      <c r="A367" s="23">
        <v>39087.0</v>
      </c>
      <c r="B367" s="24">
        <v>5669.9</v>
      </c>
      <c r="C367" s="24">
        <v>5698.2</v>
      </c>
      <c r="D367" s="24">
        <v>5565.2</v>
      </c>
      <c r="E367" s="24">
        <v>5572.0</v>
      </c>
      <c r="F367" s="25">
        <v>1.5359E9</v>
      </c>
      <c r="G367" s="25">
        <v>1.25265E10</v>
      </c>
      <c r="H367" s="3">
        <f t="shared" si="1"/>
        <v>184295.8259</v>
      </c>
    </row>
    <row r="368" ht="15.75" customHeight="1">
      <c r="A368" s="23">
        <v>39094.0</v>
      </c>
      <c r="B368" s="24">
        <v>5572.1</v>
      </c>
      <c r="C368" s="24">
        <v>5638.8</v>
      </c>
      <c r="D368" s="24">
        <v>5499.0</v>
      </c>
      <c r="E368" s="24">
        <v>5638.8</v>
      </c>
      <c r="F368" s="25">
        <v>3.129E9</v>
      </c>
      <c r="G368" s="25">
        <v>2.25308E10</v>
      </c>
      <c r="H368" s="3">
        <f t="shared" si="1"/>
        <v>186505.259</v>
      </c>
    </row>
    <row r="369" ht="15.75" customHeight="1">
      <c r="A369" s="23">
        <v>39101.0</v>
      </c>
      <c r="B369" s="24">
        <v>5638.8</v>
      </c>
      <c r="C369" s="24">
        <v>5705.4</v>
      </c>
      <c r="D369" s="24">
        <v>5633.2</v>
      </c>
      <c r="E369" s="24">
        <v>5673.1</v>
      </c>
      <c r="F369" s="25">
        <v>2.7675E9</v>
      </c>
      <c r="G369" s="25">
        <v>2.05329E10</v>
      </c>
      <c r="H369" s="3">
        <f t="shared" si="1"/>
        <v>187639.7433</v>
      </c>
    </row>
    <row r="370" ht="15.75" customHeight="1">
      <c r="A370" s="23">
        <v>39107.0</v>
      </c>
      <c r="B370" s="24">
        <v>5673.1</v>
      </c>
      <c r="C370" s="24">
        <v>5802.1</v>
      </c>
      <c r="D370" s="24">
        <v>5673.1</v>
      </c>
      <c r="E370" s="24">
        <v>5769.9</v>
      </c>
      <c r="F370" s="25">
        <v>2.516E9</v>
      </c>
      <c r="G370" s="25">
        <v>2.21272E10</v>
      </c>
      <c r="H370" s="3">
        <f t="shared" si="1"/>
        <v>190841.4368</v>
      </c>
    </row>
    <row r="371" ht="15.75" customHeight="1">
      <c r="A371" s="23">
        <v>39115.0</v>
      </c>
      <c r="B371" s="24">
        <v>5769.9</v>
      </c>
      <c r="C371" s="24">
        <v>5841.3</v>
      </c>
      <c r="D371" s="24">
        <v>5752.6</v>
      </c>
      <c r="E371" s="24">
        <v>5831.5</v>
      </c>
      <c r="F371" s="25">
        <v>3.3739E9</v>
      </c>
      <c r="G371" s="25">
        <v>2.62636E10</v>
      </c>
      <c r="H371" s="3">
        <f t="shared" si="1"/>
        <v>192878.8781</v>
      </c>
    </row>
    <row r="372" ht="15.75" customHeight="1">
      <c r="A372" s="23">
        <v>39122.0</v>
      </c>
      <c r="B372" s="24">
        <v>5831.5</v>
      </c>
      <c r="C372" s="24">
        <v>5927.2</v>
      </c>
      <c r="D372" s="24">
        <v>5801.4</v>
      </c>
      <c r="E372" s="24">
        <v>5927.2</v>
      </c>
      <c r="F372" s="25">
        <v>3.3712E9</v>
      </c>
      <c r="G372" s="25">
        <v>2.82488E10</v>
      </c>
      <c r="H372" s="3">
        <f t="shared" si="1"/>
        <v>196044.1887</v>
      </c>
    </row>
    <row r="373" ht="15.75" customHeight="1">
      <c r="A373" s="23">
        <v>39129.0</v>
      </c>
      <c r="B373" s="24">
        <v>5927.2</v>
      </c>
      <c r="C373" s="24">
        <v>6000.0</v>
      </c>
      <c r="D373" s="24">
        <v>5905.4</v>
      </c>
      <c r="E373" s="24">
        <v>5953.7</v>
      </c>
      <c r="F373" s="25">
        <v>3.1511E9</v>
      </c>
      <c r="G373" s="25">
        <v>2.51603E10</v>
      </c>
      <c r="H373" s="3">
        <f t="shared" si="1"/>
        <v>196920.6853</v>
      </c>
    </row>
    <row r="374" ht="15.75" customHeight="1">
      <c r="A374" s="23">
        <v>39136.0</v>
      </c>
      <c r="B374" s="24">
        <v>5953.7</v>
      </c>
      <c r="C374" s="24">
        <v>6052.1</v>
      </c>
      <c r="D374" s="24">
        <v>5950.5</v>
      </c>
      <c r="E374" s="24">
        <v>6036.1</v>
      </c>
      <c r="F374" s="25">
        <v>3.3119E9</v>
      </c>
      <c r="G374" s="25">
        <v>2.94173E10</v>
      </c>
      <c r="H374" s="3">
        <f t="shared" si="1"/>
        <v>199646.0938</v>
      </c>
    </row>
    <row r="375" ht="15.75" customHeight="1">
      <c r="A375" s="23">
        <v>39143.0</v>
      </c>
      <c r="B375" s="24">
        <v>6036.1</v>
      </c>
      <c r="C375" s="24">
        <v>6044.0</v>
      </c>
      <c r="D375" s="24">
        <v>5780.9</v>
      </c>
      <c r="E375" s="24">
        <v>5786.0</v>
      </c>
      <c r="F375" s="25">
        <v>3.661E9</v>
      </c>
      <c r="G375" s="25">
        <v>3.06515E10</v>
      </c>
      <c r="H375" s="3">
        <f t="shared" si="1"/>
        <v>191373.9499</v>
      </c>
    </row>
    <row r="376" ht="15.75" customHeight="1">
      <c r="A376" s="23">
        <v>39150.0</v>
      </c>
      <c r="B376" s="24">
        <v>5786.0</v>
      </c>
      <c r="C376" s="24">
        <v>5852.6</v>
      </c>
      <c r="D376" s="24">
        <v>5641.1</v>
      </c>
      <c r="E376" s="24">
        <v>5830.2</v>
      </c>
      <c r="F376" s="25">
        <v>3.4824E9</v>
      </c>
      <c r="G376" s="25">
        <v>2.87795E10</v>
      </c>
      <c r="H376" s="3">
        <f t="shared" si="1"/>
        <v>192835.8801</v>
      </c>
    </row>
    <row r="377" ht="15.75" customHeight="1">
      <c r="A377" s="23">
        <v>39157.0</v>
      </c>
      <c r="B377" s="24">
        <v>5830.2</v>
      </c>
      <c r="C377" s="24">
        <v>5917.7</v>
      </c>
      <c r="D377" s="24">
        <v>5741.9</v>
      </c>
      <c r="E377" s="24">
        <v>5836.3</v>
      </c>
      <c r="F377" s="25">
        <v>3.3938E9</v>
      </c>
      <c r="G377" s="25">
        <v>2.75659E10</v>
      </c>
      <c r="H377" s="3">
        <f t="shared" si="1"/>
        <v>193037.6397</v>
      </c>
    </row>
    <row r="378" ht="15.75" customHeight="1">
      <c r="A378" s="23">
        <v>39164.0</v>
      </c>
      <c r="B378" s="24">
        <v>5836.3</v>
      </c>
      <c r="C378" s="24">
        <v>5968.1</v>
      </c>
      <c r="D378" s="24">
        <v>5818.6</v>
      </c>
      <c r="E378" s="24">
        <v>5952.3</v>
      </c>
      <c r="F378" s="25">
        <v>2.7267E9</v>
      </c>
      <c r="G378" s="25">
        <v>2.40368E10</v>
      </c>
      <c r="H378" s="3">
        <f t="shared" si="1"/>
        <v>196874.3798</v>
      </c>
    </row>
    <row r="379" ht="15.75" customHeight="1">
      <c r="A379" s="23">
        <v>39171.0</v>
      </c>
      <c r="B379" s="24">
        <v>5952.3</v>
      </c>
      <c r="C379" s="24">
        <v>5998.9</v>
      </c>
      <c r="D379" s="24">
        <v>5905.3</v>
      </c>
      <c r="E379" s="24">
        <v>5995.0</v>
      </c>
      <c r="F379" s="25">
        <v>3.5089E9</v>
      </c>
      <c r="G379" s="25">
        <v>3.12605E10</v>
      </c>
      <c r="H379" s="3">
        <f t="shared" si="1"/>
        <v>198286.6971</v>
      </c>
    </row>
    <row r="380" ht="15.75" customHeight="1">
      <c r="A380" s="23">
        <v>39177.0</v>
      </c>
      <c r="B380" s="24">
        <v>5995.0</v>
      </c>
      <c r="C380" s="24">
        <v>6097.2</v>
      </c>
      <c r="D380" s="24">
        <v>5915.8</v>
      </c>
      <c r="E380" s="24">
        <v>6077.1</v>
      </c>
      <c r="F380" s="25">
        <v>2.4502E9</v>
      </c>
      <c r="G380" s="25">
        <v>2.01094E10</v>
      </c>
      <c r="H380" s="3">
        <f t="shared" si="1"/>
        <v>201002.183</v>
      </c>
    </row>
    <row r="381" ht="15.75" customHeight="1">
      <c r="A381" s="23">
        <v>39185.0</v>
      </c>
      <c r="B381" s="24">
        <v>6077.1</v>
      </c>
      <c r="C381" s="24">
        <v>6195.8</v>
      </c>
      <c r="D381" s="24">
        <v>6077.1</v>
      </c>
      <c r="E381" s="24">
        <v>6135.8</v>
      </c>
      <c r="F381" s="25">
        <v>2.6487E9</v>
      </c>
      <c r="G381" s="25">
        <v>2.2071E10</v>
      </c>
      <c r="H381" s="3">
        <f t="shared" si="1"/>
        <v>202943.7058</v>
      </c>
    </row>
    <row r="382" ht="15.75" customHeight="1">
      <c r="A382" s="23">
        <v>39192.0</v>
      </c>
      <c r="B382" s="24">
        <v>6135.8</v>
      </c>
      <c r="C382" s="24">
        <v>6265.2</v>
      </c>
      <c r="D382" s="24">
        <v>6135.8</v>
      </c>
      <c r="E382" s="24">
        <v>6207.5</v>
      </c>
      <c r="F382" s="25">
        <v>3.406E9</v>
      </c>
      <c r="G382" s="25">
        <v>2.85077E10</v>
      </c>
      <c r="H382" s="3">
        <f t="shared" si="1"/>
        <v>205315.208</v>
      </c>
    </row>
    <row r="383" ht="15.75" customHeight="1">
      <c r="A383" s="23">
        <v>39199.0</v>
      </c>
      <c r="B383" s="24">
        <v>6207.5</v>
      </c>
      <c r="C383" s="24">
        <v>6252.3</v>
      </c>
      <c r="D383" s="24">
        <v>6144.2</v>
      </c>
      <c r="E383" s="24">
        <v>6151.6</v>
      </c>
      <c r="F383" s="25">
        <v>2.7341E9</v>
      </c>
      <c r="G383" s="25">
        <v>2.52362E10</v>
      </c>
      <c r="H383" s="3">
        <f t="shared" si="1"/>
        <v>203466.2962</v>
      </c>
    </row>
    <row r="384" ht="15.75" customHeight="1">
      <c r="A384" s="23">
        <v>39206.0</v>
      </c>
      <c r="B384" s="24">
        <v>6151.6</v>
      </c>
      <c r="C384" s="24">
        <v>6304.9</v>
      </c>
      <c r="D384" s="24">
        <v>6134.2</v>
      </c>
      <c r="E384" s="24">
        <v>6304.9</v>
      </c>
      <c r="F384" s="25">
        <v>3.2441E9</v>
      </c>
      <c r="G384" s="25">
        <v>2.57385E10</v>
      </c>
      <c r="H384" s="3">
        <f t="shared" si="1"/>
        <v>208536.7467</v>
      </c>
    </row>
    <row r="385" ht="15.75" customHeight="1">
      <c r="A385" s="23">
        <v>39213.0</v>
      </c>
      <c r="B385" s="24">
        <v>6304.9</v>
      </c>
      <c r="C385" s="24">
        <v>6382.7</v>
      </c>
      <c r="D385" s="24">
        <v>6280.5</v>
      </c>
      <c r="E385" s="24">
        <v>6297.4</v>
      </c>
      <c r="F385" s="25">
        <v>3.4431E9</v>
      </c>
      <c r="G385" s="25">
        <v>3.12991E10</v>
      </c>
      <c r="H385" s="3">
        <f t="shared" si="1"/>
        <v>208288.6816</v>
      </c>
    </row>
    <row r="386" ht="15.75" customHeight="1">
      <c r="A386" s="23">
        <v>39220.0</v>
      </c>
      <c r="B386" s="24">
        <v>6297.4</v>
      </c>
      <c r="C386" s="24">
        <v>6365.9</v>
      </c>
      <c r="D386" s="24">
        <v>6267.3</v>
      </c>
      <c r="E386" s="24">
        <v>6312.5</v>
      </c>
      <c r="F386" s="25">
        <v>3.1281E9</v>
      </c>
      <c r="G386" s="25">
        <v>2.70179E10</v>
      </c>
      <c r="H386" s="3">
        <f t="shared" si="1"/>
        <v>208788.1193</v>
      </c>
    </row>
    <row r="387" ht="15.75" customHeight="1">
      <c r="A387" s="23">
        <v>39227.0</v>
      </c>
      <c r="B387" s="24">
        <v>6318.7</v>
      </c>
      <c r="C387" s="24">
        <v>6384.1</v>
      </c>
      <c r="D387" s="24">
        <v>6226.4</v>
      </c>
      <c r="E387" s="24">
        <v>6252.8</v>
      </c>
      <c r="F387" s="25">
        <v>3.6847E9</v>
      </c>
      <c r="G387" s="25">
        <v>3.1502E10</v>
      </c>
      <c r="H387" s="3">
        <f t="shared" si="1"/>
        <v>206813.5212</v>
      </c>
    </row>
    <row r="388" ht="15.75" customHeight="1">
      <c r="A388" s="23">
        <v>39234.0</v>
      </c>
      <c r="B388" s="24">
        <v>6252.8</v>
      </c>
      <c r="C388" s="24">
        <v>6352.5</v>
      </c>
      <c r="D388" s="24">
        <v>6231.0</v>
      </c>
      <c r="E388" s="24">
        <v>6333.5</v>
      </c>
      <c r="F388" s="25">
        <v>3.4735E9</v>
      </c>
      <c r="G388" s="25">
        <v>2.90811E10</v>
      </c>
      <c r="H388" s="3">
        <f t="shared" si="1"/>
        <v>209482.7016</v>
      </c>
    </row>
    <row r="389" ht="15.75" customHeight="1">
      <c r="A389" s="23">
        <v>39241.0</v>
      </c>
      <c r="B389" s="24">
        <v>6333.5</v>
      </c>
      <c r="C389" s="24">
        <v>6409.2</v>
      </c>
      <c r="D389" s="24">
        <v>6199.3</v>
      </c>
      <c r="E389" s="24">
        <v>6231.7</v>
      </c>
      <c r="F389" s="25">
        <v>3.592E9</v>
      </c>
      <c r="G389" s="25">
        <v>2.96631E10</v>
      </c>
      <c r="H389" s="3">
        <f t="shared" si="1"/>
        <v>206115.6314</v>
      </c>
    </row>
    <row r="390" ht="15.75" customHeight="1">
      <c r="A390" s="23">
        <v>39248.0</v>
      </c>
      <c r="B390" s="24">
        <v>6231.7</v>
      </c>
      <c r="C390" s="24">
        <v>6298.5</v>
      </c>
      <c r="D390" s="24">
        <v>6170.2</v>
      </c>
      <c r="E390" s="24">
        <v>6293.8</v>
      </c>
      <c r="F390" s="25">
        <v>2.8349E9</v>
      </c>
      <c r="G390" s="25">
        <v>2.36543E10</v>
      </c>
      <c r="H390" s="3">
        <f t="shared" si="1"/>
        <v>208169.6104</v>
      </c>
    </row>
    <row r="391" ht="15.75" customHeight="1">
      <c r="A391" s="23">
        <v>39255.0</v>
      </c>
      <c r="B391" s="24">
        <v>6293.8</v>
      </c>
      <c r="C391" s="24">
        <v>6403.9</v>
      </c>
      <c r="D391" s="24">
        <v>6293.8</v>
      </c>
      <c r="E391" s="24">
        <v>6382.6</v>
      </c>
      <c r="F391" s="25">
        <v>4.5896E9</v>
      </c>
      <c r="G391" s="25">
        <v>3.81733E10</v>
      </c>
      <c r="H391" s="3">
        <f t="shared" si="1"/>
        <v>211106.7011</v>
      </c>
    </row>
    <row r="392" ht="15.75" customHeight="1">
      <c r="A392" s="23">
        <v>39262.0</v>
      </c>
      <c r="B392" s="24">
        <v>6382.6</v>
      </c>
      <c r="C392" s="24">
        <v>6382.6</v>
      </c>
      <c r="D392" s="24">
        <v>6184.2</v>
      </c>
      <c r="E392" s="24">
        <v>6274.9</v>
      </c>
      <c r="F392" s="25">
        <v>4.524E9</v>
      </c>
      <c r="G392" s="25">
        <v>3.91981E10</v>
      </c>
      <c r="H392" s="3">
        <f t="shared" si="1"/>
        <v>207544.4863</v>
      </c>
    </row>
    <row r="393" ht="15.75" customHeight="1">
      <c r="A393" s="23">
        <v>39269.0</v>
      </c>
      <c r="B393" s="24">
        <v>6274.9</v>
      </c>
      <c r="C393" s="24">
        <v>6362.3</v>
      </c>
      <c r="D393" s="24">
        <v>6254.6</v>
      </c>
      <c r="E393" s="24">
        <v>6351.1</v>
      </c>
      <c r="F393" s="25">
        <v>3.7725E9</v>
      </c>
      <c r="G393" s="25">
        <v>2.95828E10</v>
      </c>
      <c r="H393" s="3">
        <f t="shared" si="1"/>
        <v>210064.8277</v>
      </c>
    </row>
    <row r="394" ht="15.75" customHeight="1">
      <c r="A394" s="23">
        <v>39276.0</v>
      </c>
      <c r="B394" s="24">
        <v>6351.1</v>
      </c>
      <c r="C394" s="24">
        <v>6436.7</v>
      </c>
      <c r="D394" s="24">
        <v>6300.8</v>
      </c>
      <c r="E394" s="24">
        <v>6389.4</v>
      </c>
      <c r="F394" s="25">
        <v>3.2071E9</v>
      </c>
      <c r="G394" s="25">
        <v>2.78612E10</v>
      </c>
      <c r="H394" s="3">
        <f t="shared" si="1"/>
        <v>211331.6134</v>
      </c>
    </row>
    <row r="395" ht="15.75" customHeight="1">
      <c r="A395" s="23">
        <v>39283.0</v>
      </c>
      <c r="B395" s="24">
        <v>6389.4</v>
      </c>
      <c r="C395" s="24">
        <v>6422.3</v>
      </c>
      <c r="D395" s="24">
        <v>6326.4</v>
      </c>
      <c r="E395" s="24">
        <v>6421.8</v>
      </c>
      <c r="F395" s="25">
        <v>3.2922E9</v>
      </c>
      <c r="G395" s="25">
        <v>2.7309E10</v>
      </c>
      <c r="H395" s="3">
        <f t="shared" si="1"/>
        <v>212403.2546</v>
      </c>
    </row>
    <row r="396" ht="15.75" customHeight="1">
      <c r="A396" s="23">
        <v>39290.0</v>
      </c>
      <c r="B396" s="24">
        <v>6421.8</v>
      </c>
      <c r="C396" s="24">
        <v>6432.2</v>
      </c>
      <c r="D396" s="24">
        <v>6082.9</v>
      </c>
      <c r="E396" s="24">
        <v>6082.9</v>
      </c>
      <c r="F396" s="25">
        <v>3.8567E9</v>
      </c>
      <c r="G396" s="25">
        <v>3.47671E10</v>
      </c>
      <c r="H396" s="3">
        <f t="shared" si="1"/>
        <v>201194.02</v>
      </c>
    </row>
    <row r="397" ht="15.75" customHeight="1">
      <c r="A397" s="23">
        <v>39297.0</v>
      </c>
      <c r="B397" s="24">
        <v>6082.9</v>
      </c>
      <c r="C397" s="24">
        <v>6145.4</v>
      </c>
      <c r="D397" s="24">
        <v>5903.2</v>
      </c>
      <c r="E397" s="24">
        <v>6021.0</v>
      </c>
      <c r="F397" s="25">
        <v>3.6629E9</v>
      </c>
      <c r="G397" s="25">
        <v>3.19264E10</v>
      </c>
      <c r="H397" s="3">
        <f t="shared" si="1"/>
        <v>199146.6561</v>
      </c>
    </row>
    <row r="398" ht="15.75" customHeight="1">
      <c r="A398" s="23">
        <v>39304.0</v>
      </c>
      <c r="B398" s="24">
        <v>6021.0</v>
      </c>
      <c r="C398" s="24">
        <v>6165.6</v>
      </c>
      <c r="D398" s="24">
        <v>5891.1</v>
      </c>
      <c r="E398" s="24">
        <v>5936.0</v>
      </c>
      <c r="F398" s="25">
        <v>3.8614E9</v>
      </c>
      <c r="G398" s="25">
        <v>3.15488E10</v>
      </c>
      <c r="H398" s="3">
        <f t="shared" si="1"/>
        <v>196335.2517</v>
      </c>
    </row>
    <row r="399" ht="15.75" customHeight="1">
      <c r="A399" s="23">
        <v>39311.0</v>
      </c>
      <c r="B399" s="24">
        <v>5936.0</v>
      </c>
      <c r="C399" s="24">
        <v>6040.4</v>
      </c>
      <c r="D399" s="24">
        <v>5483.3</v>
      </c>
      <c r="E399" s="24">
        <v>5671.0</v>
      </c>
      <c r="F399" s="25">
        <v>4.7014E9</v>
      </c>
      <c r="G399" s="25">
        <v>3.85435E10</v>
      </c>
      <c r="H399" s="3">
        <f t="shared" si="1"/>
        <v>187570.2851</v>
      </c>
    </row>
    <row r="400" ht="15.75" customHeight="1">
      <c r="A400" s="23">
        <v>39318.0</v>
      </c>
      <c r="B400" s="24">
        <v>5671.0</v>
      </c>
      <c r="C400" s="24">
        <v>6177.7</v>
      </c>
      <c r="D400" s="24">
        <v>5671.0</v>
      </c>
      <c r="E400" s="24">
        <v>6088.5</v>
      </c>
      <c r="F400" s="25">
        <v>3.735E9</v>
      </c>
      <c r="G400" s="25">
        <v>3.15118E10</v>
      </c>
      <c r="H400" s="3">
        <f t="shared" si="1"/>
        <v>201379.2419</v>
      </c>
    </row>
    <row r="401" ht="15.75" customHeight="1">
      <c r="A401" s="23">
        <v>39325.0</v>
      </c>
      <c r="B401" s="24">
        <v>6088.5</v>
      </c>
      <c r="C401" s="24">
        <v>6247.2</v>
      </c>
      <c r="D401" s="24">
        <v>6031.6</v>
      </c>
      <c r="E401" s="24">
        <v>6247.2</v>
      </c>
      <c r="F401" s="25">
        <v>3.9932E9</v>
      </c>
      <c r="G401" s="25">
        <v>3.30673E10</v>
      </c>
      <c r="H401" s="3">
        <f t="shared" si="1"/>
        <v>206628.2993</v>
      </c>
    </row>
    <row r="402" ht="15.75" customHeight="1">
      <c r="A402" s="23">
        <v>39332.0</v>
      </c>
      <c r="B402" s="24">
        <v>6247.2</v>
      </c>
      <c r="C402" s="24">
        <v>6355.7</v>
      </c>
      <c r="D402" s="24">
        <v>6189.7</v>
      </c>
      <c r="E402" s="24">
        <v>6278.4</v>
      </c>
      <c r="F402" s="25">
        <v>2.7731E9</v>
      </c>
      <c r="G402" s="25">
        <v>2.27331E10</v>
      </c>
      <c r="H402" s="3">
        <f t="shared" si="1"/>
        <v>207660.25</v>
      </c>
    </row>
    <row r="403" ht="15.75" customHeight="1">
      <c r="A403" s="23">
        <v>39339.0</v>
      </c>
      <c r="B403" s="24">
        <v>6278.4</v>
      </c>
      <c r="C403" s="24">
        <v>6310.8</v>
      </c>
      <c r="D403" s="24">
        <v>6146.5</v>
      </c>
      <c r="E403" s="24">
        <v>6306.8</v>
      </c>
      <c r="F403" s="25">
        <v>3.1507E9</v>
      </c>
      <c r="G403" s="25">
        <v>2.64192E10</v>
      </c>
      <c r="H403" s="3">
        <f t="shared" si="1"/>
        <v>208599.5899</v>
      </c>
    </row>
    <row r="404" ht="15.75" customHeight="1">
      <c r="A404" s="23">
        <v>39346.0</v>
      </c>
      <c r="B404" s="24">
        <v>6306.8</v>
      </c>
      <c r="C404" s="24">
        <v>6416.4</v>
      </c>
      <c r="D404" s="24">
        <v>6166.2</v>
      </c>
      <c r="E404" s="24">
        <v>6357.9</v>
      </c>
      <c r="F404" s="25">
        <v>4.1218E9</v>
      </c>
      <c r="G404" s="25">
        <v>3.64272E10</v>
      </c>
      <c r="H404" s="3">
        <f t="shared" si="1"/>
        <v>210289.74</v>
      </c>
    </row>
    <row r="405" ht="15.75" customHeight="1">
      <c r="A405" s="23">
        <v>39353.0</v>
      </c>
      <c r="B405" s="24">
        <v>6357.9</v>
      </c>
      <c r="C405" s="24">
        <v>6594.4</v>
      </c>
      <c r="D405" s="24">
        <v>6357.9</v>
      </c>
      <c r="E405" s="24">
        <v>6567.8</v>
      </c>
      <c r="F405" s="25">
        <v>3.6699E9</v>
      </c>
      <c r="G405" s="25">
        <v>3.73881E10</v>
      </c>
      <c r="H405" s="3">
        <f t="shared" si="1"/>
        <v>217232.2551</v>
      </c>
    </row>
    <row r="406" ht="15.75" customHeight="1">
      <c r="A406" s="23">
        <v>39360.0</v>
      </c>
      <c r="B406" s="24">
        <v>6567.8</v>
      </c>
      <c r="C406" s="24">
        <v>6680.3</v>
      </c>
      <c r="D406" s="24">
        <v>6551.7</v>
      </c>
      <c r="E406" s="24">
        <v>6605.4</v>
      </c>
      <c r="F406" s="25">
        <v>2.8902E9</v>
      </c>
      <c r="G406" s="25">
        <v>2.55377E10</v>
      </c>
      <c r="H406" s="3">
        <f t="shared" si="1"/>
        <v>218475.8881</v>
      </c>
    </row>
    <row r="407" ht="15.75" customHeight="1">
      <c r="A407" s="23">
        <v>39367.0</v>
      </c>
      <c r="B407" s="24">
        <v>6605.4</v>
      </c>
      <c r="C407" s="24">
        <v>6782.5</v>
      </c>
      <c r="D407" s="24">
        <v>6605.4</v>
      </c>
      <c r="E407" s="24">
        <v>6748.9</v>
      </c>
      <c r="F407" s="25">
        <v>2.9447E9</v>
      </c>
      <c r="G407" s="25">
        <v>2.62425E10</v>
      </c>
      <c r="H407" s="3">
        <f t="shared" si="1"/>
        <v>223222.2002</v>
      </c>
    </row>
    <row r="408" ht="15.75" customHeight="1">
      <c r="A408" s="23">
        <v>39374.0</v>
      </c>
      <c r="B408" s="24">
        <v>6748.9</v>
      </c>
      <c r="C408" s="24">
        <v>6800.2</v>
      </c>
      <c r="D408" s="24">
        <v>6648.4</v>
      </c>
      <c r="E408" s="24">
        <v>6706.3</v>
      </c>
      <c r="F408" s="25">
        <v>2.8254E9</v>
      </c>
      <c r="G408" s="25">
        <v>2.69569E10</v>
      </c>
      <c r="H408" s="3">
        <f t="shared" si="1"/>
        <v>221813.1904</v>
      </c>
    </row>
    <row r="409" ht="15.75" customHeight="1">
      <c r="A409" s="23">
        <v>39381.0</v>
      </c>
      <c r="B409" s="24">
        <v>6706.3</v>
      </c>
      <c r="C409" s="24">
        <v>6733.4</v>
      </c>
      <c r="D409" s="24">
        <v>6542.9</v>
      </c>
      <c r="E409" s="24">
        <v>6700.6</v>
      </c>
      <c r="F409" s="25">
        <v>3.8757E9</v>
      </c>
      <c r="G409" s="25">
        <v>3.91251E10</v>
      </c>
      <c r="H409" s="3">
        <f t="shared" si="1"/>
        <v>221624.661</v>
      </c>
    </row>
    <row r="410" ht="15.75" customHeight="1">
      <c r="A410" s="23">
        <v>39388.0</v>
      </c>
      <c r="B410" s="24">
        <v>6700.6</v>
      </c>
      <c r="C410" s="24">
        <v>6851.5</v>
      </c>
      <c r="D410" s="24">
        <v>6674.7</v>
      </c>
      <c r="E410" s="24">
        <v>6696.6</v>
      </c>
      <c r="F410" s="25">
        <v>3.2942E9</v>
      </c>
      <c r="G410" s="25">
        <v>3.21194E10</v>
      </c>
      <c r="H410" s="3">
        <f t="shared" si="1"/>
        <v>221492.3596</v>
      </c>
    </row>
    <row r="411" ht="15.75" customHeight="1">
      <c r="A411" s="23">
        <v>39395.0</v>
      </c>
      <c r="B411" s="24">
        <v>6696.6</v>
      </c>
      <c r="C411" s="24">
        <v>6710.2</v>
      </c>
      <c r="D411" s="24">
        <v>6488.5</v>
      </c>
      <c r="E411" s="24">
        <v>6545.7</v>
      </c>
      <c r="F411" s="25">
        <v>3.0224E9</v>
      </c>
      <c r="G411" s="25">
        <v>3.24729E10</v>
      </c>
      <c r="H411" s="3">
        <f t="shared" si="1"/>
        <v>216501.2899</v>
      </c>
    </row>
    <row r="412" ht="15.75" customHeight="1">
      <c r="A412" s="23">
        <v>39402.0</v>
      </c>
      <c r="B412" s="24">
        <v>6545.7</v>
      </c>
      <c r="C412" s="24">
        <v>6616.5</v>
      </c>
      <c r="D412" s="24">
        <v>6437.3</v>
      </c>
      <c r="E412" s="24">
        <v>6461.9</v>
      </c>
      <c r="F412" s="25">
        <v>3.2099E9</v>
      </c>
      <c r="G412" s="25">
        <v>3.39541E10</v>
      </c>
      <c r="H412" s="3">
        <f t="shared" si="1"/>
        <v>213729.576</v>
      </c>
    </row>
    <row r="413" ht="15.75" customHeight="1">
      <c r="A413" s="23">
        <v>39409.0</v>
      </c>
      <c r="B413" s="24">
        <v>6461.9</v>
      </c>
      <c r="C413" s="24">
        <v>6551.9</v>
      </c>
      <c r="D413" s="24">
        <v>6312.6</v>
      </c>
      <c r="E413" s="24">
        <v>6330.2</v>
      </c>
      <c r="F413" s="25">
        <v>2.8056E9</v>
      </c>
      <c r="G413" s="25">
        <v>2.74111E10</v>
      </c>
      <c r="H413" s="3">
        <f t="shared" si="1"/>
        <v>209373.553</v>
      </c>
    </row>
    <row r="414" ht="15.75" customHeight="1">
      <c r="A414" s="23">
        <v>39416.0</v>
      </c>
      <c r="B414" s="24">
        <v>6330.2</v>
      </c>
      <c r="C414" s="24">
        <v>6552.9</v>
      </c>
      <c r="D414" s="24">
        <v>6330.2</v>
      </c>
      <c r="E414" s="24">
        <v>6533.1</v>
      </c>
      <c r="F414" s="25">
        <v>3.9373E9</v>
      </c>
      <c r="G414" s="25">
        <v>3.73097E10</v>
      </c>
      <c r="H414" s="3">
        <f t="shared" si="1"/>
        <v>216084.5406</v>
      </c>
    </row>
    <row r="415" ht="15.75" customHeight="1">
      <c r="A415" s="23">
        <v>39423.0</v>
      </c>
      <c r="B415" s="24">
        <v>6533.1</v>
      </c>
      <c r="C415" s="24">
        <v>6671.4</v>
      </c>
      <c r="D415" s="24">
        <v>6482.0</v>
      </c>
      <c r="E415" s="24">
        <v>6654.7</v>
      </c>
      <c r="F415" s="25">
        <v>3.1965E9</v>
      </c>
      <c r="G415" s="25">
        <v>2.85248E10</v>
      </c>
      <c r="H415" s="3">
        <f t="shared" si="1"/>
        <v>220106.5026</v>
      </c>
    </row>
    <row r="416" ht="15.75" customHeight="1">
      <c r="A416" s="23">
        <v>39430.0</v>
      </c>
      <c r="B416" s="24">
        <v>6654.7</v>
      </c>
      <c r="C416" s="24">
        <v>6684.4</v>
      </c>
      <c r="D416" s="24">
        <v>6466.7</v>
      </c>
      <c r="E416" s="24">
        <v>6491.7</v>
      </c>
      <c r="F416" s="25">
        <v>2.9814E9</v>
      </c>
      <c r="G416" s="25">
        <v>2.74149E10</v>
      </c>
      <c r="H416" s="3">
        <f t="shared" si="1"/>
        <v>214715.2213</v>
      </c>
    </row>
    <row r="417" ht="15.75" customHeight="1">
      <c r="A417" s="23">
        <v>39437.0</v>
      </c>
      <c r="B417" s="24">
        <v>6491.7</v>
      </c>
      <c r="C417" s="24">
        <v>6491.7</v>
      </c>
      <c r="D417" s="24">
        <v>6105.1</v>
      </c>
      <c r="E417" s="24">
        <v>6247.0</v>
      </c>
      <c r="F417" s="25">
        <v>5.8804E9</v>
      </c>
      <c r="G417" s="25">
        <v>4.56758E10</v>
      </c>
      <c r="H417" s="3">
        <f t="shared" si="1"/>
        <v>206621.6842</v>
      </c>
    </row>
    <row r="418" ht="15.75" customHeight="1">
      <c r="A418" s="23">
        <v>39444.0</v>
      </c>
      <c r="B418" s="24">
        <v>6247.0</v>
      </c>
      <c r="C418" s="24">
        <v>6366.5</v>
      </c>
      <c r="D418" s="24">
        <v>6247.0</v>
      </c>
      <c r="E418" s="24">
        <v>6339.9</v>
      </c>
      <c r="F418" s="25">
        <v>9.657E8</v>
      </c>
      <c r="G418" s="25">
        <v>6.7145E9</v>
      </c>
      <c r="H418" s="3">
        <f t="shared" si="1"/>
        <v>209694.3838</v>
      </c>
    </row>
    <row r="419" ht="15.75" customHeight="1">
      <c r="A419" s="23">
        <v>39451.0</v>
      </c>
      <c r="B419" s="24">
        <v>6339.9</v>
      </c>
      <c r="C419" s="24">
        <v>6385.7</v>
      </c>
      <c r="D419" s="24">
        <v>6251.4</v>
      </c>
      <c r="E419" s="24">
        <v>6306.8</v>
      </c>
      <c r="F419" s="25">
        <v>1.5005E9</v>
      </c>
      <c r="G419" s="25">
        <v>1.03238E10</v>
      </c>
      <c r="H419" s="3">
        <f t="shared" si="1"/>
        <v>208599.5899</v>
      </c>
    </row>
    <row r="420" ht="15.75" customHeight="1">
      <c r="A420" s="23">
        <v>39458.0</v>
      </c>
      <c r="B420" s="24">
        <v>6306.8</v>
      </c>
      <c r="C420" s="24">
        <v>6306.8</v>
      </c>
      <c r="D420" s="24">
        <v>5981.6</v>
      </c>
      <c r="E420" s="24">
        <v>5981.6</v>
      </c>
      <c r="F420" s="25">
        <v>3.4571E9</v>
      </c>
      <c r="G420" s="25">
        <v>2.58883E10</v>
      </c>
      <c r="H420" s="3">
        <f t="shared" si="1"/>
        <v>197843.4875</v>
      </c>
    </row>
    <row r="421" ht="15.75" customHeight="1">
      <c r="A421" s="23">
        <v>39465.0</v>
      </c>
      <c r="B421" s="24">
        <v>5981.6</v>
      </c>
      <c r="C421" s="24">
        <v>6042.0</v>
      </c>
      <c r="D421" s="24">
        <v>5619.3</v>
      </c>
      <c r="E421" s="24">
        <v>5747.3</v>
      </c>
      <c r="F421" s="25">
        <v>4.42E9</v>
      </c>
      <c r="G421" s="25">
        <v>3.15407E10</v>
      </c>
      <c r="H421" s="3">
        <f t="shared" si="1"/>
        <v>190093.934</v>
      </c>
    </row>
    <row r="422" ht="15.75" customHeight="1">
      <c r="A422" s="23">
        <v>39472.0</v>
      </c>
      <c r="B422" s="24">
        <v>5747.3</v>
      </c>
      <c r="C422" s="24">
        <v>5860.3</v>
      </c>
      <c r="D422" s="24">
        <v>5186.8</v>
      </c>
      <c r="E422" s="24">
        <v>5860.3</v>
      </c>
      <c r="F422" s="25">
        <v>5.4148E9</v>
      </c>
      <c r="G422" s="25">
        <v>4.07086E10</v>
      </c>
      <c r="H422" s="3">
        <f t="shared" si="1"/>
        <v>193831.448</v>
      </c>
    </row>
    <row r="423" ht="15.75" customHeight="1">
      <c r="A423" s="23">
        <v>39479.0</v>
      </c>
      <c r="B423" s="24">
        <v>5860.3</v>
      </c>
      <c r="C423" s="24">
        <v>5862.1</v>
      </c>
      <c r="D423" s="24">
        <v>5448.5</v>
      </c>
      <c r="E423" s="24">
        <v>5842.9</v>
      </c>
      <c r="F423" s="25">
        <v>3.4803E9</v>
      </c>
      <c r="G423" s="25">
        <v>2.56937E10</v>
      </c>
      <c r="H423" s="3">
        <f t="shared" si="1"/>
        <v>193255.937</v>
      </c>
    </row>
    <row r="424" ht="15.75" customHeight="1">
      <c r="A424" s="23">
        <v>39486.0</v>
      </c>
      <c r="B424" s="24">
        <v>5842.9</v>
      </c>
      <c r="C424" s="24">
        <v>6022.0</v>
      </c>
      <c r="D424" s="24">
        <v>5508.7</v>
      </c>
      <c r="E424" s="24">
        <v>5658.0</v>
      </c>
      <c r="F424" s="25">
        <v>3.3223E9</v>
      </c>
      <c r="G424" s="25">
        <v>2.78439E10</v>
      </c>
      <c r="H424" s="3">
        <f t="shared" si="1"/>
        <v>187140.3056</v>
      </c>
    </row>
    <row r="425" ht="15.75" customHeight="1">
      <c r="A425" s="23">
        <v>39493.0</v>
      </c>
      <c r="B425" s="24">
        <v>5658.0</v>
      </c>
      <c r="C425" s="24">
        <v>5690.5</v>
      </c>
      <c r="D425" s="24">
        <v>5513.2</v>
      </c>
      <c r="E425" s="24">
        <v>5606.6</v>
      </c>
      <c r="F425" s="25">
        <v>3.5643E9</v>
      </c>
      <c r="G425" s="25">
        <v>2.97252E10</v>
      </c>
      <c r="H425" s="3">
        <f t="shared" si="1"/>
        <v>185440.2329</v>
      </c>
    </row>
    <row r="426" ht="15.75" customHeight="1">
      <c r="A426" s="23">
        <v>39500.0</v>
      </c>
      <c r="B426" s="24">
        <v>5606.6</v>
      </c>
      <c r="C426" s="24">
        <v>5650.3</v>
      </c>
      <c r="D426" s="24">
        <v>5490.4</v>
      </c>
      <c r="E426" s="24">
        <v>5559.9</v>
      </c>
      <c r="F426" s="25">
        <v>3.8168E9</v>
      </c>
      <c r="G426" s="25">
        <v>3.0813E10</v>
      </c>
      <c r="H426" s="3">
        <f t="shared" si="1"/>
        <v>183895.6142</v>
      </c>
    </row>
    <row r="427" ht="15.75" customHeight="1">
      <c r="A427" s="23">
        <v>39507.0</v>
      </c>
      <c r="B427" s="24">
        <v>5559.9</v>
      </c>
      <c r="C427" s="24">
        <v>5769.8</v>
      </c>
      <c r="D427" s="24">
        <v>5515.6</v>
      </c>
      <c r="E427" s="24">
        <v>5572.1</v>
      </c>
      <c r="F427" s="25">
        <v>4.1782E9</v>
      </c>
      <c r="G427" s="25">
        <v>3.27441E10</v>
      </c>
      <c r="H427" s="3">
        <f t="shared" si="1"/>
        <v>184299.1334</v>
      </c>
    </row>
    <row r="428" ht="15.75" customHeight="1">
      <c r="A428" s="23">
        <v>39514.0</v>
      </c>
      <c r="B428" s="24">
        <v>5572.1</v>
      </c>
      <c r="C428" s="24">
        <v>5572.1</v>
      </c>
      <c r="D428" s="24">
        <v>5240.3</v>
      </c>
      <c r="E428" s="24">
        <v>5264.0</v>
      </c>
      <c r="F428" s="25">
        <v>4.7297E9</v>
      </c>
      <c r="G428" s="25">
        <v>3.24883E10</v>
      </c>
      <c r="H428" s="3">
        <f t="shared" si="1"/>
        <v>174108.6194</v>
      </c>
    </row>
    <row r="429" ht="15.75" customHeight="1">
      <c r="A429" s="23">
        <v>39521.0</v>
      </c>
      <c r="B429" s="24">
        <v>5264.0</v>
      </c>
      <c r="C429" s="24">
        <v>5369.7</v>
      </c>
      <c r="D429" s="24">
        <v>5082.1</v>
      </c>
      <c r="E429" s="24">
        <v>5206.9</v>
      </c>
      <c r="F429" s="25">
        <v>4.2823E9</v>
      </c>
      <c r="G429" s="25">
        <v>2.95494E10</v>
      </c>
      <c r="H429" s="3">
        <f t="shared" si="1"/>
        <v>172220.0172</v>
      </c>
    </row>
    <row r="430" ht="15.75" customHeight="1">
      <c r="A430" s="23">
        <v>39527.0</v>
      </c>
      <c r="B430" s="24">
        <v>5206.9</v>
      </c>
      <c r="C430" s="24">
        <v>5289.1</v>
      </c>
      <c r="D430" s="24">
        <v>5039.6</v>
      </c>
      <c r="E430" s="24">
        <v>5127.5</v>
      </c>
      <c r="F430" s="25">
        <v>4.5757E9</v>
      </c>
      <c r="G430" s="25">
        <v>3.29234E10</v>
      </c>
      <c r="H430" s="3">
        <f t="shared" si="1"/>
        <v>169593.8348</v>
      </c>
    </row>
    <row r="431" ht="15.75" customHeight="1">
      <c r="A431" s="23">
        <v>39535.0</v>
      </c>
      <c r="B431" s="24">
        <v>5127.5</v>
      </c>
      <c r="C431" s="24">
        <v>5389.7</v>
      </c>
      <c r="D431" s="24">
        <v>5127.5</v>
      </c>
      <c r="E431" s="24">
        <v>5351.1</v>
      </c>
      <c r="F431" s="25">
        <v>3.7585E9</v>
      </c>
      <c r="G431" s="25">
        <v>2.59984E10</v>
      </c>
      <c r="H431" s="3">
        <f t="shared" si="1"/>
        <v>176989.482</v>
      </c>
    </row>
    <row r="432" ht="15.75" customHeight="1">
      <c r="A432" s="23">
        <v>39542.0</v>
      </c>
      <c r="B432" s="24">
        <v>5351.1</v>
      </c>
      <c r="C432" s="24">
        <v>5657.7</v>
      </c>
      <c r="D432" s="24">
        <v>5301.0</v>
      </c>
      <c r="E432" s="24">
        <v>5619.6</v>
      </c>
      <c r="F432" s="25">
        <v>4.3532E9</v>
      </c>
      <c r="G432" s="25">
        <v>2.75095E10</v>
      </c>
      <c r="H432" s="3">
        <f t="shared" si="1"/>
        <v>185870.2123</v>
      </c>
    </row>
    <row r="433" ht="15.75" customHeight="1">
      <c r="A433" s="23">
        <v>39549.0</v>
      </c>
      <c r="B433" s="24">
        <v>5619.6</v>
      </c>
      <c r="C433" s="24">
        <v>5643.7</v>
      </c>
      <c r="D433" s="24">
        <v>5386.1</v>
      </c>
      <c r="E433" s="24">
        <v>5439.3</v>
      </c>
      <c r="F433" s="25">
        <v>3.5505E9</v>
      </c>
      <c r="G433" s="25">
        <v>2.53529E10</v>
      </c>
      <c r="H433" s="3">
        <f t="shared" si="1"/>
        <v>179906.7275</v>
      </c>
    </row>
    <row r="434" ht="15.75" customHeight="1">
      <c r="A434" s="23">
        <v>39556.0</v>
      </c>
      <c r="B434" s="24">
        <v>5439.3</v>
      </c>
      <c r="C434" s="24">
        <v>5567.6</v>
      </c>
      <c r="D434" s="24">
        <v>5309.2</v>
      </c>
      <c r="E434" s="24">
        <v>5429.7</v>
      </c>
      <c r="F434" s="25">
        <v>3.2955E9</v>
      </c>
      <c r="G434" s="25">
        <v>2.30519E10</v>
      </c>
      <c r="H434" s="3">
        <f t="shared" si="1"/>
        <v>179589.2042</v>
      </c>
    </row>
    <row r="435" ht="15.75" customHeight="1">
      <c r="A435" s="23">
        <v>39562.0</v>
      </c>
      <c r="B435" s="24">
        <v>5429.7</v>
      </c>
      <c r="C435" s="24">
        <v>5653.9</v>
      </c>
      <c r="D435" s="24">
        <v>5429.7</v>
      </c>
      <c r="E435" s="24">
        <v>5587.3</v>
      </c>
      <c r="F435" s="25">
        <v>2.8099E9</v>
      </c>
      <c r="G435" s="25">
        <v>2.23877E10</v>
      </c>
      <c r="H435" s="3">
        <f t="shared" si="1"/>
        <v>184801.8787</v>
      </c>
    </row>
    <row r="436" ht="15.75" customHeight="1">
      <c r="A436" s="23">
        <v>39570.0</v>
      </c>
      <c r="B436" s="24">
        <v>5587.3</v>
      </c>
      <c r="C436" s="24">
        <v>5700.4</v>
      </c>
      <c r="D436" s="24">
        <v>5516.0</v>
      </c>
      <c r="E436" s="24">
        <v>5700.4</v>
      </c>
      <c r="F436" s="25">
        <v>3.6634E9</v>
      </c>
      <c r="G436" s="25">
        <v>2.59205E10</v>
      </c>
      <c r="H436" s="3">
        <f t="shared" si="1"/>
        <v>188542.7003</v>
      </c>
    </row>
    <row r="437" ht="15.75" customHeight="1">
      <c r="A437" s="23">
        <v>39577.0</v>
      </c>
      <c r="B437" s="24">
        <v>5700.4</v>
      </c>
      <c r="C437" s="24">
        <v>5810.7</v>
      </c>
      <c r="D437" s="24">
        <v>5590.6</v>
      </c>
      <c r="E437" s="24">
        <v>5771.8</v>
      </c>
      <c r="F437" s="25">
        <v>3.4561E9</v>
      </c>
      <c r="G437" s="25">
        <v>2.4842E10</v>
      </c>
      <c r="H437" s="3">
        <f t="shared" si="1"/>
        <v>190904.2799</v>
      </c>
    </row>
    <row r="438" ht="15.75" customHeight="1">
      <c r="A438" s="23">
        <v>39584.0</v>
      </c>
      <c r="B438" s="24">
        <v>5771.8</v>
      </c>
      <c r="C438" s="24">
        <v>5971.5</v>
      </c>
      <c r="D438" s="24">
        <v>5771.8</v>
      </c>
      <c r="E438" s="24">
        <v>5931.0</v>
      </c>
      <c r="F438" s="25">
        <v>3.6864E9</v>
      </c>
      <c r="G438" s="25">
        <v>2.92663E10</v>
      </c>
      <c r="H438" s="3">
        <f t="shared" si="1"/>
        <v>196169.875</v>
      </c>
    </row>
    <row r="439" ht="15.75" customHeight="1">
      <c r="A439" s="23">
        <v>39591.0</v>
      </c>
      <c r="B439" s="24">
        <v>5931.0</v>
      </c>
      <c r="C439" s="24">
        <v>5980.8</v>
      </c>
      <c r="D439" s="24">
        <v>5738.9</v>
      </c>
      <c r="E439" s="24">
        <v>5768.0</v>
      </c>
      <c r="F439" s="25">
        <v>3.8327E9</v>
      </c>
      <c r="G439" s="25">
        <v>2.8303E10</v>
      </c>
      <c r="H439" s="3">
        <f t="shared" si="1"/>
        <v>190778.5936</v>
      </c>
    </row>
    <row r="440" ht="15.75" customHeight="1">
      <c r="A440" s="23">
        <v>39598.0</v>
      </c>
      <c r="B440" s="24">
        <v>5768.0</v>
      </c>
      <c r="C440" s="24">
        <v>5768.0</v>
      </c>
      <c r="D440" s="24">
        <v>5628.5</v>
      </c>
      <c r="E440" s="24">
        <v>5654.7</v>
      </c>
      <c r="F440" s="25">
        <v>4.4749E9</v>
      </c>
      <c r="G440" s="25">
        <v>3.06761E10</v>
      </c>
      <c r="H440" s="3">
        <f t="shared" si="1"/>
        <v>187031.157</v>
      </c>
    </row>
    <row r="441" ht="15.75" customHeight="1">
      <c r="A441" s="23">
        <v>39605.0</v>
      </c>
      <c r="B441" s="24">
        <v>5654.7</v>
      </c>
      <c r="C441" s="24">
        <v>5681.5</v>
      </c>
      <c r="D441" s="24">
        <v>5514.3</v>
      </c>
      <c r="E441" s="24">
        <v>5592.1</v>
      </c>
      <c r="F441" s="25">
        <v>3.8698E9</v>
      </c>
      <c r="G441" s="25">
        <v>2.69818E10</v>
      </c>
      <c r="H441" s="3">
        <f t="shared" si="1"/>
        <v>184960.6403</v>
      </c>
    </row>
    <row r="442" ht="15.75" customHeight="1">
      <c r="A442" s="23">
        <v>39612.0</v>
      </c>
      <c r="B442" s="24">
        <v>5592.1</v>
      </c>
      <c r="C442" s="24">
        <v>5592.1</v>
      </c>
      <c r="D442" s="24">
        <v>5290.0</v>
      </c>
      <c r="E442" s="24">
        <v>5378.1</v>
      </c>
      <c r="F442" s="25">
        <v>3.6301E9</v>
      </c>
      <c r="G442" s="25">
        <v>2.43448E10</v>
      </c>
      <c r="H442" s="3">
        <f t="shared" si="1"/>
        <v>177882.5164</v>
      </c>
    </row>
    <row r="443" ht="15.75" customHeight="1">
      <c r="A443" s="23">
        <v>39619.0</v>
      </c>
      <c r="B443" s="24">
        <v>5378.1</v>
      </c>
      <c r="C443" s="24">
        <v>5444.2</v>
      </c>
      <c r="D443" s="24">
        <v>5276.2</v>
      </c>
      <c r="E443" s="24">
        <v>5288.3</v>
      </c>
      <c r="F443" s="25">
        <v>5.4299E9</v>
      </c>
      <c r="G443" s="25">
        <v>3.49974E10</v>
      </c>
      <c r="H443" s="3">
        <f t="shared" si="1"/>
        <v>174912.3503</v>
      </c>
    </row>
    <row r="444" ht="15.75" customHeight="1">
      <c r="A444" s="23">
        <v>39626.0</v>
      </c>
      <c r="B444" s="24">
        <v>5288.3</v>
      </c>
      <c r="C444" s="24">
        <v>5334.1</v>
      </c>
      <c r="D444" s="24">
        <v>5144.7</v>
      </c>
      <c r="E444" s="24">
        <v>5237.0</v>
      </c>
      <c r="F444" s="25">
        <v>5.3004E9</v>
      </c>
      <c r="G444" s="25">
        <v>3.64064E10</v>
      </c>
      <c r="H444" s="3">
        <f t="shared" si="1"/>
        <v>173215.5851</v>
      </c>
    </row>
    <row r="445" ht="15.75" customHeight="1">
      <c r="A445" s="23">
        <v>39633.0</v>
      </c>
      <c r="B445" s="24">
        <v>5237.0</v>
      </c>
      <c r="C445" s="24">
        <v>5305.9</v>
      </c>
      <c r="D445" s="24">
        <v>4969.1</v>
      </c>
      <c r="E445" s="24">
        <v>5082.1</v>
      </c>
      <c r="F445" s="25">
        <v>4.3992E9</v>
      </c>
      <c r="G445" s="25">
        <v>3.01625E10</v>
      </c>
      <c r="H445" s="3">
        <f t="shared" si="1"/>
        <v>168092.2141</v>
      </c>
    </row>
    <row r="446" ht="15.75" customHeight="1">
      <c r="A446" s="23">
        <v>39640.0</v>
      </c>
      <c r="B446" s="24">
        <v>5082.1</v>
      </c>
      <c r="C446" s="24">
        <v>5082.1</v>
      </c>
      <c r="D446" s="24">
        <v>4916.9</v>
      </c>
      <c r="E446" s="24">
        <v>4979.9</v>
      </c>
      <c r="F446" s="25">
        <v>3.9151E9</v>
      </c>
      <c r="G446" s="25">
        <v>2.40529E10</v>
      </c>
      <c r="H446" s="3">
        <f t="shared" si="1"/>
        <v>164711.9137</v>
      </c>
    </row>
    <row r="447" ht="15.75" customHeight="1">
      <c r="A447" s="23">
        <v>39647.0</v>
      </c>
      <c r="B447" s="24">
        <v>4979.9</v>
      </c>
      <c r="C447" s="24">
        <v>4979.9</v>
      </c>
      <c r="D447" s="24">
        <v>4787.5</v>
      </c>
      <c r="E447" s="24">
        <v>4840.4</v>
      </c>
      <c r="F447" s="25">
        <v>4.0381E9</v>
      </c>
      <c r="G447" s="25">
        <v>2.38728E10</v>
      </c>
      <c r="H447" s="3">
        <f t="shared" si="1"/>
        <v>160097.903</v>
      </c>
    </row>
    <row r="448" ht="15.75" customHeight="1">
      <c r="A448" s="23">
        <v>39654.0</v>
      </c>
      <c r="B448" s="24">
        <v>4840.4</v>
      </c>
      <c r="C448" s="24">
        <v>5158.3</v>
      </c>
      <c r="D448" s="24">
        <v>4840.4</v>
      </c>
      <c r="E448" s="24">
        <v>4970.5</v>
      </c>
      <c r="F448" s="25">
        <v>4.2449E9</v>
      </c>
      <c r="G448" s="25">
        <v>3.03E10</v>
      </c>
      <c r="H448" s="3">
        <f t="shared" si="1"/>
        <v>164401.0055</v>
      </c>
    </row>
    <row r="449" ht="15.75" customHeight="1">
      <c r="A449" s="23">
        <v>39661.0</v>
      </c>
      <c r="B449" s="24">
        <v>4970.5</v>
      </c>
      <c r="C449" s="24">
        <v>5015.2</v>
      </c>
      <c r="D449" s="24">
        <v>4819.4</v>
      </c>
      <c r="E449" s="24">
        <v>4904.0</v>
      </c>
      <c r="F449" s="25">
        <v>3.5259E9</v>
      </c>
      <c r="G449" s="25">
        <v>2.44757E10</v>
      </c>
      <c r="H449" s="3">
        <f t="shared" si="1"/>
        <v>162201.495</v>
      </c>
    </row>
    <row r="450" ht="15.75" customHeight="1">
      <c r="A450" s="23">
        <v>39668.0</v>
      </c>
      <c r="B450" s="24">
        <v>4904.0</v>
      </c>
      <c r="C450" s="24">
        <v>5004.9</v>
      </c>
      <c r="D450" s="24">
        <v>4758.5</v>
      </c>
      <c r="E450" s="24">
        <v>4986.2</v>
      </c>
      <c r="F450" s="25">
        <v>3.9297E9</v>
      </c>
      <c r="G450" s="25">
        <v>2.45122E10</v>
      </c>
      <c r="H450" s="3">
        <f t="shared" si="1"/>
        <v>164920.2884</v>
      </c>
    </row>
    <row r="451" ht="15.75" customHeight="1">
      <c r="A451" s="23">
        <v>39675.0</v>
      </c>
      <c r="B451" s="24">
        <v>4986.2</v>
      </c>
      <c r="C451" s="24">
        <v>5072.9</v>
      </c>
      <c r="D451" s="24">
        <v>4931.7</v>
      </c>
      <c r="E451" s="24">
        <v>4981.7</v>
      </c>
      <c r="F451" s="25">
        <v>3.8751E9</v>
      </c>
      <c r="G451" s="25">
        <v>2.56741E10</v>
      </c>
      <c r="H451" s="3">
        <f t="shared" si="1"/>
        <v>164771.4494</v>
      </c>
    </row>
    <row r="452" ht="15.75" customHeight="1">
      <c r="A452" s="23">
        <v>39682.0</v>
      </c>
      <c r="B452" s="24">
        <v>4981.7</v>
      </c>
      <c r="C452" s="24">
        <v>5031.6</v>
      </c>
      <c r="D452" s="24">
        <v>4866.4</v>
      </c>
      <c r="E452" s="24">
        <v>4931.4</v>
      </c>
      <c r="F452" s="25">
        <v>4.1259E9</v>
      </c>
      <c r="G452" s="25">
        <v>2.50398E10</v>
      </c>
      <c r="H452" s="3">
        <f t="shared" si="1"/>
        <v>163107.7595</v>
      </c>
    </row>
    <row r="453" ht="15.75" customHeight="1">
      <c r="A453" s="23">
        <v>39689.0</v>
      </c>
      <c r="B453" s="24">
        <v>4931.4</v>
      </c>
      <c r="C453" s="24">
        <v>5146.3</v>
      </c>
      <c r="D453" s="24">
        <v>4895.0</v>
      </c>
      <c r="E453" s="24">
        <v>5135.6</v>
      </c>
      <c r="F453" s="25">
        <v>3.8607E9</v>
      </c>
      <c r="G453" s="25">
        <v>2.55739E10</v>
      </c>
      <c r="H453" s="3">
        <f t="shared" si="1"/>
        <v>169861.7451</v>
      </c>
    </row>
    <row r="454" ht="15.75" customHeight="1">
      <c r="A454" s="23">
        <v>39696.0</v>
      </c>
      <c r="B454" s="24">
        <v>5135.6</v>
      </c>
      <c r="C454" s="24">
        <v>5177.2</v>
      </c>
      <c r="D454" s="24">
        <v>4837.6</v>
      </c>
      <c r="E454" s="24">
        <v>4877.1</v>
      </c>
      <c r="F454" s="25">
        <v>3.8631E9</v>
      </c>
      <c r="G454" s="25">
        <v>2.49397E10</v>
      </c>
      <c r="H454" s="3">
        <f t="shared" si="1"/>
        <v>161311.7682</v>
      </c>
    </row>
    <row r="455" ht="15.75" customHeight="1">
      <c r="A455" s="23">
        <v>39703.0</v>
      </c>
      <c r="B455" s="24">
        <v>4877.1</v>
      </c>
      <c r="C455" s="24">
        <v>5081.7</v>
      </c>
      <c r="D455" s="24">
        <v>4811.4</v>
      </c>
      <c r="E455" s="24">
        <v>4903.8</v>
      </c>
      <c r="F455" s="25">
        <v>4.1413E9</v>
      </c>
      <c r="G455" s="25">
        <v>2.81827E10</v>
      </c>
      <c r="H455" s="3">
        <f t="shared" si="1"/>
        <v>162194.8799</v>
      </c>
    </row>
    <row r="456" ht="15.75" customHeight="1">
      <c r="A456" s="23">
        <v>39710.0</v>
      </c>
      <c r="B456" s="24">
        <v>4903.8</v>
      </c>
      <c r="C456" s="24">
        <v>4905.1</v>
      </c>
      <c r="D456" s="24">
        <v>4527.4</v>
      </c>
      <c r="E456" s="24">
        <v>4804.1</v>
      </c>
      <c r="F456" s="25">
        <v>6.7677E9</v>
      </c>
      <c r="G456" s="25">
        <v>4.08276E10</v>
      </c>
      <c r="H456" s="3">
        <f t="shared" si="1"/>
        <v>158897.268</v>
      </c>
    </row>
    <row r="457" ht="15.75" customHeight="1">
      <c r="A457" s="23">
        <v>39717.0</v>
      </c>
      <c r="B457" s="24">
        <v>4804.1</v>
      </c>
      <c r="C457" s="24">
        <v>5020.5</v>
      </c>
      <c r="D457" s="24">
        <v>4804.1</v>
      </c>
      <c r="E457" s="24">
        <v>4904.8</v>
      </c>
      <c r="F457" s="25">
        <v>4.1288E9</v>
      </c>
      <c r="G457" s="25">
        <v>2.85807E10</v>
      </c>
      <c r="H457" s="3">
        <f t="shared" si="1"/>
        <v>162227.9553</v>
      </c>
    </row>
    <row r="458" ht="15.75" customHeight="1">
      <c r="A458" s="23">
        <v>39724.0</v>
      </c>
      <c r="B458" s="24">
        <v>4904.8</v>
      </c>
      <c r="C458" s="24">
        <v>4956.6</v>
      </c>
      <c r="D458" s="24">
        <v>4540.7</v>
      </c>
      <c r="E458" s="24">
        <v>4695.4</v>
      </c>
      <c r="F458" s="25">
        <v>3.0265E9</v>
      </c>
      <c r="G458" s="25">
        <v>2.07637E10</v>
      </c>
      <c r="H458" s="3">
        <f t="shared" si="1"/>
        <v>155301.9779</v>
      </c>
    </row>
    <row r="459" ht="15.75" customHeight="1">
      <c r="A459" s="23">
        <v>39731.0</v>
      </c>
      <c r="B459" s="24">
        <v>4695.4</v>
      </c>
      <c r="C459" s="24">
        <v>4695.4</v>
      </c>
      <c r="D459" s="24">
        <v>3960.7</v>
      </c>
      <c r="E459" s="24">
        <v>3960.7</v>
      </c>
      <c r="F459" s="25">
        <v>3.894E9</v>
      </c>
      <c r="G459" s="25">
        <v>2.2303E10</v>
      </c>
      <c r="H459" s="3">
        <f t="shared" si="1"/>
        <v>131001.5215</v>
      </c>
    </row>
    <row r="460" ht="15.75" customHeight="1">
      <c r="A460" s="23">
        <v>39738.0</v>
      </c>
      <c r="B460" s="24">
        <v>3960.7</v>
      </c>
      <c r="C460" s="24">
        <v>4442.4</v>
      </c>
      <c r="D460" s="24">
        <v>3960.7</v>
      </c>
      <c r="E460" s="24">
        <v>3970.8</v>
      </c>
      <c r="F460" s="25">
        <v>4.6269E9</v>
      </c>
      <c r="G460" s="25">
        <v>2.47534E10</v>
      </c>
      <c r="H460" s="3">
        <f t="shared" si="1"/>
        <v>131335.5825</v>
      </c>
    </row>
    <row r="461" ht="15.75" customHeight="1">
      <c r="A461" s="23">
        <v>39745.0</v>
      </c>
      <c r="B461" s="24">
        <v>3970.8</v>
      </c>
      <c r="C461" s="24">
        <v>4302.5</v>
      </c>
      <c r="D461" s="24">
        <v>3830.0</v>
      </c>
      <c r="E461" s="24">
        <v>3869.4</v>
      </c>
      <c r="F461" s="25">
        <v>3.9631E9</v>
      </c>
      <c r="G461" s="25">
        <v>2.03142E10</v>
      </c>
      <c r="H461" s="3">
        <f t="shared" si="1"/>
        <v>127981.7424</v>
      </c>
    </row>
    <row r="462" ht="15.75" customHeight="1">
      <c r="A462" s="23">
        <v>39752.0</v>
      </c>
      <c r="B462" s="24">
        <v>3869.4</v>
      </c>
      <c r="C462" s="24">
        <v>4022.4</v>
      </c>
      <c r="D462" s="24">
        <v>3724.8</v>
      </c>
      <c r="E462" s="24">
        <v>4018.0</v>
      </c>
      <c r="F462" s="25">
        <v>4.8472E9</v>
      </c>
      <c r="G462" s="25">
        <v>2.3124E10</v>
      </c>
      <c r="H462" s="3">
        <f t="shared" si="1"/>
        <v>132896.7388</v>
      </c>
    </row>
    <row r="463" ht="15.75" customHeight="1">
      <c r="A463" s="23">
        <v>39759.0</v>
      </c>
      <c r="B463" s="24">
        <v>4018.0</v>
      </c>
      <c r="C463" s="24">
        <v>4340.5</v>
      </c>
      <c r="D463" s="24">
        <v>3963.8</v>
      </c>
      <c r="E463" s="24">
        <v>4051.3</v>
      </c>
      <c r="F463" s="25">
        <v>4.119E9</v>
      </c>
      <c r="G463" s="25">
        <v>2.02784E10</v>
      </c>
      <c r="H463" s="3">
        <f t="shared" si="1"/>
        <v>133998.1478</v>
      </c>
    </row>
    <row r="464" ht="15.75" customHeight="1">
      <c r="A464" s="23">
        <v>39766.0</v>
      </c>
      <c r="B464" s="24">
        <v>4051.3</v>
      </c>
      <c r="C464" s="24">
        <v>4159.8</v>
      </c>
      <c r="D464" s="24">
        <v>3697.3</v>
      </c>
      <c r="E464" s="24">
        <v>3748.1</v>
      </c>
      <c r="F464" s="25">
        <v>4.2006E9</v>
      </c>
      <c r="G464" s="25">
        <v>1.8234E10</v>
      </c>
      <c r="H464" s="3">
        <f t="shared" si="1"/>
        <v>123969.703</v>
      </c>
    </row>
    <row r="465" ht="15.75" customHeight="1">
      <c r="A465" s="23">
        <v>39773.0</v>
      </c>
      <c r="B465" s="24">
        <v>3748.1</v>
      </c>
      <c r="C465" s="24">
        <v>3748.1</v>
      </c>
      <c r="D465" s="24">
        <v>3217.5</v>
      </c>
      <c r="E465" s="24">
        <v>3416.5</v>
      </c>
      <c r="F465" s="25">
        <v>4.7307E9</v>
      </c>
      <c r="G465" s="25">
        <v>2.15337E10</v>
      </c>
      <c r="H465" s="3">
        <f t="shared" si="1"/>
        <v>113001.9184</v>
      </c>
    </row>
    <row r="466" ht="15.75" customHeight="1">
      <c r="A466" s="23">
        <v>39780.0</v>
      </c>
      <c r="B466" s="24">
        <v>3416.5</v>
      </c>
      <c r="C466" s="24">
        <v>3742.5</v>
      </c>
      <c r="D466" s="24">
        <v>3362.0</v>
      </c>
      <c r="E466" s="24">
        <v>3742.5</v>
      </c>
      <c r="F466" s="25">
        <v>4.6705E9</v>
      </c>
      <c r="G466" s="25">
        <v>2.3597E10</v>
      </c>
      <c r="H466" s="3">
        <f t="shared" si="1"/>
        <v>123784.481</v>
      </c>
    </row>
    <row r="467" ht="15.75" customHeight="1">
      <c r="A467" s="23">
        <v>39787.0</v>
      </c>
      <c r="B467" s="24">
        <v>3742.5</v>
      </c>
      <c r="C467" s="24">
        <v>3742.5</v>
      </c>
      <c r="D467" s="24">
        <v>3485.2</v>
      </c>
      <c r="E467" s="24">
        <v>3489.9</v>
      </c>
      <c r="F467" s="25">
        <v>3.737E9</v>
      </c>
      <c r="G467" s="25">
        <v>1.71473E10</v>
      </c>
      <c r="H467" s="3">
        <f t="shared" si="1"/>
        <v>115429.6487</v>
      </c>
    </row>
    <row r="468" ht="15.75" customHeight="1">
      <c r="A468" s="23">
        <v>39794.0</v>
      </c>
      <c r="B468" s="24">
        <v>3489.9</v>
      </c>
      <c r="C468" s="24">
        <v>3670.8</v>
      </c>
      <c r="D468" s="24">
        <v>3474.1</v>
      </c>
      <c r="E468" s="24">
        <v>3510.4</v>
      </c>
      <c r="F468" s="25">
        <v>3.8876E9</v>
      </c>
      <c r="G468" s="25">
        <v>1.92359E10</v>
      </c>
      <c r="H468" s="3">
        <f t="shared" si="1"/>
        <v>116107.6933</v>
      </c>
    </row>
    <row r="469" ht="15.75" customHeight="1">
      <c r="A469" s="23">
        <v>39801.0</v>
      </c>
      <c r="B469" s="24">
        <v>3510.4</v>
      </c>
      <c r="C469" s="24">
        <v>3664.4</v>
      </c>
      <c r="D469" s="24">
        <v>3507.7</v>
      </c>
      <c r="E469" s="24">
        <v>3615.7</v>
      </c>
      <c r="F469" s="25">
        <v>6.6098E9</v>
      </c>
      <c r="G469" s="25">
        <v>2.89533E10</v>
      </c>
      <c r="H469" s="3">
        <f t="shared" si="1"/>
        <v>119590.5272</v>
      </c>
    </row>
    <row r="470" ht="15.75" customHeight="1">
      <c r="A470" s="23">
        <v>39806.0</v>
      </c>
      <c r="B470" s="24">
        <v>3615.7</v>
      </c>
      <c r="C470" s="24">
        <v>3627.7</v>
      </c>
      <c r="D470" s="24">
        <v>3494.3</v>
      </c>
      <c r="E470" s="24">
        <v>3582.2</v>
      </c>
      <c r="F470" s="25">
        <v>1.5411E9</v>
      </c>
      <c r="G470" s="25">
        <v>5.3245E9</v>
      </c>
      <c r="H470" s="3">
        <f t="shared" si="1"/>
        <v>118482.5031</v>
      </c>
    </row>
    <row r="471" ht="15.75" customHeight="1">
      <c r="A471" s="23">
        <v>39815.0</v>
      </c>
      <c r="B471" s="24">
        <v>3582.2</v>
      </c>
      <c r="C471" s="24">
        <v>3767.5</v>
      </c>
      <c r="D471" s="24">
        <v>3572.7</v>
      </c>
      <c r="E471" s="24">
        <v>3713.8</v>
      </c>
      <c r="F471" s="25">
        <v>1.6112E9</v>
      </c>
      <c r="G471" s="25">
        <v>5.4239E9</v>
      </c>
      <c r="H471" s="3">
        <f t="shared" si="1"/>
        <v>122835.2186</v>
      </c>
    </row>
    <row r="472" ht="15.75" customHeight="1">
      <c r="A472" s="23">
        <v>39822.0</v>
      </c>
      <c r="B472" s="24">
        <v>3742.5</v>
      </c>
      <c r="C472" s="24">
        <v>3817.9</v>
      </c>
      <c r="D472" s="24">
        <v>3662.6</v>
      </c>
      <c r="E472" s="24">
        <v>3735.7</v>
      </c>
      <c r="F472" s="25">
        <v>3.6057E9</v>
      </c>
      <c r="G472" s="25">
        <v>1.27749E10</v>
      </c>
      <c r="H472" s="3">
        <f t="shared" si="1"/>
        <v>123559.5687</v>
      </c>
    </row>
    <row r="473" ht="15.75" customHeight="1">
      <c r="A473" s="23">
        <v>39829.0</v>
      </c>
      <c r="B473" s="24">
        <v>3722.0</v>
      </c>
      <c r="C473" s="24">
        <v>3722.0</v>
      </c>
      <c r="D473" s="24">
        <v>3515.1</v>
      </c>
      <c r="E473" s="24">
        <v>3550.9</v>
      </c>
      <c r="F473" s="25">
        <v>2.9538E9</v>
      </c>
      <c r="G473" s="25">
        <v>1.19663E10</v>
      </c>
      <c r="H473" s="3">
        <f t="shared" si="1"/>
        <v>117447.2448</v>
      </c>
    </row>
    <row r="474" ht="15.75" customHeight="1">
      <c r="A474" s="23">
        <v>39836.0</v>
      </c>
      <c r="B474" s="24">
        <v>3556.0</v>
      </c>
      <c r="C474" s="24">
        <v>3602.0</v>
      </c>
      <c r="D474" s="24">
        <v>3342.7</v>
      </c>
      <c r="E474" s="24">
        <v>3342.7</v>
      </c>
      <c r="F474" s="25">
        <v>3.1111E9</v>
      </c>
      <c r="G474" s="25">
        <v>1.45411E10</v>
      </c>
      <c r="H474" s="3">
        <f t="shared" si="1"/>
        <v>110560.9579</v>
      </c>
    </row>
    <row r="475" ht="15.75" customHeight="1">
      <c r="A475" s="23">
        <v>39843.0</v>
      </c>
      <c r="B475" s="24">
        <v>3376.0</v>
      </c>
      <c r="C475" s="24">
        <v>3564.1</v>
      </c>
      <c r="D475" s="24">
        <v>3374.0</v>
      </c>
      <c r="E475" s="24">
        <v>3540.7</v>
      </c>
      <c r="F475" s="25">
        <v>2.9843E9</v>
      </c>
      <c r="G475" s="25">
        <v>1.60372E10</v>
      </c>
      <c r="H475" s="3">
        <f t="shared" si="1"/>
        <v>117109.8763</v>
      </c>
    </row>
    <row r="476" ht="15.75" customHeight="1">
      <c r="A476" s="23">
        <v>39850.0</v>
      </c>
      <c r="B476" s="24">
        <v>3519.4</v>
      </c>
      <c r="C476" s="24">
        <v>3578.7</v>
      </c>
      <c r="D476" s="24">
        <v>3414.5</v>
      </c>
      <c r="E476" s="24">
        <v>3469.9</v>
      </c>
      <c r="F476" s="25">
        <v>4.0958E9</v>
      </c>
      <c r="G476" s="25">
        <v>1.72317E10</v>
      </c>
      <c r="H476" s="3">
        <f t="shared" si="1"/>
        <v>114768.1418</v>
      </c>
    </row>
    <row r="477" ht="15.75" customHeight="1">
      <c r="A477" s="23">
        <v>39857.0</v>
      </c>
      <c r="B477" s="24">
        <v>3498.4</v>
      </c>
      <c r="C477" s="24">
        <v>3559.5</v>
      </c>
      <c r="D477" s="24">
        <v>3409.6</v>
      </c>
      <c r="E477" s="24">
        <v>3559.1</v>
      </c>
      <c r="F477" s="25">
        <v>3.5742E9</v>
      </c>
      <c r="G477" s="25">
        <v>1.56729E10</v>
      </c>
      <c r="H477" s="3">
        <f t="shared" si="1"/>
        <v>117718.4627</v>
      </c>
    </row>
    <row r="478" ht="15.75" customHeight="1">
      <c r="A478" s="23">
        <v>39864.0</v>
      </c>
      <c r="B478" s="24">
        <v>3548.8</v>
      </c>
      <c r="C478" s="24">
        <v>3548.8</v>
      </c>
      <c r="D478" s="24">
        <v>3368.1</v>
      </c>
      <c r="E478" s="24">
        <v>3402.4</v>
      </c>
      <c r="F478" s="25">
        <v>4.2042E9</v>
      </c>
      <c r="G478" s="25">
        <v>1.61245E10</v>
      </c>
      <c r="H478" s="3">
        <f t="shared" si="1"/>
        <v>112535.556</v>
      </c>
    </row>
    <row r="479" ht="15.75" customHeight="1">
      <c r="A479" s="23">
        <v>39871.0</v>
      </c>
      <c r="B479" s="24">
        <v>3386.9</v>
      </c>
      <c r="C479" s="24">
        <v>3386.9</v>
      </c>
      <c r="D479" s="24">
        <v>3296.2</v>
      </c>
      <c r="E479" s="24">
        <v>3344.5</v>
      </c>
      <c r="F479" s="25">
        <v>4.7514E9</v>
      </c>
      <c r="G479" s="25">
        <v>1.69855E10</v>
      </c>
      <c r="H479" s="3">
        <f t="shared" si="1"/>
        <v>110620.4935</v>
      </c>
    </row>
    <row r="480" ht="15.75" customHeight="1">
      <c r="A480" s="23">
        <v>39878.0</v>
      </c>
      <c r="B480" s="24">
        <v>3329.4</v>
      </c>
      <c r="C480" s="24">
        <v>3330.4</v>
      </c>
      <c r="D480" s="24">
        <v>3124.3</v>
      </c>
      <c r="E480" s="24">
        <v>3145.5</v>
      </c>
      <c r="F480" s="25">
        <v>4.6229E9</v>
      </c>
      <c r="G480" s="25">
        <v>1.66124E10</v>
      </c>
      <c r="H480" s="3">
        <f t="shared" si="1"/>
        <v>104038.4997</v>
      </c>
    </row>
    <row r="481" ht="15.75" customHeight="1">
      <c r="A481" s="23">
        <v>39885.0</v>
      </c>
      <c r="B481" s="24">
        <v>3165.5</v>
      </c>
      <c r="C481" s="24">
        <v>3353.5</v>
      </c>
      <c r="D481" s="24">
        <v>3120.8</v>
      </c>
      <c r="E481" s="24">
        <v>3345.2</v>
      </c>
      <c r="F481" s="25">
        <v>4.5826E9</v>
      </c>
      <c r="G481" s="25">
        <v>1.70787E10</v>
      </c>
      <c r="H481" s="3">
        <f t="shared" si="1"/>
        <v>110643.6462</v>
      </c>
    </row>
    <row r="482" ht="15.75" customHeight="1">
      <c r="A482" s="23">
        <v>39892.0</v>
      </c>
      <c r="B482" s="24">
        <v>3345.8</v>
      </c>
      <c r="C482" s="24">
        <v>3500.7</v>
      </c>
      <c r="D482" s="24">
        <v>3339.9</v>
      </c>
      <c r="E482" s="24">
        <v>3465.8</v>
      </c>
      <c r="F482" s="25">
        <v>7.6896E9</v>
      </c>
      <c r="G482" s="25">
        <v>2.64752E10</v>
      </c>
      <c r="H482" s="3">
        <f t="shared" si="1"/>
        <v>114632.5329</v>
      </c>
    </row>
    <row r="483" ht="15.75" customHeight="1">
      <c r="A483" s="23">
        <v>39899.0</v>
      </c>
      <c r="B483" s="24">
        <v>3469.9</v>
      </c>
      <c r="C483" s="24">
        <v>3706.6</v>
      </c>
      <c r="D483" s="24">
        <v>3456.2</v>
      </c>
      <c r="E483" s="24">
        <v>3672.3</v>
      </c>
      <c r="F483" s="25">
        <v>5.1767E9</v>
      </c>
      <c r="G483" s="25">
        <v>2.232E10</v>
      </c>
      <c r="H483" s="3">
        <f t="shared" si="1"/>
        <v>121462.5918</v>
      </c>
    </row>
    <row r="484" ht="15.75" customHeight="1">
      <c r="A484" s="23">
        <v>39906.0</v>
      </c>
      <c r="B484" s="24">
        <v>3658.0</v>
      </c>
      <c r="C484" s="24">
        <v>3750.1</v>
      </c>
      <c r="D484" s="24">
        <v>3550.9</v>
      </c>
      <c r="E484" s="24">
        <v>3735.6</v>
      </c>
      <c r="F484" s="25">
        <v>5.1483E9</v>
      </c>
      <c r="G484" s="25">
        <v>1.816E10</v>
      </c>
      <c r="H484" s="3">
        <f t="shared" si="1"/>
        <v>123556.2612</v>
      </c>
    </row>
    <row r="485" ht="15.75" customHeight="1">
      <c r="A485" s="23">
        <v>39912.0</v>
      </c>
      <c r="B485" s="24">
        <v>3733.8</v>
      </c>
      <c r="C485" s="24">
        <v>3763.1</v>
      </c>
      <c r="D485" s="24">
        <v>3610.9</v>
      </c>
      <c r="E485" s="24">
        <v>3671.6</v>
      </c>
      <c r="F485" s="25">
        <v>3.814E9</v>
      </c>
      <c r="G485" s="25">
        <v>1.3674E10</v>
      </c>
      <c r="H485" s="3">
        <f t="shared" si="1"/>
        <v>121439.439</v>
      </c>
    </row>
    <row r="486" ht="15.75" customHeight="1">
      <c r="A486" s="23">
        <v>39920.0</v>
      </c>
      <c r="B486" s="24">
        <v>3697.0</v>
      </c>
      <c r="C486" s="24">
        <v>3851.2</v>
      </c>
      <c r="D486" s="24">
        <v>3696.4</v>
      </c>
      <c r="E486" s="24">
        <v>3776.7</v>
      </c>
      <c r="F486" s="25">
        <v>3.7325E9</v>
      </c>
      <c r="G486" s="25">
        <v>1.27638E10</v>
      </c>
      <c r="H486" s="3">
        <f t="shared" si="1"/>
        <v>124915.6579</v>
      </c>
    </row>
    <row r="487" ht="15.75" customHeight="1">
      <c r="A487" s="23">
        <v>39927.0</v>
      </c>
      <c r="B487" s="24">
        <v>3777.9</v>
      </c>
      <c r="C487" s="24">
        <v>3788.0</v>
      </c>
      <c r="D487" s="24">
        <v>3661.0</v>
      </c>
      <c r="E487" s="24">
        <v>3712.3</v>
      </c>
      <c r="F487" s="25">
        <v>4.689E9</v>
      </c>
      <c r="G487" s="25">
        <v>1.79956E10</v>
      </c>
      <c r="H487" s="3">
        <f t="shared" si="1"/>
        <v>122785.6056</v>
      </c>
    </row>
    <row r="488" ht="15.75" customHeight="1">
      <c r="A488" s="23">
        <v>39934.0</v>
      </c>
      <c r="B488" s="24">
        <v>3725.0</v>
      </c>
      <c r="C488" s="24">
        <v>3799.3</v>
      </c>
      <c r="D488" s="24">
        <v>3679.8</v>
      </c>
      <c r="E488" s="24">
        <v>3769.6</v>
      </c>
      <c r="F488" s="25">
        <v>4.5875E9</v>
      </c>
      <c r="G488" s="25">
        <v>1.63474E10</v>
      </c>
      <c r="H488" s="3">
        <f t="shared" si="1"/>
        <v>124680.8229</v>
      </c>
    </row>
    <row r="489" ht="15.75" customHeight="1">
      <c r="A489" s="23">
        <v>39941.0</v>
      </c>
      <c r="B489" s="24">
        <v>3781.5</v>
      </c>
      <c r="C489" s="24">
        <v>3954.2</v>
      </c>
      <c r="D489" s="24">
        <v>3781.5</v>
      </c>
      <c r="E489" s="24">
        <v>3941.7</v>
      </c>
      <c r="F489" s="25">
        <v>5.7574E9</v>
      </c>
      <c r="G489" s="25">
        <v>2.13266E10</v>
      </c>
      <c r="H489" s="3">
        <f t="shared" si="1"/>
        <v>130373.0899</v>
      </c>
    </row>
    <row r="490" ht="15.75" customHeight="1">
      <c r="A490" s="23">
        <v>39948.0</v>
      </c>
      <c r="B490" s="24">
        <v>3943.2</v>
      </c>
      <c r="C490" s="24">
        <v>3960.4</v>
      </c>
      <c r="D490" s="24">
        <v>3722.7</v>
      </c>
      <c r="E490" s="24">
        <v>3773.2</v>
      </c>
      <c r="F490" s="25">
        <v>6.3485E9</v>
      </c>
      <c r="G490" s="25">
        <v>2.1955E10</v>
      </c>
      <c r="H490" s="3">
        <f t="shared" si="1"/>
        <v>124799.8942</v>
      </c>
    </row>
    <row r="491" ht="15.75" customHeight="1">
      <c r="A491" s="23">
        <v>39955.0</v>
      </c>
      <c r="B491" s="24">
        <v>3763.8</v>
      </c>
      <c r="C491" s="24">
        <v>3831.5</v>
      </c>
      <c r="D491" s="24">
        <v>3714.9</v>
      </c>
      <c r="E491" s="24">
        <v>3761.6</v>
      </c>
      <c r="F491" s="25">
        <v>5.031E9</v>
      </c>
      <c r="G491" s="25">
        <v>1.80381E10</v>
      </c>
      <c r="H491" s="3">
        <f t="shared" si="1"/>
        <v>124416.2201</v>
      </c>
    </row>
    <row r="492" ht="15.75" customHeight="1">
      <c r="A492" s="23">
        <v>39962.0</v>
      </c>
      <c r="B492" s="24">
        <v>3763.7</v>
      </c>
      <c r="C492" s="24">
        <v>3836.9</v>
      </c>
      <c r="D492" s="24">
        <v>3722.0</v>
      </c>
      <c r="E492" s="24">
        <v>3818.0</v>
      </c>
      <c r="F492" s="25">
        <v>6.3274E9</v>
      </c>
      <c r="G492" s="25">
        <v>2.39854E10</v>
      </c>
      <c r="H492" s="3">
        <f t="shared" si="1"/>
        <v>126281.6696</v>
      </c>
    </row>
    <row r="493" ht="15.75" customHeight="1">
      <c r="A493" s="23">
        <v>39969.0</v>
      </c>
      <c r="B493" s="24">
        <v>3826.4</v>
      </c>
      <c r="C493" s="24">
        <v>4021.3</v>
      </c>
      <c r="D493" s="24">
        <v>3810.2</v>
      </c>
      <c r="E493" s="24">
        <v>3971.2</v>
      </c>
      <c r="F493" s="25">
        <v>7.536E9</v>
      </c>
      <c r="G493" s="25">
        <v>2.92095E10</v>
      </c>
      <c r="H493" s="3">
        <f t="shared" si="1"/>
        <v>131348.8126</v>
      </c>
    </row>
    <row r="494" ht="15.75" customHeight="1">
      <c r="A494" s="23">
        <v>39976.0</v>
      </c>
      <c r="B494" s="24">
        <v>3959.2</v>
      </c>
      <c r="C494" s="24">
        <v>4079.4</v>
      </c>
      <c r="D494" s="24">
        <v>3934.9</v>
      </c>
      <c r="E494" s="24">
        <v>4062.2</v>
      </c>
      <c r="F494" s="25">
        <v>5.9629E9</v>
      </c>
      <c r="G494" s="25">
        <v>2.22098E10</v>
      </c>
      <c r="H494" s="3">
        <f t="shared" si="1"/>
        <v>134358.669</v>
      </c>
    </row>
    <row r="495" ht="15.75" customHeight="1">
      <c r="A495" s="23">
        <v>39983.0</v>
      </c>
      <c r="B495" s="24">
        <v>4048.8</v>
      </c>
      <c r="C495" s="24">
        <v>4058.8</v>
      </c>
      <c r="D495" s="24">
        <v>3871.5</v>
      </c>
      <c r="E495" s="24">
        <v>3899.6</v>
      </c>
      <c r="F495" s="25">
        <v>7.2888E9</v>
      </c>
      <c r="G495" s="25">
        <v>2.78838E10</v>
      </c>
      <c r="H495" s="3">
        <f t="shared" si="1"/>
        <v>128980.6178</v>
      </c>
    </row>
    <row r="496" ht="15.75" customHeight="1">
      <c r="A496" s="23">
        <v>39990.0</v>
      </c>
      <c r="B496" s="24">
        <v>3908.9</v>
      </c>
      <c r="C496" s="24">
        <v>3931.2</v>
      </c>
      <c r="D496" s="24">
        <v>3767.9</v>
      </c>
      <c r="E496" s="24">
        <v>3903.8</v>
      </c>
      <c r="F496" s="25">
        <v>5.3292E9</v>
      </c>
      <c r="G496" s="25">
        <v>2.47879E10</v>
      </c>
      <c r="H496" s="3">
        <f t="shared" si="1"/>
        <v>129119.5343</v>
      </c>
    </row>
    <row r="497" ht="15.75" customHeight="1">
      <c r="A497" s="23">
        <v>39997.0</v>
      </c>
      <c r="B497" s="24">
        <v>3899.4</v>
      </c>
      <c r="C497" s="24">
        <v>3955.5</v>
      </c>
      <c r="D497" s="24">
        <v>3804.1</v>
      </c>
      <c r="E497" s="24">
        <v>3828.2</v>
      </c>
      <c r="F497" s="25">
        <v>4.7832E9</v>
      </c>
      <c r="G497" s="25">
        <v>1.97679E10</v>
      </c>
      <c r="H497" s="3">
        <f t="shared" si="1"/>
        <v>126619.0382</v>
      </c>
    </row>
    <row r="498" ht="15.75" customHeight="1">
      <c r="A498" s="23">
        <v>40004.0</v>
      </c>
      <c r="B498" s="24">
        <v>3821.0</v>
      </c>
      <c r="C498" s="24">
        <v>3821.4</v>
      </c>
      <c r="D498" s="24">
        <v>3709.2</v>
      </c>
      <c r="E498" s="24">
        <v>3794.1</v>
      </c>
      <c r="F498" s="25">
        <v>4.2341E9</v>
      </c>
      <c r="G498" s="25">
        <v>1.68593E10</v>
      </c>
      <c r="H498" s="3">
        <f t="shared" si="1"/>
        <v>125491.1689</v>
      </c>
    </row>
    <row r="499" ht="15.75" customHeight="1">
      <c r="A499" s="23">
        <v>40011.0</v>
      </c>
      <c r="B499" s="24">
        <v>3790.3</v>
      </c>
      <c r="C499" s="24">
        <v>4026.7</v>
      </c>
      <c r="D499" s="24">
        <v>3735.6</v>
      </c>
      <c r="E499" s="24">
        <v>4000.8</v>
      </c>
      <c r="F499" s="25">
        <v>4.4157E9</v>
      </c>
      <c r="G499" s="25">
        <v>1.90455E10</v>
      </c>
      <c r="H499" s="3">
        <f t="shared" si="1"/>
        <v>132327.8428</v>
      </c>
    </row>
    <row r="500" ht="15.75" customHeight="1">
      <c r="A500" s="23">
        <v>40018.0</v>
      </c>
      <c r="B500" s="24">
        <v>4006.8</v>
      </c>
      <c r="C500" s="24">
        <v>4122.1</v>
      </c>
      <c r="D500" s="24">
        <v>4006.8</v>
      </c>
      <c r="E500" s="24">
        <v>4089.8</v>
      </c>
      <c r="F500" s="25">
        <v>5.1564E9</v>
      </c>
      <c r="G500" s="25">
        <v>2.33905E10</v>
      </c>
      <c r="H500" s="3">
        <f t="shared" si="1"/>
        <v>135271.5486</v>
      </c>
    </row>
    <row r="501" ht="15.75" customHeight="1">
      <c r="A501" s="23">
        <v>40025.0</v>
      </c>
      <c r="B501" s="24">
        <v>4097.5</v>
      </c>
      <c r="C501" s="24">
        <v>4247.9</v>
      </c>
      <c r="D501" s="24">
        <v>4097.5</v>
      </c>
      <c r="E501" s="24">
        <v>4244.0</v>
      </c>
      <c r="F501" s="25">
        <v>6.5582E9</v>
      </c>
      <c r="G501" s="25">
        <v>2.87575E10</v>
      </c>
      <c r="H501" s="3">
        <f t="shared" si="1"/>
        <v>140371.7669</v>
      </c>
    </row>
    <row r="502" ht="15.75" customHeight="1">
      <c r="A502" s="23">
        <v>40032.0</v>
      </c>
      <c r="B502" s="24">
        <v>4245.9</v>
      </c>
      <c r="C502" s="24">
        <v>4340.0</v>
      </c>
      <c r="D502" s="24">
        <v>4244.6</v>
      </c>
      <c r="E502" s="24">
        <v>4299.4</v>
      </c>
      <c r="F502" s="25">
        <v>1.06208E10</v>
      </c>
      <c r="G502" s="25">
        <v>2.7146E10</v>
      </c>
      <c r="H502" s="3">
        <f t="shared" si="1"/>
        <v>142204.141</v>
      </c>
    </row>
    <row r="503" ht="15.75" customHeight="1">
      <c r="A503" s="23">
        <v>40039.0</v>
      </c>
      <c r="B503" s="24">
        <v>4311.9</v>
      </c>
      <c r="C503" s="24">
        <v>4509.5</v>
      </c>
      <c r="D503" s="24">
        <v>4279.0</v>
      </c>
      <c r="E503" s="24">
        <v>4461.0</v>
      </c>
      <c r="F503" s="25">
        <v>7.032E9</v>
      </c>
      <c r="G503" s="25">
        <v>2.60009E10</v>
      </c>
      <c r="H503" s="3">
        <f t="shared" si="1"/>
        <v>147549.1169</v>
      </c>
    </row>
    <row r="504" ht="15.75" customHeight="1">
      <c r="A504" s="23">
        <v>40046.0</v>
      </c>
      <c r="B504" s="24">
        <v>4451.0</v>
      </c>
      <c r="C504" s="24">
        <v>4451.0</v>
      </c>
      <c r="D504" s="24">
        <v>4260.7</v>
      </c>
      <c r="E504" s="24">
        <v>4290.6</v>
      </c>
      <c r="F504" s="25">
        <v>7.2741E9</v>
      </c>
      <c r="G504" s="25">
        <v>3.0266E10</v>
      </c>
      <c r="H504" s="3">
        <f t="shared" si="1"/>
        <v>141913.078</v>
      </c>
    </row>
    <row r="505" ht="15.75" customHeight="1">
      <c r="A505" s="23">
        <v>40053.0</v>
      </c>
      <c r="B505" s="24">
        <v>4291.6</v>
      </c>
      <c r="C505" s="24">
        <v>4492.6</v>
      </c>
      <c r="D505" s="24">
        <v>4290.6</v>
      </c>
      <c r="E505" s="24">
        <v>4489.6</v>
      </c>
      <c r="F505" s="25">
        <v>7.5076E9</v>
      </c>
      <c r="G505" s="25">
        <v>2.88843E10</v>
      </c>
      <c r="H505" s="3">
        <f t="shared" si="1"/>
        <v>148495.0718</v>
      </c>
    </row>
    <row r="506" ht="15.75" customHeight="1">
      <c r="A506" s="23">
        <v>40060.0</v>
      </c>
      <c r="B506" s="24">
        <v>4485.7</v>
      </c>
      <c r="C506" s="24">
        <v>4537.2</v>
      </c>
      <c r="D506" s="24">
        <v>4410.0</v>
      </c>
      <c r="E506" s="24">
        <v>4435.5</v>
      </c>
      <c r="F506" s="25">
        <v>7.0304E9</v>
      </c>
      <c r="G506" s="25">
        <v>2.79905E10</v>
      </c>
      <c r="H506" s="3">
        <f t="shared" si="1"/>
        <v>146705.6956</v>
      </c>
    </row>
    <row r="507" ht="15.75" customHeight="1">
      <c r="A507" s="23">
        <v>40067.0</v>
      </c>
      <c r="B507" s="24">
        <v>4443.1</v>
      </c>
      <c r="C507" s="24">
        <v>4608.6</v>
      </c>
      <c r="D507" s="24">
        <v>4441.0</v>
      </c>
      <c r="E507" s="24">
        <v>4596.1</v>
      </c>
      <c r="F507" s="25">
        <v>7.7484E9</v>
      </c>
      <c r="G507" s="25">
        <v>2.86854E10</v>
      </c>
      <c r="H507" s="3">
        <f t="shared" si="1"/>
        <v>152017.5961</v>
      </c>
    </row>
    <row r="508" ht="15.75" customHeight="1">
      <c r="A508" s="23">
        <v>40074.0</v>
      </c>
      <c r="B508" s="24">
        <v>4595.7</v>
      </c>
      <c r="C508" s="24">
        <v>4749.7</v>
      </c>
      <c r="D508" s="24">
        <v>4518.8</v>
      </c>
      <c r="E508" s="24">
        <v>4693.2</v>
      </c>
      <c r="F508" s="25">
        <v>8.0862E9</v>
      </c>
      <c r="G508" s="25">
        <v>3.52455E10</v>
      </c>
      <c r="H508" s="3">
        <f t="shared" si="1"/>
        <v>155229.2121</v>
      </c>
    </row>
    <row r="509" ht="15.75" customHeight="1">
      <c r="A509" s="23">
        <v>40081.0</v>
      </c>
      <c r="B509" s="24">
        <v>4687.4</v>
      </c>
      <c r="C509" s="24">
        <v>4735.6</v>
      </c>
      <c r="D509" s="24">
        <v>4639.4</v>
      </c>
      <c r="E509" s="24">
        <v>4713.3</v>
      </c>
      <c r="F509" s="25">
        <v>6.2217E9</v>
      </c>
      <c r="G509" s="25">
        <v>2.60733E10</v>
      </c>
      <c r="H509" s="3">
        <f t="shared" si="1"/>
        <v>155894.0266</v>
      </c>
    </row>
    <row r="510" ht="15.75" customHeight="1">
      <c r="A510" s="23">
        <v>40088.0</v>
      </c>
      <c r="B510" s="24">
        <v>4703.8</v>
      </c>
      <c r="C510" s="24">
        <v>4767.9</v>
      </c>
      <c r="D510" s="24">
        <v>4601.5</v>
      </c>
      <c r="E510" s="24">
        <v>4601.7</v>
      </c>
      <c r="F510" s="25">
        <v>5.4708E9</v>
      </c>
      <c r="G510" s="25">
        <v>2.12737E10</v>
      </c>
      <c r="H510" s="3">
        <f t="shared" si="1"/>
        <v>152202.818</v>
      </c>
    </row>
    <row r="511" ht="15.75" customHeight="1">
      <c r="A511" s="23">
        <v>40095.0</v>
      </c>
      <c r="B511" s="24">
        <v>4601.3</v>
      </c>
      <c r="C511" s="24">
        <v>4803.5</v>
      </c>
      <c r="D511" s="24">
        <v>4573.3</v>
      </c>
      <c r="E511" s="24">
        <v>4752.9</v>
      </c>
      <c r="F511" s="25">
        <v>5.2387E9</v>
      </c>
      <c r="G511" s="25">
        <v>2.303E10</v>
      </c>
      <c r="H511" s="3">
        <f t="shared" si="1"/>
        <v>157203.8103</v>
      </c>
    </row>
    <row r="512" ht="15.75" customHeight="1">
      <c r="A512" s="23">
        <v>40102.0</v>
      </c>
      <c r="B512" s="24">
        <v>4761.2</v>
      </c>
      <c r="C512" s="24">
        <v>4895.3</v>
      </c>
      <c r="D512" s="24">
        <v>4736.9</v>
      </c>
      <c r="E512" s="24">
        <v>4836.4</v>
      </c>
      <c r="F512" s="25">
        <v>5.3286E9</v>
      </c>
      <c r="G512" s="25">
        <v>2.19149E10</v>
      </c>
      <c r="H512" s="3">
        <f t="shared" si="1"/>
        <v>159965.6016</v>
      </c>
    </row>
    <row r="513" ht="15.75" customHeight="1">
      <c r="A513" s="23">
        <v>40109.0</v>
      </c>
      <c r="B513" s="24">
        <v>4830.4</v>
      </c>
      <c r="C513" s="24">
        <v>4871.3</v>
      </c>
      <c r="D513" s="24">
        <v>4772.1</v>
      </c>
      <c r="E513" s="24">
        <v>4859.4</v>
      </c>
      <c r="F513" s="25">
        <v>6.3542E9</v>
      </c>
      <c r="G513" s="25">
        <v>2.58273E10</v>
      </c>
      <c r="H513" s="3">
        <f t="shared" si="1"/>
        <v>160726.3346</v>
      </c>
    </row>
    <row r="514" ht="15.75" customHeight="1">
      <c r="A514" s="23">
        <v>40116.0</v>
      </c>
      <c r="B514" s="24">
        <v>4845.8</v>
      </c>
      <c r="C514" s="24">
        <v>4848.8</v>
      </c>
      <c r="D514" s="24">
        <v>4562.5</v>
      </c>
      <c r="E514" s="24">
        <v>4643.2</v>
      </c>
      <c r="F514" s="25">
        <v>6.7357E9</v>
      </c>
      <c r="G514" s="25">
        <v>3.11124E10</v>
      </c>
      <c r="H514" s="3">
        <f t="shared" si="1"/>
        <v>153575.4449</v>
      </c>
    </row>
    <row r="515" ht="15.75" customHeight="1">
      <c r="A515" s="23">
        <v>40123.0</v>
      </c>
      <c r="B515" s="24">
        <v>4611.0</v>
      </c>
      <c r="C515" s="24">
        <v>4611.3</v>
      </c>
      <c r="D515" s="24">
        <v>4502.5</v>
      </c>
      <c r="E515" s="24">
        <v>4594.0</v>
      </c>
      <c r="F515" s="25">
        <v>5.1781E9</v>
      </c>
      <c r="G515" s="25">
        <v>2.08873E10</v>
      </c>
      <c r="H515" s="3">
        <f t="shared" si="1"/>
        <v>151948.1379</v>
      </c>
    </row>
    <row r="516" ht="15.75" customHeight="1">
      <c r="A516" s="23">
        <v>40130.0</v>
      </c>
      <c r="B516" s="24">
        <v>4596.8</v>
      </c>
      <c r="C516" s="24">
        <v>4796.6</v>
      </c>
      <c r="D516" s="24">
        <v>4596.5</v>
      </c>
      <c r="E516" s="24">
        <v>4706.4</v>
      </c>
      <c r="F516" s="25">
        <v>5.782099E9</v>
      </c>
      <c r="G516" s="25">
        <v>2.63732E10</v>
      </c>
      <c r="H516" s="3">
        <f t="shared" si="1"/>
        <v>155665.8067</v>
      </c>
    </row>
    <row r="517" ht="15.75" customHeight="1">
      <c r="A517" s="23">
        <v>40137.0</v>
      </c>
      <c r="B517" s="24">
        <v>4715.9</v>
      </c>
      <c r="C517" s="24">
        <v>4799.0</v>
      </c>
      <c r="D517" s="24">
        <v>4673.2</v>
      </c>
      <c r="E517" s="24">
        <v>4685.8</v>
      </c>
      <c r="F517" s="25">
        <v>5.2123E9</v>
      </c>
      <c r="G517" s="25">
        <v>2.25216E10</v>
      </c>
      <c r="H517" s="3">
        <f t="shared" si="1"/>
        <v>154984.4546</v>
      </c>
    </row>
    <row r="518" ht="15.75" customHeight="1">
      <c r="A518" s="23">
        <v>40144.0</v>
      </c>
      <c r="B518" s="24">
        <v>4688.8</v>
      </c>
      <c r="C518" s="24">
        <v>4763.9</v>
      </c>
      <c r="D518" s="24">
        <v>4562.7</v>
      </c>
      <c r="E518" s="24">
        <v>4572.1</v>
      </c>
      <c r="F518" s="25">
        <v>5.2136E9</v>
      </c>
      <c r="G518" s="25">
        <v>2.50625E10</v>
      </c>
      <c r="H518" s="3">
        <f t="shared" si="1"/>
        <v>151223.7878</v>
      </c>
    </row>
    <row r="519" ht="15.75" customHeight="1">
      <c r="A519" s="23">
        <v>40151.0</v>
      </c>
      <c r="B519" s="24">
        <v>4592.8</v>
      </c>
      <c r="C519" s="24">
        <v>4795.2</v>
      </c>
      <c r="D519" s="24">
        <v>4592.8</v>
      </c>
      <c r="E519" s="24">
        <v>4702.2</v>
      </c>
      <c r="F519" s="25">
        <v>5.0524E9</v>
      </c>
      <c r="G519" s="25">
        <v>2.32282E10</v>
      </c>
      <c r="H519" s="3">
        <f t="shared" si="1"/>
        <v>155526.8903</v>
      </c>
    </row>
    <row r="520" ht="15.75" customHeight="1">
      <c r="A520" s="23">
        <v>40158.0</v>
      </c>
      <c r="B520" s="24">
        <v>4707.4</v>
      </c>
      <c r="C520" s="24">
        <v>4723.1</v>
      </c>
      <c r="D520" s="24">
        <v>4596.2</v>
      </c>
      <c r="E520" s="24">
        <v>4635.2</v>
      </c>
      <c r="F520" s="25">
        <v>4.9422E9</v>
      </c>
      <c r="G520" s="25">
        <v>2.16394E10</v>
      </c>
      <c r="H520" s="3">
        <f t="shared" si="1"/>
        <v>153310.8421</v>
      </c>
    </row>
    <row r="521" ht="15.75" customHeight="1">
      <c r="A521" s="23">
        <v>40165.0</v>
      </c>
      <c r="B521" s="24">
        <v>4635.6</v>
      </c>
      <c r="C521" s="24">
        <v>4703.1</v>
      </c>
      <c r="D521" s="24">
        <v>4604.7</v>
      </c>
      <c r="E521" s="24">
        <v>4650.5</v>
      </c>
      <c r="F521" s="25">
        <v>5.9305E9</v>
      </c>
      <c r="G521" s="25">
        <v>2.97929E10</v>
      </c>
      <c r="H521" s="3">
        <f t="shared" si="1"/>
        <v>153816.8949</v>
      </c>
    </row>
    <row r="522" ht="15.75" customHeight="1">
      <c r="A522" s="23">
        <v>40171.0</v>
      </c>
      <c r="B522" s="24">
        <v>4660.4</v>
      </c>
      <c r="C522" s="24">
        <v>4790.9</v>
      </c>
      <c r="D522" s="24">
        <v>4635.1</v>
      </c>
      <c r="E522" s="24">
        <v>4790.9</v>
      </c>
      <c r="F522" s="25">
        <v>2.2984E9</v>
      </c>
      <c r="G522" s="25">
        <v>1.09759E10</v>
      </c>
      <c r="H522" s="3">
        <f t="shared" si="1"/>
        <v>158460.6734</v>
      </c>
    </row>
    <row r="523" ht="15.75" customHeight="1">
      <c r="A523" s="23">
        <v>40178.0</v>
      </c>
      <c r="B523" s="24">
        <v>4796.5</v>
      </c>
      <c r="C523" s="24">
        <v>4873.6</v>
      </c>
      <c r="D523" s="24">
        <v>4796.5</v>
      </c>
      <c r="E523" s="24">
        <v>4870.6</v>
      </c>
      <c r="F523" s="25">
        <v>1.2262E9</v>
      </c>
      <c r="G523" s="25">
        <v>5.3632E9</v>
      </c>
      <c r="H523" s="3">
        <f t="shared" si="1"/>
        <v>161096.7785</v>
      </c>
    </row>
    <row r="524" ht="15.75" customHeight="1">
      <c r="A524" s="23">
        <v>40186.0</v>
      </c>
      <c r="B524" s="24">
        <v>4864.9</v>
      </c>
      <c r="C524" s="24">
        <v>4938.5</v>
      </c>
      <c r="D524" s="24">
        <v>4862.3</v>
      </c>
      <c r="E524" s="24">
        <v>4912.1</v>
      </c>
      <c r="F524" s="25">
        <v>3.7094E9</v>
      </c>
      <c r="G524" s="25">
        <v>1.57016E10</v>
      </c>
      <c r="H524" s="3">
        <f t="shared" si="1"/>
        <v>162469.4053</v>
      </c>
    </row>
    <row r="525" ht="15.75" customHeight="1">
      <c r="A525" s="23">
        <v>40193.0</v>
      </c>
      <c r="B525" s="24">
        <v>4921.9</v>
      </c>
      <c r="C525" s="24">
        <v>4955.1</v>
      </c>
      <c r="D525" s="24">
        <v>4852.9</v>
      </c>
      <c r="E525" s="24">
        <v>4899.6</v>
      </c>
      <c r="F525" s="25">
        <v>3.6976E9</v>
      </c>
      <c r="G525" s="25">
        <v>1.92415E10</v>
      </c>
      <c r="H525" s="3">
        <f t="shared" si="1"/>
        <v>162055.9635</v>
      </c>
    </row>
    <row r="526" ht="15.75" customHeight="1">
      <c r="A526" s="23">
        <v>40200.0</v>
      </c>
      <c r="B526" s="24">
        <v>4890.6</v>
      </c>
      <c r="C526" s="24">
        <v>4930.0</v>
      </c>
      <c r="D526" s="24">
        <v>4716.0</v>
      </c>
      <c r="E526" s="24">
        <v>4750.6</v>
      </c>
      <c r="F526" s="25">
        <v>4.8179E9</v>
      </c>
      <c r="G526" s="25">
        <v>2.56303E10</v>
      </c>
      <c r="H526" s="3">
        <f t="shared" si="1"/>
        <v>157127.737</v>
      </c>
    </row>
    <row r="527" ht="15.75" customHeight="1">
      <c r="A527" s="23">
        <v>40207.0</v>
      </c>
      <c r="B527" s="24">
        <v>4725.7</v>
      </c>
      <c r="C527" s="24">
        <v>4726.6</v>
      </c>
      <c r="D527" s="24">
        <v>4566.7</v>
      </c>
      <c r="E527" s="24">
        <v>4569.6</v>
      </c>
      <c r="F527" s="25">
        <v>4.4552E9</v>
      </c>
      <c r="G527" s="25">
        <v>2.28148E10</v>
      </c>
      <c r="H527" s="3">
        <f t="shared" si="1"/>
        <v>151141.0994</v>
      </c>
    </row>
    <row r="528" ht="15.75" customHeight="1">
      <c r="A528" s="23">
        <v>40214.0</v>
      </c>
      <c r="B528" s="24">
        <v>4569.9</v>
      </c>
      <c r="C528" s="24">
        <v>4656.9</v>
      </c>
      <c r="D528" s="24">
        <v>4488.4</v>
      </c>
      <c r="E528" s="24">
        <v>4514.1</v>
      </c>
      <c r="F528" s="25">
        <v>5.6258E9</v>
      </c>
      <c r="G528" s="25">
        <v>2.59051E10</v>
      </c>
      <c r="H528" s="3">
        <f t="shared" si="1"/>
        <v>149305.4177</v>
      </c>
    </row>
    <row r="529" ht="15.75" customHeight="1">
      <c r="A529" s="23">
        <v>40221.0</v>
      </c>
      <c r="B529" s="24">
        <v>4521.7</v>
      </c>
      <c r="C529" s="24">
        <v>4593.3</v>
      </c>
      <c r="D529" s="24">
        <v>4464.9</v>
      </c>
      <c r="E529" s="24">
        <v>4562.1</v>
      </c>
      <c r="F529" s="25">
        <v>4.5967E9</v>
      </c>
      <c r="G529" s="25">
        <v>2.28494E10</v>
      </c>
      <c r="H529" s="3">
        <f t="shared" si="1"/>
        <v>150893.0343</v>
      </c>
    </row>
    <row r="530" ht="15.75" customHeight="1">
      <c r="A530" s="23">
        <v>40228.0</v>
      </c>
      <c r="B530" s="24">
        <v>4558.5</v>
      </c>
      <c r="C530" s="24">
        <v>4673.1</v>
      </c>
      <c r="D530" s="24">
        <v>4537.9</v>
      </c>
      <c r="E530" s="24">
        <v>4635.1</v>
      </c>
      <c r="F530" s="25">
        <v>4.7919E9</v>
      </c>
      <c r="G530" s="25">
        <v>2.39926E10</v>
      </c>
      <c r="H530" s="3">
        <f t="shared" si="1"/>
        <v>153307.5346</v>
      </c>
    </row>
    <row r="531" ht="15.75" customHeight="1">
      <c r="A531" s="23">
        <v>40235.0</v>
      </c>
      <c r="B531" s="24">
        <v>4654.7</v>
      </c>
      <c r="C531" s="24">
        <v>4718.3</v>
      </c>
      <c r="D531" s="24">
        <v>4589.9</v>
      </c>
      <c r="E531" s="24">
        <v>4637.7</v>
      </c>
      <c r="F531" s="25">
        <v>5.9718E9</v>
      </c>
      <c r="G531" s="25">
        <v>2.96015E10</v>
      </c>
      <c r="H531" s="3">
        <f t="shared" si="1"/>
        <v>153393.5305</v>
      </c>
    </row>
    <row r="532" ht="15.75" customHeight="1">
      <c r="A532" s="23">
        <v>40242.0</v>
      </c>
      <c r="B532" s="24">
        <v>4633.1</v>
      </c>
      <c r="C532" s="24">
        <v>4780.4</v>
      </c>
      <c r="D532" s="24">
        <v>4633.1</v>
      </c>
      <c r="E532" s="24">
        <v>4767.2</v>
      </c>
      <c r="F532" s="25">
        <v>5.7014E9</v>
      </c>
      <c r="G532" s="25">
        <v>2.54711E10</v>
      </c>
      <c r="H532" s="3">
        <f t="shared" si="1"/>
        <v>157676.7877</v>
      </c>
    </row>
    <row r="533" ht="15.75" customHeight="1">
      <c r="A533" s="23">
        <v>40249.0</v>
      </c>
      <c r="B533" s="24">
        <v>4787.8</v>
      </c>
      <c r="C533" s="24">
        <v>4840.1</v>
      </c>
      <c r="D533" s="24">
        <v>4787.8</v>
      </c>
      <c r="E533" s="24">
        <v>4818.1</v>
      </c>
      <c r="F533" s="25">
        <v>5.0446E9</v>
      </c>
      <c r="G533" s="25">
        <v>2.44101E10</v>
      </c>
      <c r="H533" s="3">
        <f t="shared" si="1"/>
        <v>159360.3228</v>
      </c>
    </row>
    <row r="534" ht="15.75" customHeight="1">
      <c r="A534" s="23">
        <v>40256.0</v>
      </c>
      <c r="B534" s="24">
        <v>4820.6</v>
      </c>
      <c r="C534" s="24">
        <v>4875.8</v>
      </c>
      <c r="D534" s="24">
        <v>4781.1</v>
      </c>
      <c r="E534" s="24">
        <v>4872.2</v>
      </c>
      <c r="F534" s="25">
        <v>6.2801E9</v>
      </c>
      <c r="G534" s="25">
        <v>2.76077E10</v>
      </c>
      <c r="H534" s="3">
        <f t="shared" si="1"/>
        <v>161149.699</v>
      </c>
    </row>
    <row r="535" ht="15.75" customHeight="1">
      <c r="A535" s="23">
        <v>40263.0</v>
      </c>
      <c r="B535" s="24">
        <v>4857.2</v>
      </c>
      <c r="C535" s="24">
        <v>4911.1</v>
      </c>
      <c r="D535" s="24">
        <v>4826.9</v>
      </c>
      <c r="E535" s="24">
        <v>4896.9</v>
      </c>
      <c r="F535" s="25">
        <v>5.2464E9</v>
      </c>
      <c r="G535" s="25">
        <v>2.79453E10</v>
      </c>
      <c r="H535" s="3">
        <f t="shared" si="1"/>
        <v>161966.6601</v>
      </c>
    </row>
    <row r="536" ht="15.75" customHeight="1">
      <c r="A536" s="23">
        <v>40269.0</v>
      </c>
      <c r="B536" s="24">
        <v>4902.5</v>
      </c>
      <c r="C536" s="24">
        <v>4928.9</v>
      </c>
      <c r="D536" s="24">
        <v>4875.5</v>
      </c>
      <c r="E536" s="24">
        <v>4907.7</v>
      </c>
      <c r="F536" s="25">
        <v>4.4582E9</v>
      </c>
      <c r="G536" s="25">
        <v>2.16666E10</v>
      </c>
      <c r="H536" s="3">
        <f t="shared" si="1"/>
        <v>162323.8738</v>
      </c>
    </row>
    <row r="537" ht="15.75" customHeight="1">
      <c r="A537" s="23">
        <v>40277.0</v>
      </c>
      <c r="B537" s="24">
        <v>4924.7</v>
      </c>
      <c r="C537" s="24">
        <v>4971.3</v>
      </c>
      <c r="D537" s="24">
        <v>4924.7</v>
      </c>
      <c r="E537" s="24">
        <v>4948.1</v>
      </c>
      <c r="F537" s="25">
        <v>4.4565E9</v>
      </c>
      <c r="G537" s="25">
        <v>1.95084E10</v>
      </c>
      <c r="H537" s="3">
        <f t="shared" si="1"/>
        <v>163660.1177</v>
      </c>
    </row>
    <row r="538" ht="15.75" customHeight="1">
      <c r="A538" s="23">
        <v>40284.0</v>
      </c>
      <c r="B538" s="24">
        <v>4957.5</v>
      </c>
      <c r="C538" s="24">
        <v>5025.1</v>
      </c>
      <c r="D538" s="24">
        <v>4944.5</v>
      </c>
      <c r="E538" s="24">
        <v>4984.7</v>
      </c>
      <c r="F538" s="25">
        <v>5.5268E9</v>
      </c>
      <c r="G538" s="25">
        <v>2.57654E10</v>
      </c>
      <c r="H538" s="3">
        <f t="shared" si="1"/>
        <v>164870.6754</v>
      </c>
    </row>
    <row r="539" ht="15.75" customHeight="1">
      <c r="A539" s="23">
        <v>40291.0</v>
      </c>
      <c r="B539" s="24">
        <v>4965.4</v>
      </c>
      <c r="C539" s="24">
        <v>4970.2</v>
      </c>
      <c r="D539" s="24">
        <v>4875.8</v>
      </c>
      <c r="E539" s="24">
        <v>4881.5</v>
      </c>
      <c r="F539" s="25">
        <v>4.7007E9</v>
      </c>
      <c r="G539" s="25">
        <v>2.73413E10</v>
      </c>
      <c r="H539" s="3">
        <f t="shared" si="1"/>
        <v>161457.2997</v>
      </c>
    </row>
    <row r="540" ht="15.75" customHeight="1">
      <c r="A540" s="23">
        <v>40298.0</v>
      </c>
      <c r="B540" s="24">
        <v>4886.8</v>
      </c>
      <c r="C540" s="24">
        <v>4911.9</v>
      </c>
      <c r="D540" s="24">
        <v>4779.3</v>
      </c>
      <c r="E540" s="24">
        <v>4807.4</v>
      </c>
      <c r="F540" s="25">
        <v>4.5557E9</v>
      </c>
      <c r="G540" s="25">
        <v>2.70751E10</v>
      </c>
      <c r="H540" s="3">
        <f t="shared" si="1"/>
        <v>159006.4166</v>
      </c>
    </row>
    <row r="541" ht="15.75" customHeight="1">
      <c r="A541" s="23">
        <v>40305.0</v>
      </c>
      <c r="B541" s="24">
        <v>4782.8</v>
      </c>
      <c r="C541" s="24">
        <v>4804.5</v>
      </c>
      <c r="D541" s="24">
        <v>4427.3</v>
      </c>
      <c r="E541" s="24">
        <v>4480.7</v>
      </c>
      <c r="F541" s="25">
        <v>7.222E9</v>
      </c>
      <c r="G541" s="25">
        <v>3.74199E10</v>
      </c>
      <c r="H541" s="3">
        <f t="shared" si="1"/>
        <v>148200.7012</v>
      </c>
    </row>
    <row r="542" ht="15.75" customHeight="1">
      <c r="A542" s="23">
        <v>40312.0</v>
      </c>
      <c r="B542" s="24">
        <v>4497.2</v>
      </c>
      <c r="C542" s="24">
        <v>4652.8</v>
      </c>
      <c r="D542" s="24">
        <v>4497.2</v>
      </c>
      <c r="E542" s="24">
        <v>4611.1</v>
      </c>
      <c r="F542" s="25">
        <v>5.2777E9</v>
      </c>
      <c r="G542" s="25">
        <v>2.79083E10</v>
      </c>
      <c r="H542" s="3">
        <f t="shared" si="1"/>
        <v>152513.7263</v>
      </c>
    </row>
    <row r="543" ht="15.75" customHeight="1">
      <c r="A543" s="23">
        <v>40319.0</v>
      </c>
      <c r="B543" s="24">
        <v>4587.6</v>
      </c>
      <c r="C543" s="24">
        <v>4587.6</v>
      </c>
      <c r="D543" s="24">
        <v>4175.7</v>
      </c>
      <c r="E543" s="24">
        <v>4305.4</v>
      </c>
      <c r="F543" s="25">
        <v>6.9955E9</v>
      </c>
      <c r="G543" s="25">
        <v>3.68867E10</v>
      </c>
      <c r="H543" s="3">
        <f t="shared" si="1"/>
        <v>142402.5931</v>
      </c>
    </row>
    <row r="544" ht="15.75" customHeight="1">
      <c r="A544" s="23">
        <v>40326.0</v>
      </c>
      <c r="B544" s="24">
        <v>4319.9</v>
      </c>
      <c r="C544" s="24">
        <v>4460.8</v>
      </c>
      <c r="D544" s="24">
        <v>4265.3</v>
      </c>
      <c r="E544" s="24">
        <v>4457.5</v>
      </c>
      <c r="F544" s="25">
        <v>6.6225E9</v>
      </c>
      <c r="G544" s="25">
        <v>3.48938E10</v>
      </c>
      <c r="H544" s="3">
        <f t="shared" si="1"/>
        <v>147433.3532</v>
      </c>
    </row>
    <row r="545" ht="15.75" customHeight="1">
      <c r="A545" s="23">
        <v>40333.0</v>
      </c>
      <c r="B545" s="24">
        <v>4447.7</v>
      </c>
      <c r="C545" s="24">
        <v>4489.1</v>
      </c>
      <c r="D545" s="24">
        <v>4374.2</v>
      </c>
      <c r="E545" s="24">
        <v>4449.4</v>
      </c>
      <c r="F545" s="25">
        <v>4.8219E9</v>
      </c>
      <c r="G545" s="25">
        <v>2.30458E10</v>
      </c>
      <c r="H545" s="3">
        <f t="shared" si="1"/>
        <v>147165.4429</v>
      </c>
    </row>
    <row r="546" ht="15.75" customHeight="1">
      <c r="A546" s="23">
        <v>40340.0</v>
      </c>
      <c r="B546" s="24">
        <v>4410.4</v>
      </c>
      <c r="C546" s="24">
        <v>4506.7</v>
      </c>
      <c r="D546" s="24">
        <v>4299.8</v>
      </c>
      <c r="E546" s="24">
        <v>4505.5</v>
      </c>
      <c r="F546" s="25">
        <v>5.2321E9</v>
      </c>
      <c r="G546" s="25">
        <v>2.54757E10</v>
      </c>
      <c r="H546" s="3">
        <f t="shared" si="1"/>
        <v>149020.9698</v>
      </c>
    </row>
    <row r="547" ht="15.75" customHeight="1">
      <c r="A547" s="23">
        <v>40347.0</v>
      </c>
      <c r="B547" s="24">
        <v>4505.4</v>
      </c>
      <c r="C547" s="24">
        <v>4572.4</v>
      </c>
      <c r="D547" s="24">
        <v>4490.9</v>
      </c>
      <c r="E547" s="24">
        <v>4551.9</v>
      </c>
      <c r="F547" s="25">
        <v>4.1925E9</v>
      </c>
      <c r="G547" s="25">
        <v>2.07521E10</v>
      </c>
      <c r="H547" s="3">
        <f t="shared" si="1"/>
        <v>150555.6658</v>
      </c>
    </row>
    <row r="548" ht="15.75" customHeight="1">
      <c r="A548" s="23">
        <v>40354.0</v>
      </c>
      <c r="B548" s="24">
        <v>4568.0</v>
      </c>
      <c r="C548" s="24">
        <v>4622.0</v>
      </c>
      <c r="D548" s="24">
        <v>4409.3</v>
      </c>
      <c r="E548" s="24">
        <v>4413.0</v>
      </c>
      <c r="F548" s="25">
        <v>5.1229E9</v>
      </c>
      <c r="G548" s="25">
        <v>2.7597E10</v>
      </c>
      <c r="H548" s="3">
        <f t="shared" si="1"/>
        <v>145961.5003</v>
      </c>
    </row>
    <row r="549" ht="15.75" customHeight="1">
      <c r="A549" s="23">
        <v>40361.0</v>
      </c>
      <c r="B549" s="24">
        <v>4419.7</v>
      </c>
      <c r="C549" s="24">
        <v>4433.4</v>
      </c>
      <c r="D549" s="24">
        <v>4214.7</v>
      </c>
      <c r="E549" s="24">
        <v>4238.7</v>
      </c>
      <c r="F549" s="25">
        <v>4.447E9</v>
      </c>
      <c r="G549" s="25">
        <v>2.23481E10</v>
      </c>
      <c r="H549" s="3">
        <f t="shared" si="1"/>
        <v>140196.4676</v>
      </c>
    </row>
    <row r="550" ht="15.75" customHeight="1">
      <c r="A550" s="23">
        <v>40368.0</v>
      </c>
      <c r="B550" s="24">
        <v>4239.7</v>
      </c>
      <c r="C550" s="24">
        <v>4397.5</v>
      </c>
      <c r="D550" s="24">
        <v>4182.3</v>
      </c>
      <c r="E550" s="24">
        <v>4396.3</v>
      </c>
      <c r="F550" s="25">
        <v>3.9577E9</v>
      </c>
      <c r="G550" s="25">
        <v>2.04937E10</v>
      </c>
      <c r="H550" s="3">
        <f t="shared" si="1"/>
        <v>145409.142</v>
      </c>
    </row>
    <row r="551" ht="15.75" customHeight="1">
      <c r="A551" s="23">
        <v>40375.0</v>
      </c>
      <c r="B551" s="24">
        <v>4396.7</v>
      </c>
      <c r="C551" s="24">
        <v>4465.6</v>
      </c>
      <c r="D551" s="24">
        <v>4380.3</v>
      </c>
      <c r="E551" s="24">
        <v>4422.7</v>
      </c>
      <c r="F551" s="25">
        <v>3.8633E9</v>
      </c>
      <c r="G551" s="25">
        <v>1.71224E10</v>
      </c>
      <c r="H551" s="3">
        <f t="shared" si="1"/>
        <v>146282.3312</v>
      </c>
    </row>
    <row r="552" ht="15.75" customHeight="1">
      <c r="A552" s="23">
        <v>40382.0</v>
      </c>
      <c r="B552" s="24">
        <v>4404.2</v>
      </c>
      <c r="C552" s="24">
        <v>4472.3</v>
      </c>
      <c r="D552" s="24">
        <v>4345.2</v>
      </c>
      <c r="E552" s="24">
        <v>4458.4</v>
      </c>
      <c r="F552" s="25">
        <v>4.3169E9</v>
      </c>
      <c r="G552" s="25">
        <v>2.10317E10</v>
      </c>
      <c r="H552" s="3">
        <f t="shared" si="1"/>
        <v>147463.121</v>
      </c>
    </row>
    <row r="553" ht="15.75" customHeight="1">
      <c r="A553" s="23">
        <v>40389.0</v>
      </c>
      <c r="B553" s="24">
        <v>4466.7</v>
      </c>
      <c r="C553" s="24">
        <v>4531.6</v>
      </c>
      <c r="D553" s="24">
        <v>4466.6</v>
      </c>
      <c r="E553" s="24">
        <v>4493.5</v>
      </c>
      <c r="F553" s="25">
        <v>4.3827E9</v>
      </c>
      <c r="G553" s="25">
        <v>2.68348E10</v>
      </c>
      <c r="H553" s="3">
        <f t="shared" si="1"/>
        <v>148624.0656</v>
      </c>
    </row>
    <row r="554" ht="15.75" customHeight="1">
      <c r="A554" s="23">
        <v>40396.0</v>
      </c>
      <c r="B554" s="24">
        <v>4495.1</v>
      </c>
      <c r="C554" s="24">
        <v>4584.1</v>
      </c>
      <c r="D554" s="24">
        <v>4494.3</v>
      </c>
      <c r="E554" s="24">
        <v>4566.1</v>
      </c>
      <c r="F554" s="25">
        <v>3.8272E9</v>
      </c>
      <c r="G554" s="25">
        <v>2.11067E10</v>
      </c>
      <c r="H554" s="3">
        <f t="shared" si="1"/>
        <v>151025.3357</v>
      </c>
    </row>
    <row r="555" ht="15.75" customHeight="1">
      <c r="A555" s="23">
        <v>40403.0</v>
      </c>
      <c r="B555" s="24">
        <v>4559.5</v>
      </c>
      <c r="C555" s="24">
        <v>4598.7</v>
      </c>
      <c r="D555" s="24">
        <v>4382.1</v>
      </c>
      <c r="E555" s="24">
        <v>4459.6</v>
      </c>
      <c r="F555" s="25">
        <v>5.332E9</v>
      </c>
      <c r="G555" s="25">
        <v>2.92954E10</v>
      </c>
      <c r="H555" s="3">
        <f t="shared" si="1"/>
        <v>147502.8114</v>
      </c>
    </row>
    <row r="556" ht="15.75" customHeight="1">
      <c r="A556" s="23">
        <v>40410.0</v>
      </c>
      <c r="B556" s="24">
        <v>4448.7</v>
      </c>
      <c r="C556" s="24">
        <v>4494.9</v>
      </c>
      <c r="D556" s="24">
        <v>4402.6</v>
      </c>
      <c r="E556" s="24">
        <v>4430.9</v>
      </c>
      <c r="F556" s="25">
        <v>5.7244E9</v>
      </c>
      <c r="G556" s="25">
        <v>2.92011E10</v>
      </c>
      <c r="H556" s="3">
        <f t="shared" si="1"/>
        <v>146553.549</v>
      </c>
    </row>
    <row r="557" ht="15.75" customHeight="1">
      <c r="A557" s="23">
        <v>40417.0</v>
      </c>
      <c r="B557" s="24">
        <v>4433.0</v>
      </c>
      <c r="C557" s="24">
        <v>4439.4</v>
      </c>
      <c r="D557" s="24">
        <v>4313.9</v>
      </c>
      <c r="E557" s="24">
        <v>4370.1</v>
      </c>
      <c r="F557" s="25">
        <v>5.9948E9</v>
      </c>
      <c r="G557" s="25">
        <v>3.05952E10</v>
      </c>
      <c r="H557" s="3">
        <f t="shared" si="1"/>
        <v>144542.568</v>
      </c>
    </row>
    <row r="558" ht="15.75" customHeight="1">
      <c r="A558" s="23">
        <v>40424.0</v>
      </c>
      <c r="B558" s="24">
        <v>4381.2</v>
      </c>
      <c r="C558" s="24">
        <v>4558.7</v>
      </c>
      <c r="D558" s="24">
        <v>4379.5</v>
      </c>
      <c r="E558" s="24">
        <v>4541.2</v>
      </c>
      <c r="F558" s="25">
        <v>5.5598E9</v>
      </c>
      <c r="G558" s="25">
        <v>2.76757E10</v>
      </c>
      <c r="H558" s="3">
        <f t="shared" si="1"/>
        <v>150201.7596</v>
      </c>
    </row>
    <row r="559" ht="15.75" customHeight="1">
      <c r="A559" s="23">
        <v>40431.0</v>
      </c>
      <c r="B559" s="24">
        <v>4547.2</v>
      </c>
      <c r="C559" s="24">
        <v>4598.5</v>
      </c>
      <c r="D559" s="24">
        <v>4532.6</v>
      </c>
      <c r="E559" s="24">
        <v>4560.3</v>
      </c>
      <c r="F559" s="25">
        <v>5.1785E9</v>
      </c>
      <c r="G559" s="25">
        <v>2.38309E10</v>
      </c>
      <c r="H559" s="3">
        <f t="shared" si="1"/>
        <v>150833.4987</v>
      </c>
    </row>
    <row r="560" ht="15.75" customHeight="1">
      <c r="A560" s="23">
        <v>40438.0</v>
      </c>
      <c r="B560" s="24">
        <v>4575.2</v>
      </c>
      <c r="C560" s="24">
        <v>4670.1</v>
      </c>
      <c r="D560" s="24">
        <v>4574.0</v>
      </c>
      <c r="E560" s="24">
        <v>4638.9</v>
      </c>
      <c r="F560" s="25">
        <v>6.2333E9</v>
      </c>
      <c r="G560" s="25">
        <v>3.07302E10</v>
      </c>
      <c r="H560" s="3">
        <f t="shared" si="1"/>
        <v>153433.2209</v>
      </c>
    </row>
    <row r="561" ht="15.75" customHeight="1">
      <c r="A561" s="23">
        <v>40445.0</v>
      </c>
      <c r="B561" s="24">
        <v>4633.4</v>
      </c>
      <c r="C561" s="24">
        <v>4664.5</v>
      </c>
      <c r="D561" s="24">
        <v>4585.1</v>
      </c>
      <c r="E561" s="24">
        <v>4601.9</v>
      </c>
      <c r="F561" s="25">
        <v>4.1877E9</v>
      </c>
      <c r="G561" s="25">
        <v>2.42405E10</v>
      </c>
      <c r="H561" s="3">
        <f t="shared" si="1"/>
        <v>152209.4331</v>
      </c>
    </row>
    <row r="562" ht="15.75" customHeight="1">
      <c r="A562" s="23">
        <v>40452.0</v>
      </c>
      <c r="B562" s="24">
        <v>4620.0</v>
      </c>
      <c r="C562" s="24">
        <v>4698.0</v>
      </c>
      <c r="D562" s="24">
        <v>4559.0</v>
      </c>
      <c r="E562" s="24">
        <v>4579.2</v>
      </c>
      <c r="F562" s="25">
        <v>4.7046E9</v>
      </c>
      <c r="G562" s="25">
        <v>2.32931E10</v>
      </c>
      <c r="H562" s="3">
        <f t="shared" si="1"/>
        <v>151458.6227</v>
      </c>
    </row>
    <row r="563" ht="15.75" customHeight="1">
      <c r="A563" s="23">
        <v>40459.0</v>
      </c>
      <c r="B563" s="24">
        <v>4587.1</v>
      </c>
      <c r="C563" s="24">
        <v>4697.3</v>
      </c>
      <c r="D563" s="24">
        <v>4559.2</v>
      </c>
      <c r="E563" s="24">
        <v>4681.4</v>
      </c>
      <c r="F563" s="25">
        <v>4.202E9</v>
      </c>
      <c r="G563" s="25">
        <v>2.12114E10</v>
      </c>
      <c r="H563" s="3">
        <f t="shared" si="1"/>
        <v>154838.9231</v>
      </c>
    </row>
    <row r="564" ht="15.75" customHeight="1">
      <c r="A564" s="23">
        <v>40466.0</v>
      </c>
      <c r="B564" s="24">
        <v>4686.8</v>
      </c>
      <c r="C564" s="24">
        <v>4713.0</v>
      </c>
      <c r="D564" s="24">
        <v>4617.4</v>
      </c>
      <c r="E564" s="24">
        <v>4689.0</v>
      </c>
      <c r="F564" s="25">
        <v>5.095E9</v>
      </c>
      <c r="G564" s="25">
        <v>2.39951E10</v>
      </c>
      <c r="H564" s="3">
        <f t="shared" si="1"/>
        <v>155090.2957</v>
      </c>
    </row>
    <row r="565" ht="15.75" customHeight="1">
      <c r="A565" s="23">
        <v>40473.0</v>
      </c>
      <c r="B565" s="24">
        <v>4688.8</v>
      </c>
      <c r="C565" s="24">
        <v>4688.8</v>
      </c>
      <c r="D565" s="24">
        <v>4583.0</v>
      </c>
      <c r="E565" s="24">
        <v>4648.2</v>
      </c>
      <c r="F565" s="25">
        <v>5.1984E9</v>
      </c>
      <c r="G565" s="25">
        <v>2.58373E10</v>
      </c>
      <c r="H565" s="3">
        <f t="shared" si="1"/>
        <v>153740.8216</v>
      </c>
    </row>
    <row r="566" ht="15.75" customHeight="1">
      <c r="A566" s="23">
        <v>40480.0</v>
      </c>
      <c r="B566" s="24">
        <v>4644.4</v>
      </c>
      <c r="C566" s="24">
        <v>4725.9</v>
      </c>
      <c r="D566" s="24">
        <v>4641.0</v>
      </c>
      <c r="E566" s="24">
        <v>4661.6</v>
      </c>
      <c r="F566" s="25">
        <v>5.4634E9</v>
      </c>
      <c r="G566" s="25">
        <v>3.06661E10</v>
      </c>
      <c r="H566" s="3">
        <f t="shared" si="1"/>
        <v>154184.0312</v>
      </c>
    </row>
    <row r="567" ht="15.75" customHeight="1">
      <c r="A567" s="23">
        <v>40487.0</v>
      </c>
      <c r="B567" s="24">
        <v>4665.7</v>
      </c>
      <c r="C567" s="24">
        <v>4815.0</v>
      </c>
      <c r="D567" s="24">
        <v>4664.8</v>
      </c>
      <c r="E567" s="24">
        <v>4800.6</v>
      </c>
      <c r="F567" s="25">
        <v>4.2675E9</v>
      </c>
      <c r="G567" s="25">
        <v>2.36374E10</v>
      </c>
      <c r="H567" s="3">
        <f t="shared" si="1"/>
        <v>158781.5043</v>
      </c>
    </row>
    <row r="568" ht="15.75" customHeight="1">
      <c r="A568" s="23">
        <v>40494.0</v>
      </c>
      <c r="B568" s="24">
        <v>4802.3</v>
      </c>
      <c r="C568" s="24">
        <v>4810.5</v>
      </c>
      <c r="D568" s="24">
        <v>4681.6</v>
      </c>
      <c r="E568" s="24">
        <v>4692.7</v>
      </c>
      <c r="F568" s="25">
        <v>5.4088E9</v>
      </c>
      <c r="G568" s="25">
        <v>3.26249E10</v>
      </c>
      <c r="H568" s="3">
        <f t="shared" si="1"/>
        <v>155212.6745</v>
      </c>
    </row>
    <row r="569" ht="15.75" customHeight="1">
      <c r="A569" s="23">
        <v>40501.0</v>
      </c>
      <c r="B569" s="24">
        <v>4694.6</v>
      </c>
      <c r="C569" s="24">
        <v>4714.2</v>
      </c>
      <c r="D569" s="24">
        <v>4612.0</v>
      </c>
      <c r="E569" s="24">
        <v>4629.2</v>
      </c>
      <c r="F569" s="25">
        <v>4.9111E9</v>
      </c>
      <c r="G569" s="25">
        <v>2.55416E10</v>
      </c>
      <c r="H569" s="3">
        <f t="shared" si="1"/>
        <v>153112.39</v>
      </c>
    </row>
    <row r="570" ht="15.75" customHeight="1">
      <c r="A570" s="23">
        <v>40508.0</v>
      </c>
      <c r="B570" s="24">
        <v>4639.2</v>
      </c>
      <c r="C570" s="24">
        <v>4672.0</v>
      </c>
      <c r="D570" s="24">
        <v>4551.2</v>
      </c>
      <c r="E570" s="24">
        <v>4598.3</v>
      </c>
      <c r="F570" s="25">
        <v>5.7298E9</v>
      </c>
      <c r="G570" s="25">
        <v>2.71823E10</v>
      </c>
      <c r="H570" s="3">
        <f t="shared" si="1"/>
        <v>152090.3618</v>
      </c>
    </row>
    <row r="571" ht="15.75" customHeight="1">
      <c r="A571" s="23">
        <v>40515.0</v>
      </c>
      <c r="B571" s="24">
        <v>4594.3</v>
      </c>
      <c r="C571" s="24">
        <v>4717.1</v>
      </c>
      <c r="D571" s="24">
        <v>4557.0</v>
      </c>
      <c r="E571" s="24">
        <v>4694.2</v>
      </c>
      <c r="F571" s="25">
        <v>4.54E9</v>
      </c>
      <c r="G571" s="25">
        <v>2.36269E10</v>
      </c>
      <c r="H571" s="3">
        <f t="shared" si="1"/>
        <v>155262.2875</v>
      </c>
    </row>
    <row r="572" ht="15.75" customHeight="1">
      <c r="A572" s="23">
        <v>40522.0</v>
      </c>
      <c r="B572" s="24">
        <v>4696.3</v>
      </c>
      <c r="C572" s="24">
        <v>4750.0</v>
      </c>
      <c r="D572" s="24">
        <v>4688.0</v>
      </c>
      <c r="E572" s="24">
        <v>4745.9</v>
      </c>
      <c r="F572" s="25">
        <v>5.1441E9</v>
      </c>
      <c r="G572" s="25">
        <v>2.48648E10</v>
      </c>
      <c r="H572" s="3">
        <f t="shared" si="1"/>
        <v>156972.2829</v>
      </c>
    </row>
    <row r="573" ht="15.75" customHeight="1">
      <c r="A573" s="23">
        <v>40529.0</v>
      </c>
      <c r="B573" s="24">
        <v>4750.1</v>
      </c>
      <c r="C573" s="24">
        <v>4784.3</v>
      </c>
      <c r="D573" s="24">
        <v>4749.6</v>
      </c>
      <c r="E573" s="24">
        <v>4763.1</v>
      </c>
      <c r="F573" s="25">
        <v>5.541599E9</v>
      </c>
      <c r="G573" s="25">
        <v>2.4678E10</v>
      </c>
      <c r="H573" s="3">
        <f t="shared" si="1"/>
        <v>157541.1788</v>
      </c>
    </row>
    <row r="574" ht="15.75" customHeight="1">
      <c r="A574" s="23">
        <v>40536.0</v>
      </c>
      <c r="B574" s="24">
        <v>4763.6</v>
      </c>
      <c r="C574" s="24">
        <v>4811.9</v>
      </c>
      <c r="D574" s="24">
        <v>4736.6</v>
      </c>
      <c r="E574" s="24">
        <v>4777.3</v>
      </c>
      <c r="F574" s="25">
        <v>3.3078E9</v>
      </c>
      <c r="G574" s="25">
        <v>1.91655E10</v>
      </c>
      <c r="H574" s="3">
        <f t="shared" si="1"/>
        <v>158010.8487</v>
      </c>
    </row>
    <row r="575" ht="15.75" customHeight="1">
      <c r="A575" s="23">
        <v>40543.0</v>
      </c>
      <c r="B575" s="24">
        <v>4768.4</v>
      </c>
      <c r="C575" s="24">
        <v>4799.9</v>
      </c>
      <c r="D575" s="24">
        <v>4745.2</v>
      </c>
      <c r="E575" s="24">
        <v>4745.2</v>
      </c>
      <c r="F575" s="25">
        <v>1.3983E9</v>
      </c>
      <c r="G575" s="25">
        <v>5.8953E9</v>
      </c>
      <c r="H575" s="3">
        <f t="shared" si="1"/>
        <v>156949.1301</v>
      </c>
    </row>
    <row r="576" ht="15.75" customHeight="1">
      <c r="A576" s="23">
        <v>40550.0</v>
      </c>
      <c r="B576" s="24">
        <v>4758.3</v>
      </c>
      <c r="C576" s="24">
        <v>4775.0</v>
      </c>
      <c r="D576" s="24">
        <v>4690.3</v>
      </c>
      <c r="E576" s="24">
        <v>4705.0</v>
      </c>
      <c r="F576" s="25">
        <v>3.2849E9</v>
      </c>
      <c r="G576" s="25">
        <v>1.51588E10</v>
      </c>
      <c r="H576" s="3">
        <f t="shared" si="1"/>
        <v>155619.5012</v>
      </c>
    </row>
    <row r="577" ht="15.75" customHeight="1">
      <c r="A577" s="23">
        <v>40557.0</v>
      </c>
      <c r="B577" s="24">
        <v>4702.2</v>
      </c>
      <c r="C577" s="24">
        <v>4802.8</v>
      </c>
      <c r="D577" s="24">
        <v>4686.5</v>
      </c>
      <c r="E577" s="24">
        <v>4801.5</v>
      </c>
      <c r="F577" s="25">
        <v>3.9954E9</v>
      </c>
      <c r="G577" s="25">
        <v>1.88765E10</v>
      </c>
      <c r="H577" s="3">
        <f t="shared" si="1"/>
        <v>158811.2721</v>
      </c>
    </row>
    <row r="578" ht="15.75" customHeight="1">
      <c r="A578" s="23">
        <v>40564.0</v>
      </c>
      <c r="B578" s="24">
        <v>4802.7</v>
      </c>
      <c r="C578" s="24">
        <v>4839.2</v>
      </c>
      <c r="D578" s="24">
        <v>4740.5</v>
      </c>
      <c r="E578" s="24">
        <v>4755.7</v>
      </c>
      <c r="F578" s="25">
        <v>4.4165E9</v>
      </c>
      <c r="G578" s="25">
        <v>2.19678E10</v>
      </c>
      <c r="H578" s="3">
        <f t="shared" si="1"/>
        <v>157296.4212</v>
      </c>
    </row>
    <row r="579" ht="15.75" customHeight="1">
      <c r="A579" s="23">
        <v>40571.0</v>
      </c>
      <c r="B579" s="24">
        <v>4755.4</v>
      </c>
      <c r="C579" s="24">
        <v>4825.4</v>
      </c>
      <c r="D579" s="24">
        <v>4750.2</v>
      </c>
      <c r="E579" s="24">
        <v>4774.9</v>
      </c>
      <c r="F579" s="25">
        <v>3.6149E9</v>
      </c>
      <c r="G579" s="25">
        <v>1.93636E10</v>
      </c>
      <c r="H579" s="3">
        <f t="shared" si="1"/>
        <v>157931.4679</v>
      </c>
    </row>
    <row r="580" ht="15.75" customHeight="1">
      <c r="A580" s="23">
        <v>40578.0</v>
      </c>
      <c r="B580" s="24">
        <v>4757.9</v>
      </c>
      <c r="C580" s="24">
        <v>4870.2</v>
      </c>
      <c r="D580" s="24">
        <v>4717.6</v>
      </c>
      <c r="E580" s="24">
        <v>4862.7</v>
      </c>
      <c r="F580" s="25">
        <v>4.7736E9</v>
      </c>
      <c r="G580" s="25">
        <v>2.44382E10</v>
      </c>
      <c r="H580" s="3">
        <f t="shared" si="1"/>
        <v>160835.4832</v>
      </c>
    </row>
    <row r="581" ht="15.75" customHeight="1">
      <c r="A581" s="23">
        <v>40585.0</v>
      </c>
      <c r="B581" s="24">
        <v>4860.1</v>
      </c>
      <c r="C581" s="24">
        <v>4931.2</v>
      </c>
      <c r="D581" s="24">
        <v>4859.5</v>
      </c>
      <c r="E581" s="24">
        <v>4880.9</v>
      </c>
      <c r="F581" s="25">
        <v>4.2773E9</v>
      </c>
      <c r="G581" s="25">
        <v>2.39161E10</v>
      </c>
      <c r="H581" s="3">
        <f t="shared" si="1"/>
        <v>161437.4545</v>
      </c>
    </row>
    <row r="582" ht="15.75" customHeight="1">
      <c r="A582" s="23">
        <v>40592.0</v>
      </c>
      <c r="B582" s="24">
        <v>4891.6</v>
      </c>
      <c r="C582" s="24">
        <v>4944.4</v>
      </c>
      <c r="D582" s="24">
        <v>4885.1</v>
      </c>
      <c r="E582" s="24">
        <v>4936.7</v>
      </c>
      <c r="F582" s="25">
        <v>4.1646E9</v>
      </c>
      <c r="G582" s="25">
        <v>2.34124E10</v>
      </c>
      <c r="H582" s="3">
        <f t="shared" si="1"/>
        <v>163283.0588</v>
      </c>
    </row>
    <row r="583" ht="15.75" customHeight="1">
      <c r="A583" s="23">
        <v>40599.0</v>
      </c>
      <c r="B583" s="24">
        <v>4923.4</v>
      </c>
      <c r="C583" s="24">
        <v>4924.3</v>
      </c>
      <c r="D583" s="24">
        <v>4799.2</v>
      </c>
      <c r="E583" s="24">
        <v>4836.5</v>
      </c>
      <c r="F583" s="25">
        <v>4.8186E9</v>
      </c>
      <c r="G583" s="25">
        <v>2.98449E10</v>
      </c>
      <c r="H583" s="3">
        <f t="shared" si="1"/>
        <v>159968.9092</v>
      </c>
    </row>
    <row r="584" ht="15.75" customHeight="1">
      <c r="A584" s="23">
        <v>40606.0</v>
      </c>
      <c r="B584" s="24">
        <v>4839.7</v>
      </c>
      <c r="C584" s="24">
        <v>4864.3</v>
      </c>
      <c r="D584" s="24">
        <v>4779.4</v>
      </c>
      <c r="E584" s="24">
        <v>4864.3</v>
      </c>
      <c r="F584" s="25">
        <v>5.3518E9</v>
      </c>
      <c r="G584" s="25">
        <v>2.39942E10</v>
      </c>
      <c r="H584" s="3">
        <f t="shared" si="1"/>
        <v>160888.4038</v>
      </c>
    </row>
    <row r="585" ht="15.75" customHeight="1">
      <c r="A585" s="23">
        <v>40613.0</v>
      </c>
      <c r="B585" s="24">
        <v>4850.7</v>
      </c>
      <c r="C585" s="24">
        <v>4852.4</v>
      </c>
      <c r="D585" s="24">
        <v>4630.7</v>
      </c>
      <c r="E585" s="24">
        <v>4644.8</v>
      </c>
      <c r="F585" s="25">
        <v>5.4459E9</v>
      </c>
      <c r="G585" s="25">
        <v>2.70509E10</v>
      </c>
      <c r="H585" s="3">
        <f t="shared" si="1"/>
        <v>153628.3654</v>
      </c>
    </row>
    <row r="586" ht="15.75" customHeight="1">
      <c r="A586" s="23">
        <v>40620.0</v>
      </c>
      <c r="B586" s="24">
        <v>4634.8</v>
      </c>
      <c r="C586" s="24">
        <v>4634.8</v>
      </c>
      <c r="D586" s="24">
        <v>4477.4</v>
      </c>
      <c r="E586" s="24">
        <v>4626.4</v>
      </c>
      <c r="F586" s="25">
        <v>7.6142E9</v>
      </c>
      <c r="G586" s="25">
        <v>3.4577E10</v>
      </c>
      <c r="H586" s="3">
        <f t="shared" si="1"/>
        <v>153019.7791</v>
      </c>
    </row>
    <row r="587" ht="15.75" customHeight="1">
      <c r="A587" s="23">
        <v>40627.0</v>
      </c>
      <c r="B587" s="24">
        <v>4625.3</v>
      </c>
      <c r="C587" s="24">
        <v>4763.0</v>
      </c>
      <c r="D587" s="24">
        <v>4606.4</v>
      </c>
      <c r="E587" s="24">
        <v>4742.6</v>
      </c>
      <c r="F587" s="25">
        <v>4.5049E9</v>
      </c>
      <c r="G587" s="25">
        <v>2.5599E10</v>
      </c>
      <c r="H587" s="3">
        <f t="shared" si="1"/>
        <v>156863.1342</v>
      </c>
    </row>
    <row r="588" ht="15.75" customHeight="1">
      <c r="A588" s="23">
        <v>40634.0</v>
      </c>
      <c r="B588" s="24">
        <v>4733.4</v>
      </c>
      <c r="C588" s="24">
        <v>4878.8</v>
      </c>
      <c r="D588" s="24">
        <v>4721.5</v>
      </c>
      <c r="E588" s="24">
        <v>4861.8</v>
      </c>
      <c r="F588" s="25">
        <v>4.4618E9</v>
      </c>
      <c r="G588" s="25">
        <v>2.44426E10</v>
      </c>
      <c r="H588" s="3">
        <f t="shared" si="1"/>
        <v>160805.7154</v>
      </c>
    </row>
    <row r="589" ht="15.75" customHeight="1">
      <c r="A589" s="23">
        <v>40641.0</v>
      </c>
      <c r="B589" s="24">
        <v>4868.6</v>
      </c>
      <c r="C589" s="24">
        <v>4941.6</v>
      </c>
      <c r="D589" s="24">
        <v>4868.6</v>
      </c>
      <c r="E589" s="24">
        <v>4940.6</v>
      </c>
      <c r="F589" s="25">
        <v>4.7249E9</v>
      </c>
      <c r="G589" s="25">
        <v>2.67756E10</v>
      </c>
      <c r="H589" s="3">
        <f t="shared" si="1"/>
        <v>163412.0527</v>
      </c>
    </row>
    <row r="590" ht="15.75" customHeight="1">
      <c r="A590" s="23">
        <v>40648.0</v>
      </c>
      <c r="B590" s="24">
        <v>4943.3</v>
      </c>
      <c r="C590" s="24">
        <v>4976.4</v>
      </c>
      <c r="D590" s="24">
        <v>4852.1</v>
      </c>
      <c r="E590" s="24">
        <v>4852.1</v>
      </c>
      <c r="F590" s="25">
        <v>4.819E9</v>
      </c>
      <c r="G590" s="25">
        <v>3.00227E10</v>
      </c>
      <c r="H590" s="3">
        <f t="shared" si="1"/>
        <v>160484.8846</v>
      </c>
    </row>
    <row r="591" ht="15.75" customHeight="1">
      <c r="A591" s="23">
        <v>40654.0</v>
      </c>
      <c r="B591" s="24">
        <v>4852.6</v>
      </c>
      <c r="C591" s="24">
        <v>4915.5</v>
      </c>
      <c r="D591" s="24">
        <v>4788.6</v>
      </c>
      <c r="E591" s="24">
        <v>4913.8</v>
      </c>
      <c r="F591" s="25">
        <v>3.0961E9</v>
      </c>
      <c r="G591" s="25">
        <v>1.81756E10</v>
      </c>
      <c r="H591" s="3">
        <f t="shared" si="1"/>
        <v>162525.6334</v>
      </c>
    </row>
    <row r="592" ht="15.75" customHeight="1">
      <c r="A592" s="23">
        <v>40662.0</v>
      </c>
      <c r="B592" s="24">
        <v>4919.3</v>
      </c>
      <c r="C592" s="24">
        <v>4930.6</v>
      </c>
      <c r="D592" s="24">
        <v>4794.8</v>
      </c>
      <c r="E592" s="24">
        <v>4823.2</v>
      </c>
      <c r="F592" s="25">
        <v>3.0578E9</v>
      </c>
      <c r="G592" s="25">
        <v>1.86526E10</v>
      </c>
      <c r="H592" s="3">
        <f t="shared" si="1"/>
        <v>159529.0071</v>
      </c>
    </row>
    <row r="593" ht="15.75" customHeight="1">
      <c r="A593" s="23">
        <v>40669.0</v>
      </c>
      <c r="B593" s="24">
        <v>4826.3</v>
      </c>
      <c r="C593" s="24">
        <v>4835.5</v>
      </c>
      <c r="D593" s="24">
        <v>4713.4</v>
      </c>
      <c r="E593" s="24">
        <v>4743.0</v>
      </c>
      <c r="F593" s="25">
        <v>5.3352E9</v>
      </c>
      <c r="G593" s="25">
        <v>2.73535E10</v>
      </c>
      <c r="H593" s="3">
        <f t="shared" si="1"/>
        <v>156876.3644</v>
      </c>
    </row>
    <row r="594" ht="15.75" customHeight="1">
      <c r="A594" s="23">
        <v>40676.0</v>
      </c>
      <c r="B594" s="24">
        <v>4752.9</v>
      </c>
      <c r="C594" s="24">
        <v>4795.9</v>
      </c>
      <c r="D594" s="24">
        <v>4675.4</v>
      </c>
      <c r="E594" s="24">
        <v>4711.4</v>
      </c>
      <c r="F594" s="25">
        <v>4.5513E9</v>
      </c>
      <c r="G594" s="25">
        <v>2.46659E10</v>
      </c>
      <c r="H594" s="3">
        <f t="shared" si="1"/>
        <v>155831.1834</v>
      </c>
    </row>
    <row r="595" ht="15.75" customHeight="1">
      <c r="A595" s="23">
        <v>40683.0</v>
      </c>
      <c r="B595" s="24">
        <v>4692.5</v>
      </c>
      <c r="C595" s="24">
        <v>4763.9</v>
      </c>
      <c r="D595" s="24">
        <v>4641.4</v>
      </c>
      <c r="E595" s="24">
        <v>4732.2</v>
      </c>
      <c r="F595" s="25">
        <v>4.4571E9</v>
      </c>
      <c r="G595" s="25">
        <v>2.2225E10</v>
      </c>
      <c r="H595" s="3">
        <f t="shared" si="1"/>
        <v>156519.1506</v>
      </c>
    </row>
    <row r="596" ht="15.75" customHeight="1">
      <c r="A596" s="23">
        <v>40690.0</v>
      </c>
      <c r="B596" s="24">
        <v>4720.3</v>
      </c>
      <c r="C596" s="24">
        <v>4720.3</v>
      </c>
      <c r="D596" s="24">
        <v>4582.7</v>
      </c>
      <c r="E596" s="24">
        <v>4684.0</v>
      </c>
      <c r="F596" s="25">
        <v>4.802E9</v>
      </c>
      <c r="G596" s="25">
        <v>2.70696E10</v>
      </c>
      <c r="H596" s="3">
        <f t="shared" si="1"/>
        <v>154924.919</v>
      </c>
    </row>
    <row r="597" ht="15.75" customHeight="1">
      <c r="A597" s="23">
        <v>40697.0</v>
      </c>
      <c r="B597" s="24">
        <v>4684.6</v>
      </c>
      <c r="C597" s="24">
        <v>4724.8</v>
      </c>
      <c r="D597" s="24">
        <v>4578.0</v>
      </c>
      <c r="E597" s="24">
        <v>4583.1</v>
      </c>
      <c r="F597" s="25">
        <v>4.6609E9</v>
      </c>
      <c r="G597" s="25">
        <v>2.3846E10</v>
      </c>
      <c r="H597" s="3">
        <f t="shared" si="1"/>
        <v>151587.6166</v>
      </c>
    </row>
    <row r="598" ht="15.75" customHeight="1">
      <c r="A598" s="23">
        <v>40704.0</v>
      </c>
      <c r="B598" s="24">
        <v>4577.3</v>
      </c>
      <c r="C598" s="24">
        <v>4589.2</v>
      </c>
      <c r="D598" s="24">
        <v>4518.1</v>
      </c>
      <c r="E598" s="24">
        <v>4562.1</v>
      </c>
      <c r="F598" s="25">
        <v>4.565E9</v>
      </c>
      <c r="G598" s="25">
        <v>2.24545E10</v>
      </c>
      <c r="H598" s="3">
        <f t="shared" si="1"/>
        <v>150893.0343</v>
      </c>
    </row>
    <row r="599" ht="15.75" customHeight="1">
      <c r="A599" s="23">
        <v>40711.0</v>
      </c>
      <c r="B599" s="24">
        <v>4549.7</v>
      </c>
      <c r="C599" s="24">
        <v>4593.3</v>
      </c>
      <c r="D599" s="24">
        <v>4465.9</v>
      </c>
      <c r="E599" s="24">
        <v>4484.9</v>
      </c>
      <c r="F599" s="25">
        <v>4.5491E9</v>
      </c>
      <c r="G599" s="25">
        <v>2.42877E10</v>
      </c>
      <c r="H599" s="3">
        <f t="shared" si="1"/>
        <v>148339.6176</v>
      </c>
    </row>
    <row r="600" ht="15.75" customHeight="1">
      <c r="A600" s="23">
        <v>40718.0</v>
      </c>
      <c r="B600" s="24">
        <v>4487.2</v>
      </c>
      <c r="C600" s="24">
        <v>4565.9</v>
      </c>
      <c r="D600" s="24">
        <v>4451.7</v>
      </c>
      <c r="E600" s="24">
        <v>4508.1</v>
      </c>
      <c r="F600" s="25">
        <v>4.9686E9</v>
      </c>
      <c r="G600" s="25">
        <v>2.77207E10</v>
      </c>
      <c r="H600" s="3">
        <f t="shared" si="1"/>
        <v>149106.9657</v>
      </c>
    </row>
    <row r="601" ht="15.75" customHeight="1">
      <c r="A601" s="23">
        <v>40725.0</v>
      </c>
      <c r="B601" s="24">
        <v>4502.1</v>
      </c>
      <c r="C601" s="24">
        <v>4622.0</v>
      </c>
      <c r="D601" s="24">
        <v>4453.7</v>
      </c>
      <c r="E601" s="24">
        <v>4591.2</v>
      </c>
      <c r="F601" s="25">
        <v>4.4693E9</v>
      </c>
      <c r="G601" s="25">
        <v>2.26256E10</v>
      </c>
      <c r="H601" s="3">
        <f t="shared" si="1"/>
        <v>151855.5269</v>
      </c>
    </row>
    <row r="602" ht="15.75" customHeight="1">
      <c r="A602" s="23">
        <v>40732.0</v>
      </c>
      <c r="B602" s="24">
        <v>4602.7</v>
      </c>
      <c r="C602" s="24">
        <v>4657.4</v>
      </c>
      <c r="D602" s="24">
        <v>4582.5</v>
      </c>
      <c r="E602" s="24">
        <v>4654.7</v>
      </c>
      <c r="F602" s="25">
        <v>3.7689E9</v>
      </c>
      <c r="G602" s="25">
        <v>1.98003E10</v>
      </c>
      <c r="H602" s="3">
        <f t="shared" si="1"/>
        <v>153955.8113</v>
      </c>
    </row>
    <row r="603" ht="15.75" customHeight="1">
      <c r="A603" s="23">
        <v>40739.0</v>
      </c>
      <c r="B603" s="24">
        <v>4641.5</v>
      </c>
      <c r="C603" s="24">
        <v>4641.5</v>
      </c>
      <c r="D603" s="24">
        <v>4454.3</v>
      </c>
      <c r="E603" s="24">
        <v>4473.5</v>
      </c>
      <c r="F603" s="25">
        <v>4.3059E9</v>
      </c>
      <c r="G603" s="25">
        <v>2.42795E10</v>
      </c>
      <c r="H603" s="3">
        <f t="shared" si="1"/>
        <v>147962.5587</v>
      </c>
    </row>
    <row r="604" ht="15.75" customHeight="1">
      <c r="A604" s="23">
        <v>40746.0</v>
      </c>
      <c r="B604" s="24">
        <v>4473.1</v>
      </c>
      <c r="C604" s="24">
        <v>4612.2</v>
      </c>
      <c r="D604" s="24">
        <v>4445.0</v>
      </c>
      <c r="E604" s="24">
        <v>4602.9</v>
      </c>
      <c r="F604" s="25">
        <v>4.5967E9</v>
      </c>
      <c r="G604" s="25">
        <v>2.23708E10</v>
      </c>
      <c r="H604" s="3">
        <f t="shared" si="1"/>
        <v>152242.5084</v>
      </c>
    </row>
    <row r="605" ht="15.75" customHeight="1">
      <c r="A605" s="23">
        <v>40753.0</v>
      </c>
      <c r="B605" s="24">
        <v>4595.3</v>
      </c>
      <c r="C605" s="24">
        <v>4595.4</v>
      </c>
      <c r="D605" s="24">
        <v>4421.1</v>
      </c>
      <c r="E605" s="24">
        <v>4424.6</v>
      </c>
      <c r="F605" s="25">
        <v>4.9744E9</v>
      </c>
      <c r="G605" s="25">
        <v>2.70139E10</v>
      </c>
      <c r="H605" s="3">
        <f t="shared" si="1"/>
        <v>146345.1743</v>
      </c>
    </row>
    <row r="606" ht="15.75" customHeight="1">
      <c r="A606" s="23">
        <v>40760.0</v>
      </c>
      <c r="B606" s="24">
        <v>4440.9</v>
      </c>
      <c r="C606" s="24">
        <v>4517.4</v>
      </c>
      <c r="D606" s="24">
        <v>4087.7</v>
      </c>
      <c r="E606" s="24">
        <v>4105.4</v>
      </c>
      <c r="F606" s="25">
        <v>5.5568E9</v>
      </c>
      <c r="G606" s="25">
        <v>3.0252E10</v>
      </c>
      <c r="H606" s="3">
        <f t="shared" si="1"/>
        <v>135787.524</v>
      </c>
    </row>
    <row r="607" ht="15.75" customHeight="1">
      <c r="A607" s="23">
        <v>40767.0</v>
      </c>
      <c r="B607" s="24">
        <v>4078.6</v>
      </c>
      <c r="C607" s="24">
        <v>4216.1</v>
      </c>
      <c r="D607" s="24">
        <v>3765.9</v>
      </c>
      <c r="E607" s="24">
        <v>4172.6</v>
      </c>
      <c r="F607" s="25">
        <v>7.5374E9</v>
      </c>
      <c r="G607" s="25">
        <v>3.93568E10</v>
      </c>
      <c r="H607" s="3">
        <f t="shared" si="1"/>
        <v>138010.1872</v>
      </c>
    </row>
    <row r="608" ht="15.75" customHeight="1">
      <c r="A608" s="23">
        <v>40774.0</v>
      </c>
      <c r="B608" s="24">
        <v>4193.5</v>
      </c>
      <c r="C608" s="24">
        <v>4324.7</v>
      </c>
      <c r="D608" s="24">
        <v>4099.4</v>
      </c>
      <c r="E608" s="24">
        <v>4101.9</v>
      </c>
      <c r="F608" s="25">
        <v>5.1628E9</v>
      </c>
      <c r="G608" s="25">
        <v>2.84988E10</v>
      </c>
      <c r="H608" s="3">
        <f t="shared" si="1"/>
        <v>135671.7603</v>
      </c>
    </row>
    <row r="609" ht="15.75" customHeight="1">
      <c r="A609" s="23">
        <v>40781.0</v>
      </c>
      <c r="B609" s="24">
        <v>4099.0</v>
      </c>
      <c r="C609" s="24">
        <v>4238.6</v>
      </c>
      <c r="D609" s="24">
        <v>4075.1</v>
      </c>
      <c r="E609" s="24">
        <v>4200.0</v>
      </c>
      <c r="F609" s="25">
        <v>5.4596E9</v>
      </c>
      <c r="G609" s="25">
        <v>2.89658E10</v>
      </c>
      <c r="H609" s="3">
        <f t="shared" si="1"/>
        <v>138916.4517</v>
      </c>
    </row>
    <row r="610" ht="15.75" customHeight="1">
      <c r="A610" s="23">
        <v>40788.0</v>
      </c>
      <c r="B610" s="24">
        <v>4209.5</v>
      </c>
      <c r="C610" s="24">
        <v>4354.6</v>
      </c>
      <c r="D610" s="24">
        <v>4209.5</v>
      </c>
      <c r="E610" s="24">
        <v>4242.9</v>
      </c>
      <c r="F610" s="25">
        <v>4.8928E9</v>
      </c>
      <c r="G610" s="25">
        <v>2.4981E10</v>
      </c>
      <c r="H610" s="3">
        <f t="shared" si="1"/>
        <v>140335.384</v>
      </c>
    </row>
    <row r="611" ht="15.75" customHeight="1">
      <c r="A611" s="23">
        <v>40795.0</v>
      </c>
      <c r="B611" s="24">
        <v>4221.2</v>
      </c>
      <c r="C611" s="24">
        <v>4232.0</v>
      </c>
      <c r="D611" s="24">
        <v>4072.7</v>
      </c>
      <c r="E611" s="24">
        <v>4194.7</v>
      </c>
      <c r="F611" s="25">
        <v>4.5349E9</v>
      </c>
      <c r="G611" s="25">
        <v>2.41968E10</v>
      </c>
      <c r="H611" s="3">
        <f t="shared" si="1"/>
        <v>138741.1523</v>
      </c>
    </row>
    <row r="612" ht="15.75" customHeight="1">
      <c r="A612" s="23">
        <v>40802.0</v>
      </c>
      <c r="B612" s="24">
        <v>4169.3</v>
      </c>
      <c r="C612" s="24">
        <v>4170.0</v>
      </c>
      <c r="D612" s="24">
        <v>3997.6</v>
      </c>
      <c r="E612" s="24">
        <v>4149.4</v>
      </c>
      <c r="F612" s="25">
        <v>5.373E9</v>
      </c>
      <c r="G612" s="25">
        <v>2.65819E10</v>
      </c>
      <c r="H612" s="3">
        <f t="shared" si="1"/>
        <v>137242.8392</v>
      </c>
    </row>
    <row r="613" ht="15.75" customHeight="1">
      <c r="A613" s="23">
        <v>40809.0</v>
      </c>
      <c r="B613" s="24">
        <v>4140.1</v>
      </c>
      <c r="C613" s="24">
        <v>4141.4</v>
      </c>
      <c r="D613" s="24">
        <v>3882.2</v>
      </c>
      <c r="E613" s="24">
        <v>3903.2</v>
      </c>
      <c r="F613" s="25">
        <v>5.1204E9</v>
      </c>
      <c r="G613" s="25">
        <v>2.66974E10</v>
      </c>
      <c r="H613" s="3">
        <f t="shared" si="1"/>
        <v>129099.6891</v>
      </c>
    </row>
    <row r="614" ht="15.75" customHeight="1">
      <c r="A614" s="23">
        <v>40816.0</v>
      </c>
      <c r="B614" s="24">
        <v>3917.8</v>
      </c>
      <c r="C614" s="24">
        <v>4053.8</v>
      </c>
      <c r="D614" s="24">
        <v>3862.4</v>
      </c>
      <c r="E614" s="24">
        <v>4008.6</v>
      </c>
      <c r="F614" s="25">
        <v>6.4221E9</v>
      </c>
      <c r="G614" s="25">
        <v>2.97369E10</v>
      </c>
      <c r="H614" s="3">
        <f t="shared" si="1"/>
        <v>132585.8305</v>
      </c>
    </row>
    <row r="615" ht="15.75" customHeight="1">
      <c r="A615" s="23">
        <v>40823.0</v>
      </c>
      <c r="B615" s="24">
        <v>3990.6</v>
      </c>
      <c r="C615" s="24">
        <v>4182.0</v>
      </c>
      <c r="D615" s="24">
        <v>3840.2</v>
      </c>
      <c r="E615" s="24">
        <v>4162.9</v>
      </c>
      <c r="F615" s="25">
        <v>5.6232E9</v>
      </c>
      <c r="G615" s="25">
        <v>2.55759E10</v>
      </c>
      <c r="H615" s="3">
        <f t="shared" si="1"/>
        <v>137689.3564</v>
      </c>
    </row>
    <row r="616" ht="15.75" customHeight="1">
      <c r="A616" s="23">
        <v>40830.0</v>
      </c>
      <c r="B616" s="24">
        <v>4157.6</v>
      </c>
      <c r="C616" s="24">
        <v>4256.1</v>
      </c>
      <c r="D616" s="24">
        <v>4146.9</v>
      </c>
      <c r="E616" s="24">
        <v>4205.6</v>
      </c>
      <c r="F616" s="25">
        <v>4.1438E9</v>
      </c>
      <c r="G616" s="25">
        <v>2.19348E10</v>
      </c>
      <c r="H616" s="3">
        <f t="shared" si="1"/>
        <v>139101.6736</v>
      </c>
    </row>
    <row r="617" ht="15.75" customHeight="1">
      <c r="A617" s="23">
        <v>40837.0</v>
      </c>
      <c r="B617" s="24">
        <v>4221.7</v>
      </c>
      <c r="C617" s="24">
        <v>4287.7</v>
      </c>
      <c r="D617" s="24">
        <v>4131.9</v>
      </c>
      <c r="E617" s="24">
        <v>4141.9</v>
      </c>
      <c r="F617" s="25">
        <v>3.6208E9</v>
      </c>
      <c r="G617" s="25">
        <v>2.04119E10</v>
      </c>
      <c r="H617" s="3">
        <f t="shared" si="1"/>
        <v>136994.7741</v>
      </c>
    </row>
    <row r="618" ht="15.75" customHeight="1">
      <c r="A618" s="23">
        <v>40844.0</v>
      </c>
      <c r="B618" s="24">
        <v>4155.2</v>
      </c>
      <c r="C618" s="24">
        <v>4417.6</v>
      </c>
      <c r="D618" s="24">
        <v>4155.0</v>
      </c>
      <c r="E618" s="24">
        <v>4353.3</v>
      </c>
      <c r="F618" s="25">
        <v>4.002E9</v>
      </c>
      <c r="G618" s="25">
        <v>2.4837E10</v>
      </c>
      <c r="H618" s="3">
        <f t="shared" si="1"/>
        <v>143986.9022</v>
      </c>
    </row>
    <row r="619" ht="15.75" customHeight="1">
      <c r="A619" s="23">
        <v>40851.0</v>
      </c>
      <c r="B619" s="24">
        <v>4348.9</v>
      </c>
      <c r="C619" s="24">
        <v>4358.2</v>
      </c>
      <c r="D619" s="24">
        <v>4141.3</v>
      </c>
      <c r="E619" s="24">
        <v>4281.1</v>
      </c>
      <c r="F619" s="25">
        <v>3.761E9</v>
      </c>
      <c r="G619" s="25">
        <v>2.03638E10</v>
      </c>
      <c r="H619" s="3">
        <f t="shared" si="1"/>
        <v>141598.8622</v>
      </c>
    </row>
    <row r="620" ht="15.75" customHeight="1">
      <c r="A620" s="23">
        <v>40858.0</v>
      </c>
      <c r="B620" s="24">
        <v>4281.9</v>
      </c>
      <c r="C620" s="24">
        <v>4365.0</v>
      </c>
      <c r="D620" s="24">
        <v>4205.0</v>
      </c>
      <c r="E620" s="24">
        <v>4296.5</v>
      </c>
      <c r="F620" s="25">
        <v>3.7066E9</v>
      </c>
      <c r="G620" s="25">
        <v>2.05119E10</v>
      </c>
      <c r="H620" s="3">
        <f t="shared" si="1"/>
        <v>142108.2225</v>
      </c>
    </row>
    <row r="621" ht="15.75" customHeight="1">
      <c r="A621" s="23">
        <v>40865.0</v>
      </c>
      <c r="B621" s="24">
        <v>4310.5</v>
      </c>
      <c r="C621" s="24">
        <v>4363.1</v>
      </c>
      <c r="D621" s="24">
        <v>4172.6</v>
      </c>
      <c r="E621" s="24">
        <v>4177.0</v>
      </c>
      <c r="F621" s="25">
        <v>3.2914E9</v>
      </c>
      <c r="G621" s="25">
        <v>1.90605E10</v>
      </c>
      <c r="H621" s="3">
        <f t="shared" si="1"/>
        <v>138155.7187</v>
      </c>
    </row>
    <row r="622" ht="15.75" customHeight="1">
      <c r="A622" s="23">
        <v>40872.0</v>
      </c>
      <c r="B622" s="24">
        <v>4174.2</v>
      </c>
      <c r="C622" s="24">
        <v>4181.4</v>
      </c>
      <c r="D622" s="24">
        <v>3973.8</v>
      </c>
      <c r="E622" s="24">
        <v>3984.3</v>
      </c>
      <c r="F622" s="25">
        <v>4.3556E9</v>
      </c>
      <c r="G622" s="25">
        <v>2.36057E10</v>
      </c>
      <c r="H622" s="3">
        <f t="shared" si="1"/>
        <v>131782.0996</v>
      </c>
    </row>
    <row r="623" ht="15.75" customHeight="1">
      <c r="A623" s="23">
        <v>40879.0</v>
      </c>
      <c r="B623" s="24">
        <v>3984.3</v>
      </c>
      <c r="C623" s="24">
        <v>4288.0</v>
      </c>
      <c r="D623" s="24">
        <v>3984.3</v>
      </c>
      <c r="E623" s="24">
        <v>4288.0</v>
      </c>
      <c r="F623" s="25">
        <v>4.6501E9</v>
      </c>
      <c r="G623" s="25">
        <v>2.38756E10</v>
      </c>
      <c r="H623" s="3">
        <f t="shared" si="1"/>
        <v>141827.0821</v>
      </c>
    </row>
    <row r="624" ht="15.75" customHeight="1">
      <c r="A624" s="23">
        <v>40886.0</v>
      </c>
      <c r="B624" s="24">
        <v>4292.6</v>
      </c>
      <c r="C624" s="24">
        <v>4335.2</v>
      </c>
      <c r="D624" s="24">
        <v>4186.1</v>
      </c>
      <c r="E624" s="24">
        <v>4203.0</v>
      </c>
      <c r="F624" s="25">
        <v>3.8704E9</v>
      </c>
      <c r="G624" s="25">
        <v>2.00836E10</v>
      </c>
      <c r="H624" s="3">
        <f t="shared" si="1"/>
        <v>139015.6777</v>
      </c>
    </row>
    <row r="625" ht="15.75" customHeight="1">
      <c r="A625" s="23">
        <v>40893.0</v>
      </c>
      <c r="B625" s="24">
        <v>4222.0</v>
      </c>
      <c r="C625" s="24">
        <v>4271.9</v>
      </c>
      <c r="D625" s="24">
        <v>4115.2</v>
      </c>
      <c r="E625" s="24">
        <v>4159.2</v>
      </c>
      <c r="F625" s="25">
        <v>4.2072E9</v>
      </c>
      <c r="G625" s="25">
        <v>2.17453E10</v>
      </c>
      <c r="H625" s="3">
        <f t="shared" si="1"/>
        <v>137566.9776</v>
      </c>
    </row>
    <row r="626" ht="15.75" customHeight="1">
      <c r="A626" s="23">
        <v>40900.0</v>
      </c>
      <c r="B626" s="24">
        <v>4147.8</v>
      </c>
      <c r="C626" s="24">
        <v>4148.2</v>
      </c>
      <c r="D626" s="24">
        <v>4050.3</v>
      </c>
      <c r="E626" s="24">
        <v>4140.4</v>
      </c>
      <c r="F626" s="25">
        <v>3.2642E9</v>
      </c>
      <c r="G626" s="25">
        <v>1.88748E10</v>
      </c>
      <c r="H626" s="3">
        <f t="shared" si="1"/>
        <v>136945.1611</v>
      </c>
    </row>
    <row r="627" ht="15.75" customHeight="1">
      <c r="A627" s="23">
        <v>40907.0</v>
      </c>
      <c r="B627" s="24">
        <v>4140.1</v>
      </c>
      <c r="C627" s="24">
        <v>4142.6</v>
      </c>
      <c r="D627" s="24">
        <v>4038.1</v>
      </c>
      <c r="E627" s="24">
        <v>4056.6</v>
      </c>
      <c r="F627" s="25">
        <v>1.0182E9</v>
      </c>
      <c r="G627" s="25">
        <v>4.6609E9</v>
      </c>
      <c r="H627" s="3">
        <f t="shared" si="1"/>
        <v>134173.4471</v>
      </c>
    </row>
    <row r="628" ht="15.75" customHeight="1">
      <c r="A628" s="23">
        <v>40914.0</v>
      </c>
      <c r="B628" s="24">
        <v>4069.3</v>
      </c>
      <c r="C628" s="24">
        <v>4202.4</v>
      </c>
      <c r="D628" s="24">
        <v>4069.1</v>
      </c>
      <c r="E628" s="24">
        <v>4108.5</v>
      </c>
      <c r="F628" s="25">
        <v>2.0595E9</v>
      </c>
      <c r="G628" s="25">
        <v>1.07761E10</v>
      </c>
      <c r="H628" s="3">
        <f t="shared" si="1"/>
        <v>135890.0576</v>
      </c>
    </row>
    <row r="629" ht="15.75" customHeight="1">
      <c r="A629" s="23">
        <v>40921.0</v>
      </c>
      <c r="B629" s="24">
        <v>4118.1</v>
      </c>
      <c r="C629" s="24">
        <v>4203.6</v>
      </c>
      <c r="D629" s="24">
        <v>4088.7</v>
      </c>
      <c r="E629" s="24">
        <v>4195.9</v>
      </c>
      <c r="F629" s="25">
        <v>3.0535E9</v>
      </c>
      <c r="G629" s="25">
        <v>1.60883E10</v>
      </c>
      <c r="H629" s="3">
        <f t="shared" si="1"/>
        <v>138780.8428</v>
      </c>
    </row>
    <row r="630" ht="15.75" customHeight="1">
      <c r="A630" s="23">
        <v>40928.0</v>
      </c>
      <c r="B630" s="24">
        <v>4191.3</v>
      </c>
      <c r="C630" s="24">
        <v>4258.4</v>
      </c>
      <c r="D630" s="24">
        <v>4138.5</v>
      </c>
      <c r="E630" s="24">
        <v>4239.6</v>
      </c>
      <c r="F630" s="25">
        <v>3.6982E9</v>
      </c>
      <c r="G630" s="25">
        <v>1.88153E10</v>
      </c>
      <c r="H630" s="3">
        <f t="shared" si="1"/>
        <v>140226.2354</v>
      </c>
    </row>
    <row r="631" ht="15.75" customHeight="1">
      <c r="A631" s="23">
        <v>40935.0</v>
      </c>
      <c r="B631" s="24">
        <v>4239.6</v>
      </c>
      <c r="C631" s="24">
        <v>4315.6</v>
      </c>
      <c r="D631" s="24">
        <v>4218.4</v>
      </c>
      <c r="E631" s="24">
        <v>4288.4</v>
      </c>
      <c r="F631" s="25">
        <v>2.571E9</v>
      </c>
      <c r="G631" s="25">
        <v>1.63281E10</v>
      </c>
      <c r="H631" s="3">
        <f t="shared" si="1"/>
        <v>141840.3122</v>
      </c>
    </row>
    <row r="632" ht="15.75" customHeight="1">
      <c r="A632" s="23">
        <v>40942.0</v>
      </c>
      <c r="B632" s="24">
        <v>4288.4</v>
      </c>
      <c r="C632" s="24">
        <v>4294.7</v>
      </c>
      <c r="D632" s="24">
        <v>4225.7</v>
      </c>
      <c r="E632" s="24">
        <v>4251.2</v>
      </c>
      <c r="F632" s="25">
        <v>3.8816E9</v>
      </c>
      <c r="G632" s="25">
        <v>2.02584E10</v>
      </c>
      <c r="H632" s="3">
        <f t="shared" si="1"/>
        <v>140609.9094</v>
      </c>
    </row>
    <row r="633" ht="15.75" customHeight="1">
      <c r="A633" s="23">
        <v>40949.0</v>
      </c>
      <c r="B633" s="24">
        <v>4266.0</v>
      </c>
      <c r="C633" s="24">
        <v>4312.0</v>
      </c>
      <c r="D633" s="24">
        <v>4244.9</v>
      </c>
      <c r="E633" s="24">
        <v>4245.3</v>
      </c>
      <c r="F633" s="25">
        <v>3.9861E9</v>
      </c>
      <c r="G633" s="25">
        <v>2.25203E10</v>
      </c>
      <c r="H633" s="3">
        <f t="shared" si="1"/>
        <v>140414.7648</v>
      </c>
    </row>
    <row r="634" ht="15.75" customHeight="1">
      <c r="A634" s="23">
        <v>40956.0</v>
      </c>
      <c r="B634" s="24">
        <v>4245.3</v>
      </c>
      <c r="C634" s="24">
        <v>4289.7</v>
      </c>
      <c r="D634" s="24">
        <v>4170.2</v>
      </c>
      <c r="E634" s="24">
        <v>4195.9</v>
      </c>
      <c r="F634" s="25">
        <v>4.153E9</v>
      </c>
      <c r="G634" s="25">
        <v>2.17925E10</v>
      </c>
      <c r="H634" s="3">
        <f t="shared" si="1"/>
        <v>138780.8428</v>
      </c>
    </row>
    <row r="635" ht="15.75" customHeight="1">
      <c r="A635" s="23">
        <v>40963.0</v>
      </c>
      <c r="B635" s="24">
        <v>4195.9</v>
      </c>
      <c r="C635" s="24">
        <v>4307.5</v>
      </c>
      <c r="D635" s="24">
        <v>4195.9</v>
      </c>
      <c r="E635" s="24">
        <v>4306.8</v>
      </c>
      <c r="F635" s="25">
        <v>4.5151E9</v>
      </c>
      <c r="G635" s="25">
        <v>2.35697E10</v>
      </c>
      <c r="H635" s="3">
        <f t="shared" si="1"/>
        <v>142448.8986</v>
      </c>
    </row>
    <row r="636" ht="15.75" customHeight="1">
      <c r="A636" s="23">
        <v>40970.0</v>
      </c>
      <c r="B636" s="24">
        <v>4306.8</v>
      </c>
      <c r="C636" s="24">
        <v>4318.8</v>
      </c>
      <c r="D636" s="24">
        <v>4248.0</v>
      </c>
      <c r="E636" s="24">
        <v>4273.1</v>
      </c>
      <c r="F636" s="25">
        <v>4.454E9</v>
      </c>
      <c r="G636" s="25">
        <v>2.21561E10</v>
      </c>
      <c r="H636" s="3">
        <f t="shared" si="1"/>
        <v>141334.2594</v>
      </c>
    </row>
    <row r="637" ht="15.75" customHeight="1">
      <c r="A637" s="23">
        <v>40977.0</v>
      </c>
      <c r="B637" s="24">
        <v>4269.0</v>
      </c>
      <c r="C637" s="24">
        <v>4273.6</v>
      </c>
      <c r="D637" s="24">
        <v>4143.7</v>
      </c>
      <c r="E637" s="24">
        <v>4212.0</v>
      </c>
      <c r="F637" s="25">
        <v>4.4019E9</v>
      </c>
      <c r="G637" s="25">
        <v>2.26986E10</v>
      </c>
      <c r="H637" s="3">
        <f t="shared" si="1"/>
        <v>139313.3558</v>
      </c>
    </row>
    <row r="638" ht="15.75" customHeight="1">
      <c r="A638" s="23">
        <v>40984.0</v>
      </c>
      <c r="B638" s="24">
        <v>4215.1</v>
      </c>
      <c r="C638" s="24">
        <v>4294.9</v>
      </c>
      <c r="D638" s="24">
        <v>4193.9</v>
      </c>
      <c r="E638" s="24">
        <v>4276.2</v>
      </c>
      <c r="F638" s="25">
        <v>4.9426E9</v>
      </c>
      <c r="G638" s="25">
        <v>2.38885E10</v>
      </c>
      <c r="H638" s="3">
        <f t="shared" si="1"/>
        <v>141436.793</v>
      </c>
    </row>
    <row r="639" ht="15.75" customHeight="1">
      <c r="A639" s="23">
        <v>40991.0</v>
      </c>
      <c r="B639" s="24">
        <v>4282.7</v>
      </c>
      <c r="C639" s="24">
        <v>4309.0</v>
      </c>
      <c r="D639" s="24">
        <v>4238.4</v>
      </c>
      <c r="E639" s="24">
        <v>4270.4</v>
      </c>
      <c r="F639" s="25">
        <v>3.9725E9</v>
      </c>
      <c r="G639" s="25">
        <v>2.07493E10</v>
      </c>
      <c r="H639" s="3">
        <f t="shared" si="1"/>
        <v>141244.956</v>
      </c>
    </row>
    <row r="640" ht="15.75" customHeight="1">
      <c r="A640" s="23">
        <v>40998.0</v>
      </c>
      <c r="B640" s="24">
        <v>4270.3</v>
      </c>
      <c r="C640" s="24">
        <v>4361.1</v>
      </c>
      <c r="D640" s="24">
        <v>4262.8</v>
      </c>
      <c r="E640" s="24">
        <v>4335.2</v>
      </c>
      <c r="F640" s="25">
        <v>4.3495E9</v>
      </c>
      <c r="G640" s="25">
        <v>2.51165E10</v>
      </c>
      <c r="H640" s="3">
        <f t="shared" si="1"/>
        <v>143388.2384</v>
      </c>
    </row>
    <row r="641" ht="15.75" customHeight="1">
      <c r="A641" s="23">
        <v>41004.0</v>
      </c>
      <c r="B641" s="24">
        <v>4348.8</v>
      </c>
      <c r="C641" s="24">
        <v>4377.5</v>
      </c>
      <c r="D641" s="24">
        <v>4286.3</v>
      </c>
      <c r="E641" s="24">
        <v>4319.8</v>
      </c>
      <c r="F641" s="25">
        <v>3.1794E9</v>
      </c>
      <c r="G641" s="25">
        <v>1.69804E10</v>
      </c>
      <c r="H641" s="3">
        <f t="shared" si="1"/>
        <v>142878.8781</v>
      </c>
    </row>
    <row r="642" ht="15.75" customHeight="1">
      <c r="A642" s="23">
        <v>41012.0</v>
      </c>
      <c r="B642" s="24">
        <v>4308.9</v>
      </c>
      <c r="C642" s="24">
        <v>4330.5</v>
      </c>
      <c r="D642" s="24">
        <v>4246.1</v>
      </c>
      <c r="E642" s="24">
        <v>4323.3</v>
      </c>
      <c r="F642" s="25">
        <v>2.7434E9</v>
      </c>
      <c r="G642" s="25">
        <v>1.47411E10</v>
      </c>
      <c r="H642" s="3">
        <f t="shared" si="1"/>
        <v>142994.6418</v>
      </c>
    </row>
    <row r="643" ht="15.75" customHeight="1">
      <c r="A643" s="23">
        <v>41019.0</v>
      </c>
      <c r="B643" s="24">
        <v>4323.3</v>
      </c>
      <c r="C643" s="24">
        <v>4377.1</v>
      </c>
      <c r="D643" s="24">
        <v>4286.4</v>
      </c>
      <c r="E643" s="24">
        <v>4366.5</v>
      </c>
      <c r="F643" s="25">
        <v>3.4278E9</v>
      </c>
      <c r="G643" s="25">
        <v>1.91564E10</v>
      </c>
      <c r="H643" s="3">
        <f t="shared" si="1"/>
        <v>144423.4967</v>
      </c>
    </row>
    <row r="644" ht="15.75" customHeight="1">
      <c r="A644" s="23">
        <v>41026.0</v>
      </c>
      <c r="B644" s="24">
        <v>4366.5</v>
      </c>
      <c r="C644" s="24">
        <v>4393.8</v>
      </c>
      <c r="D644" s="24">
        <v>4337.7</v>
      </c>
      <c r="E644" s="24">
        <v>4362.1</v>
      </c>
      <c r="F644" s="25">
        <v>2.8575E9</v>
      </c>
      <c r="G644" s="25">
        <v>1.65938E10</v>
      </c>
      <c r="H644" s="3">
        <f t="shared" si="1"/>
        <v>144277.9652</v>
      </c>
    </row>
    <row r="645" ht="15.75" customHeight="1">
      <c r="A645" s="23">
        <v>41033.0</v>
      </c>
      <c r="B645" s="24">
        <v>4373.1</v>
      </c>
      <c r="C645" s="24">
        <v>4448.5</v>
      </c>
      <c r="D645" s="24">
        <v>4373.0</v>
      </c>
      <c r="E645" s="24">
        <v>4396.0</v>
      </c>
      <c r="F645" s="25">
        <v>3.9449E9</v>
      </c>
      <c r="G645" s="25">
        <v>2.05003E10</v>
      </c>
      <c r="H645" s="3">
        <f t="shared" si="1"/>
        <v>145399.2194</v>
      </c>
    </row>
    <row r="646" ht="15.75" customHeight="1">
      <c r="A646" s="23">
        <v>41040.0</v>
      </c>
      <c r="B646" s="24">
        <v>4396.0</v>
      </c>
      <c r="C646" s="24">
        <v>4396.0</v>
      </c>
      <c r="D646" s="24">
        <v>4257.9</v>
      </c>
      <c r="E646" s="24">
        <v>4285.1</v>
      </c>
      <c r="F646" s="25">
        <v>4.4432E9</v>
      </c>
      <c r="G646" s="25">
        <v>2.36515E10</v>
      </c>
      <c r="H646" s="3">
        <f t="shared" si="1"/>
        <v>141731.1636</v>
      </c>
    </row>
    <row r="647" ht="15.75" customHeight="1">
      <c r="A647" s="23">
        <v>41047.0</v>
      </c>
      <c r="B647" s="24">
        <v>4285.1</v>
      </c>
      <c r="C647" s="24">
        <v>4304.4</v>
      </c>
      <c r="D647" s="24">
        <v>4026.5</v>
      </c>
      <c r="E647" s="24">
        <v>4046.5</v>
      </c>
      <c r="F647" s="25">
        <v>4.8121E9</v>
      </c>
      <c r="G647" s="25">
        <v>2.44212E10</v>
      </c>
      <c r="H647" s="3">
        <f t="shared" si="1"/>
        <v>133839.3861</v>
      </c>
    </row>
    <row r="648" ht="15.75" customHeight="1">
      <c r="A648" s="23">
        <v>41054.0</v>
      </c>
      <c r="B648" s="24">
        <v>4051.7</v>
      </c>
      <c r="C648" s="24">
        <v>4122.6</v>
      </c>
      <c r="D648" s="24">
        <v>4024.8</v>
      </c>
      <c r="E648" s="24">
        <v>4029.2</v>
      </c>
      <c r="F648" s="25">
        <v>4.0252E9</v>
      </c>
      <c r="G648" s="25">
        <v>2.15509E10</v>
      </c>
      <c r="H648" s="3">
        <f t="shared" si="1"/>
        <v>133267.1826</v>
      </c>
    </row>
    <row r="649" ht="15.75" customHeight="1">
      <c r="A649" s="23">
        <v>41061.0</v>
      </c>
      <c r="B649" s="24">
        <v>4029.2</v>
      </c>
      <c r="C649" s="24">
        <v>4118.0</v>
      </c>
      <c r="D649" s="24">
        <v>4029.2</v>
      </c>
      <c r="E649" s="24">
        <v>4063.9</v>
      </c>
      <c r="F649" s="25">
        <v>4.0194E9</v>
      </c>
      <c r="G649" s="25">
        <v>2.02253E10</v>
      </c>
      <c r="H649" s="3">
        <f t="shared" si="1"/>
        <v>134414.8971</v>
      </c>
    </row>
    <row r="650" ht="15.75" customHeight="1">
      <c r="A650" s="23">
        <v>41068.0</v>
      </c>
      <c r="B650" s="24">
        <v>4063.9</v>
      </c>
      <c r="C650" s="24">
        <v>4121.4</v>
      </c>
      <c r="D650" s="24">
        <v>3985.0</v>
      </c>
      <c r="E650" s="24">
        <v>4063.7</v>
      </c>
      <c r="F650" s="25">
        <v>4.4241E9</v>
      </c>
      <c r="G650" s="25">
        <v>2.07955E10</v>
      </c>
      <c r="H650" s="3">
        <f t="shared" si="1"/>
        <v>134408.2821</v>
      </c>
    </row>
    <row r="651" ht="15.75" customHeight="1">
      <c r="A651" s="23">
        <v>41075.0</v>
      </c>
      <c r="B651" s="24">
        <v>4062.3</v>
      </c>
      <c r="C651" s="24">
        <v>4087.8</v>
      </c>
      <c r="D651" s="24">
        <v>4026.5</v>
      </c>
      <c r="E651" s="24">
        <v>4057.3</v>
      </c>
      <c r="F651" s="25">
        <v>3.3627E9</v>
      </c>
      <c r="G651" s="25">
        <v>1.39022E10</v>
      </c>
      <c r="H651" s="3">
        <f t="shared" si="1"/>
        <v>134196.5999</v>
      </c>
    </row>
    <row r="652" ht="15.75" customHeight="1">
      <c r="A652" s="23">
        <v>41082.0</v>
      </c>
      <c r="B652" s="24">
        <v>4057.3</v>
      </c>
      <c r="C652" s="24">
        <v>4159.3</v>
      </c>
      <c r="D652" s="24">
        <v>4038.6</v>
      </c>
      <c r="E652" s="24">
        <v>4048.2</v>
      </c>
      <c r="F652" s="25">
        <v>4.4318E9</v>
      </c>
      <c r="G652" s="25">
        <v>2.18832E10</v>
      </c>
      <c r="H652" s="3">
        <f t="shared" si="1"/>
        <v>133895.6142</v>
      </c>
    </row>
    <row r="653" ht="15.75" customHeight="1">
      <c r="A653" s="23">
        <v>41089.0</v>
      </c>
      <c r="B653" s="24">
        <v>4048.2</v>
      </c>
      <c r="C653" s="24">
        <v>4117.0</v>
      </c>
      <c r="D653" s="24">
        <v>3993.8</v>
      </c>
      <c r="E653" s="24">
        <v>4094.6</v>
      </c>
      <c r="F653" s="25">
        <v>4.0817E9</v>
      </c>
      <c r="G653" s="25">
        <v>2.09948E10</v>
      </c>
      <c r="H653" s="3">
        <f t="shared" si="1"/>
        <v>135430.3102</v>
      </c>
    </row>
    <row r="654" ht="15.75" customHeight="1">
      <c r="A654" s="23">
        <v>41096.0</v>
      </c>
      <c r="B654" s="24">
        <v>4098.0</v>
      </c>
      <c r="C654" s="24">
        <v>4175.8</v>
      </c>
      <c r="D654" s="24">
        <v>4098.0</v>
      </c>
      <c r="E654" s="24">
        <v>4157.8</v>
      </c>
      <c r="F654" s="25">
        <v>3.0868E9</v>
      </c>
      <c r="G654" s="25">
        <v>1.55693E10</v>
      </c>
      <c r="H654" s="3">
        <f t="shared" si="1"/>
        <v>137520.6721</v>
      </c>
    </row>
    <row r="655" ht="15.75" customHeight="1">
      <c r="A655" s="23">
        <v>41103.0</v>
      </c>
      <c r="B655" s="24">
        <v>4148.4</v>
      </c>
      <c r="C655" s="24">
        <v>4148.4</v>
      </c>
      <c r="D655" s="24">
        <v>4062.3</v>
      </c>
      <c r="E655" s="24">
        <v>4082.2</v>
      </c>
      <c r="F655" s="25">
        <v>3.1197E9</v>
      </c>
      <c r="G655" s="25">
        <v>1.58825E10</v>
      </c>
      <c r="H655" s="3">
        <f t="shared" si="1"/>
        <v>135020.176</v>
      </c>
    </row>
    <row r="656" ht="15.75" customHeight="1">
      <c r="A656" s="23">
        <v>41110.0</v>
      </c>
      <c r="B656" s="24">
        <v>4082.2</v>
      </c>
      <c r="C656" s="24">
        <v>4215.6</v>
      </c>
      <c r="D656" s="24">
        <v>4082.2</v>
      </c>
      <c r="E656" s="24">
        <v>4199.1</v>
      </c>
      <c r="F656" s="25">
        <v>3.3953E9</v>
      </c>
      <c r="G656" s="25">
        <v>1.74494E10</v>
      </c>
      <c r="H656" s="3">
        <f t="shared" si="1"/>
        <v>138886.6839</v>
      </c>
    </row>
    <row r="657" ht="15.75" customHeight="1">
      <c r="A657" s="23">
        <v>41117.0</v>
      </c>
      <c r="B657" s="24">
        <v>4199.1</v>
      </c>
      <c r="C657" s="24">
        <v>4209.8</v>
      </c>
      <c r="D657" s="24">
        <v>4084.4</v>
      </c>
      <c r="E657" s="24">
        <v>4209.8</v>
      </c>
      <c r="F657" s="25">
        <v>3.3428E9</v>
      </c>
      <c r="G657" s="25">
        <v>1.83331E10</v>
      </c>
      <c r="H657" s="3">
        <f t="shared" si="1"/>
        <v>139240.5901</v>
      </c>
    </row>
    <row r="658" ht="15.75" customHeight="1">
      <c r="A658" s="23">
        <v>41124.0</v>
      </c>
      <c r="B658" s="24">
        <v>4219.4</v>
      </c>
      <c r="C658" s="24">
        <v>4288.1</v>
      </c>
      <c r="D658" s="24">
        <v>4212.7</v>
      </c>
      <c r="E658" s="24">
        <v>4221.5</v>
      </c>
      <c r="F658" s="25">
        <v>3.5303E9</v>
      </c>
      <c r="G658" s="25">
        <v>1.80461E10</v>
      </c>
      <c r="H658" s="3">
        <f t="shared" si="1"/>
        <v>139627.5716</v>
      </c>
    </row>
    <row r="659" ht="15.75" customHeight="1">
      <c r="A659" s="23">
        <v>41131.0</v>
      </c>
      <c r="B659" s="24">
        <v>4221.5</v>
      </c>
      <c r="C659" s="24">
        <v>4330.4</v>
      </c>
      <c r="D659" s="24">
        <v>4221.5</v>
      </c>
      <c r="E659" s="24">
        <v>4277.3</v>
      </c>
      <c r="F659" s="25">
        <v>3.4902E9</v>
      </c>
      <c r="G659" s="25">
        <v>1.73111E10</v>
      </c>
      <c r="H659" s="3">
        <f t="shared" si="1"/>
        <v>141473.1759</v>
      </c>
    </row>
    <row r="660" ht="15.75" customHeight="1">
      <c r="A660" s="23">
        <v>41138.0</v>
      </c>
      <c r="B660" s="24">
        <v>4284.4</v>
      </c>
      <c r="C660" s="24">
        <v>4370.1</v>
      </c>
      <c r="D660" s="24">
        <v>4267.1</v>
      </c>
      <c r="E660" s="24">
        <v>4370.1</v>
      </c>
      <c r="F660" s="25">
        <v>4.0281E9</v>
      </c>
      <c r="G660" s="25">
        <v>1.8493E10</v>
      </c>
      <c r="H660" s="3">
        <f t="shared" si="1"/>
        <v>144542.568</v>
      </c>
    </row>
    <row r="661" ht="15.75" customHeight="1">
      <c r="A661" s="23">
        <v>41145.0</v>
      </c>
      <c r="B661" s="24">
        <v>4372.5</v>
      </c>
      <c r="C661" s="24">
        <v>4403.9</v>
      </c>
      <c r="D661" s="24">
        <v>4339.1</v>
      </c>
      <c r="E661" s="24">
        <v>4349.0</v>
      </c>
      <c r="F661" s="25">
        <v>3.9448E9</v>
      </c>
      <c r="G661" s="25">
        <v>2.09673E10</v>
      </c>
      <c r="H661" s="3">
        <f t="shared" si="1"/>
        <v>143844.6782</v>
      </c>
    </row>
    <row r="662" ht="15.75" customHeight="1">
      <c r="A662" s="23">
        <v>41152.0</v>
      </c>
      <c r="B662" s="24">
        <v>4351.4</v>
      </c>
      <c r="C662" s="24">
        <v>4375.8</v>
      </c>
      <c r="D662" s="24">
        <v>4302.5</v>
      </c>
      <c r="E662" s="24">
        <v>4316.1</v>
      </c>
      <c r="F662" s="25">
        <v>4.1116E9</v>
      </c>
      <c r="G662" s="25">
        <v>2.1075E10</v>
      </c>
      <c r="H662" s="3">
        <f t="shared" si="1"/>
        <v>142756.4993</v>
      </c>
    </row>
    <row r="663" ht="15.75" customHeight="1">
      <c r="A663" s="23">
        <v>41159.0</v>
      </c>
      <c r="B663" s="24">
        <v>4310.0</v>
      </c>
      <c r="C663" s="24">
        <v>4358.3</v>
      </c>
      <c r="D663" s="24">
        <v>4261.2</v>
      </c>
      <c r="E663" s="24">
        <v>4325.8</v>
      </c>
      <c r="F663" s="25">
        <v>4.5329E9</v>
      </c>
      <c r="G663" s="25">
        <v>2.09482E10</v>
      </c>
      <c r="H663" s="3">
        <f t="shared" si="1"/>
        <v>143077.3302</v>
      </c>
    </row>
    <row r="664" ht="15.75" customHeight="1">
      <c r="A664" s="23">
        <v>41166.0</v>
      </c>
      <c r="B664" s="24">
        <v>4325.8</v>
      </c>
      <c r="C664" s="24">
        <v>4398.3</v>
      </c>
      <c r="D664" s="24">
        <v>4316.7</v>
      </c>
      <c r="E664" s="24">
        <v>4390.0</v>
      </c>
      <c r="F664" s="25">
        <v>3.6459E9</v>
      </c>
      <c r="G664" s="25">
        <v>1.82219E10</v>
      </c>
      <c r="H664" s="3">
        <f t="shared" si="1"/>
        <v>145200.7673</v>
      </c>
    </row>
    <row r="665" ht="15.75" customHeight="1">
      <c r="A665" s="23">
        <v>41173.0</v>
      </c>
      <c r="B665" s="24">
        <v>4404.2</v>
      </c>
      <c r="C665" s="24">
        <v>4421.0</v>
      </c>
      <c r="D665" s="24">
        <v>4383.3</v>
      </c>
      <c r="E665" s="24">
        <v>4408.3</v>
      </c>
      <c r="F665" s="25">
        <v>4.8455E9</v>
      </c>
      <c r="G665" s="25">
        <v>2.39145E10</v>
      </c>
      <c r="H665" s="3">
        <f t="shared" si="1"/>
        <v>145806.0462</v>
      </c>
    </row>
    <row r="666" ht="15.75" customHeight="1">
      <c r="A666" s="23">
        <v>41180.0</v>
      </c>
      <c r="B666" s="24">
        <v>4408.3</v>
      </c>
      <c r="C666" s="24">
        <v>4408.3</v>
      </c>
      <c r="D666" s="24">
        <v>4336.9</v>
      </c>
      <c r="E666" s="24">
        <v>4387.0</v>
      </c>
      <c r="F666" s="25">
        <v>3.5008E9</v>
      </c>
      <c r="G666" s="25">
        <v>2.07077E10</v>
      </c>
      <c r="H666" s="3">
        <f t="shared" si="1"/>
        <v>145101.5413</v>
      </c>
    </row>
    <row r="667" ht="15.75" customHeight="1">
      <c r="A667" s="23">
        <v>41187.0</v>
      </c>
      <c r="B667" s="24">
        <v>4387.0</v>
      </c>
      <c r="C667" s="24">
        <v>4495.8</v>
      </c>
      <c r="D667" s="24">
        <v>4375.0</v>
      </c>
      <c r="E667" s="24">
        <v>4494.4</v>
      </c>
      <c r="F667" s="25">
        <v>2.9485E9</v>
      </c>
      <c r="G667" s="25">
        <v>1.41008E10</v>
      </c>
      <c r="H667" s="3">
        <f t="shared" si="1"/>
        <v>148653.8334</v>
      </c>
    </row>
    <row r="668" ht="15.75" customHeight="1">
      <c r="A668" s="23">
        <v>41194.0</v>
      </c>
      <c r="B668" s="24">
        <v>4494.4</v>
      </c>
      <c r="C668" s="24">
        <v>4512.8</v>
      </c>
      <c r="D668" s="24">
        <v>4460.4</v>
      </c>
      <c r="E668" s="24">
        <v>4486.6</v>
      </c>
      <c r="F668" s="25">
        <v>3.0149E9</v>
      </c>
      <c r="G668" s="25">
        <v>1.49827E10</v>
      </c>
      <c r="H668" s="3">
        <f t="shared" si="1"/>
        <v>148395.8457</v>
      </c>
    </row>
    <row r="669" ht="15.75" customHeight="1">
      <c r="A669" s="23">
        <v>41201.0</v>
      </c>
      <c r="B669" s="24">
        <v>4486.6</v>
      </c>
      <c r="C669" s="24">
        <v>4581.8</v>
      </c>
      <c r="D669" s="24">
        <v>4479.2</v>
      </c>
      <c r="E669" s="24">
        <v>4571.1</v>
      </c>
      <c r="F669" s="25">
        <v>3.6505E9</v>
      </c>
      <c r="G669" s="25">
        <v>1.94636E10</v>
      </c>
      <c r="H669" s="3">
        <f t="shared" si="1"/>
        <v>151190.7124</v>
      </c>
    </row>
    <row r="670" ht="15.75" customHeight="1">
      <c r="A670" s="23">
        <v>41208.0</v>
      </c>
      <c r="B670" s="24">
        <v>4558.5</v>
      </c>
      <c r="C670" s="24">
        <v>4565.0</v>
      </c>
      <c r="D670" s="24">
        <v>4472.1</v>
      </c>
      <c r="E670" s="24">
        <v>4472.4</v>
      </c>
      <c r="F670" s="25">
        <v>3.6551E9</v>
      </c>
      <c r="G670" s="25">
        <v>2.02606E10</v>
      </c>
      <c r="H670" s="3">
        <f t="shared" si="1"/>
        <v>147926.1758</v>
      </c>
    </row>
    <row r="671" ht="15.75" customHeight="1">
      <c r="A671" s="23">
        <v>41215.0</v>
      </c>
      <c r="B671" s="24">
        <v>4475.4</v>
      </c>
      <c r="C671" s="24">
        <v>4524.8</v>
      </c>
      <c r="D671" s="24">
        <v>4457.3</v>
      </c>
      <c r="E671" s="24">
        <v>4460.1</v>
      </c>
      <c r="F671" s="25">
        <v>3.6743E9</v>
      </c>
      <c r="G671" s="25">
        <v>1.80857E10</v>
      </c>
      <c r="H671" s="3">
        <f t="shared" si="1"/>
        <v>147519.3491</v>
      </c>
    </row>
    <row r="672" ht="15.75" customHeight="1">
      <c r="A672" s="23">
        <v>41222.0</v>
      </c>
      <c r="B672" s="24">
        <v>4457.4</v>
      </c>
      <c r="C672" s="24">
        <v>4519.3</v>
      </c>
      <c r="D672" s="24">
        <v>4436.2</v>
      </c>
      <c r="E672" s="24">
        <v>4462.0</v>
      </c>
      <c r="F672" s="25">
        <v>3.1308E9</v>
      </c>
      <c r="G672" s="25">
        <v>1.90483E10</v>
      </c>
      <c r="H672" s="3">
        <f t="shared" si="1"/>
        <v>147582.1922</v>
      </c>
    </row>
    <row r="673" ht="15.75" customHeight="1">
      <c r="A673" s="23">
        <v>41229.0</v>
      </c>
      <c r="B673" s="24">
        <v>4458.5</v>
      </c>
      <c r="C673" s="24">
        <v>4465.2</v>
      </c>
      <c r="D673" s="24">
        <v>4334.3</v>
      </c>
      <c r="E673" s="24">
        <v>4336.8</v>
      </c>
      <c r="F673" s="25">
        <v>3.6536E9</v>
      </c>
      <c r="G673" s="25">
        <v>1.84867E10</v>
      </c>
      <c r="H673" s="3">
        <f t="shared" si="1"/>
        <v>143441.159</v>
      </c>
    </row>
    <row r="674" ht="15.75" customHeight="1">
      <c r="A674" s="23">
        <v>41236.0</v>
      </c>
      <c r="B674" s="24">
        <v>4345.1</v>
      </c>
      <c r="C674" s="24">
        <v>4428.6</v>
      </c>
      <c r="D674" s="24">
        <v>4340.0</v>
      </c>
      <c r="E674" s="24">
        <v>4413.0</v>
      </c>
      <c r="F674" s="25">
        <v>3.1572E9</v>
      </c>
      <c r="G674" s="25">
        <v>1.45898E10</v>
      </c>
      <c r="H674" s="3">
        <f t="shared" si="1"/>
        <v>145961.5003</v>
      </c>
    </row>
    <row r="675" ht="15.75" customHeight="1">
      <c r="A675" s="23">
        <v>41243.0</v>
      </c>
      <c r="B675" s="24">
        <v>4413.0</v>
      </c>
      <c r="C675" s="24">
        <v>4514.2</v>
      </c>
      <c r="D675" s="24">
        <v>4413.0</v>
      </c>
      <c r="E675" s="24">
        <v>4506.0</v>
      </c>
      <c r="F675" s="25">
        <v>4.2979E9</v>
      </c>
      <c r="G675" s="25">
        <v>2.04073E10</v>
      </c>
      <c r="H675" s="3">
        <f t="shared" si="1"/>
        <v>149037.5074</v>
      </c>
    </row>
    <row r="676" ht="15.75" customHeight="1">
      <c r="A676" s="23">
        <v>41250.0</v>
      </c>
      <c r="B676" s="24">
        <v>4506.0</v>
      </c>
      <c r="C676" s="24">
        <v>4554.1</v>
      </c>
      <c r="D676" s="24">
        <v>4500.2</v>
      </c>
      <c r="E676" s="24">
        <v>4551.8</v>
      </c>
      <c r="F676" s="25">
        <v>3.2846E9</v>
      </c>
      <c r="G676" s="25">
        <v>1.63672E10</v>
      </c>
      <c r="H676" s="3">
        <f t="shared" si="1"/>
        <v>150552.3583</v>
      </c>
    </row>
    <row r="677" ht="15.75" customHeight="1">
      <c r="A677" s="23">
        <v>41257.0</v>
      </c>
      <c r="B677" s="24">
        <v>4552.2</v>
      </c>
      <c r="C677" s="24">
        <v>4603.5</v>
      </c>
      <c r="D677" s="24">
        <v>4552.2</v>
      </c>
      <c r="E677" s="24">
        <v>4583.1</v>
      </c>
      <c r="F677" s="25">
        <v>3.7255E9</v>
      </c>
      <c r="G677" s="25">
        <v>1.83703E10</v>
      </c>
      <c r="H677" s="3">
        <f t="shared" si="1"/>
        <v>151587.6166</v>
      </c>
    </row>
    <row r="678" ht="15.75" customHeight="1">
      <c r="A678" s="23">
        <v>41264.0</v>
      </c>
      <c r="B678" s="24">
        <v>4583.1</v>
      </c>
      <c r="C678" s="24">
        <v>4658.7</v>
      </c>
      <c r="D678" s="24">
        <v>4569.4</v>
      </c>
      <c r="E678" s="24">
        <v>4623.6</v>
      </c>
      <c r="F678" s="25">
        <v>4.6656E9</v>
      </c>
      <c r="G678" s="25">
        <v>2.55896E10</v>
      </c>
      <c r="H678" s="3">
        <f t="shared" si="1"/>
        <v>152927.1681</v>
      </c>
    </row>
    <row r="679" ht="15.75" customHeight="1">
      <c r="A679" s="23">
        <v>41271.0</v>
      </c>
      <c r="B679" s="24">
        <v>4625.7</v>
      </c>
      <c r="C679" s="24">
        <v>4688.6</v>
      </c>
      <c r="D679" s="24">
        <v>4625.7</v>
      </c>
      <c r="E679" s="24">
        <v>4671.3</v>
      </c>
      <c r="F679" s="25">
        <v>6.639E8</v>
      </c>
      <c r="G679" s="25">
        <v>3.3789E9</v>
      </c>
      <c r="H679" s="3">
        <f t="shared" si="1"/>
        <v>154504.8621</v>
      </c>
    </row>
    <row r="680" ht="15.75" customHeight="1">
      <c r="A680" s="23">
        <v>41278.0</v>
      </c>
      <c r="B680" s="24">
        <v>4666.0</v>
      </c>
      <c r="C680" s="24">
        <v>4743.4</v>
      </c>
      <c r="D680" s="24">
        <v>4644.8</v>
      </c>
      <c r="E680" s="24">
        <v>4723.8</v>
      </c>
      <c r="F680" s="25">
        <v>1.6633E9</v>
      </c>
      <c r="G680" s="25">
        <v>8.0762E9</v>
      </c>
      <c r="H680" s="3">
        <f t="shared" si="1"/>
        <v>156241.3177</v>
      </c>
    </row>
    <row r="681" ht="15.75" customHeight="1">
      <c r="A681" s="23">
        <v>41285.0</v>
      </c>
      <c r="B681" s="24">
        <v>4726.8</v>
      </c>
      <c r="C681" s="24">
        <v>4750.7</v>
      </c>
      <c r="D681" s="24">
        <v>4689.8</v>
      </c>
      <c r="E681" s="24">
        <v>4709.5</v>
      </c>
      <c r="F681" s="25">
        <v>2.8464E9</v>
      </c>
      <c r="G681" s="25">
        <v>1.62299E10</v>
      </c>
      <c r="H681" s="3">
        <f t="shared" si="1"/>
        <v>155768.3403</v>
      </c>
    </row>
    <row r="682" ht="15.75" customHeight="1">
      <c r="A682" s="23">
        <v>41292.0</v>
      </c>
      <c r="B682" s="24">
        <v>4709.5</v>
      </c>
      <c r="C682" s="24">
        <v>4787.2</v>
      </c>
      <c r="D682" s="24">
        <v>4706.4</v>
      </c>
      <c r="E682" s="24">
        <v>4771.2</v>
      </c>
      <c r="F682" s="25">
        <v>3.1743E9</v>
      </c>
      <c r="G682" s="25">
        <v>1.72129E10</v>
      </c>
      <c r="H682" s="3">
        <f t="shared" si="1"/>
        <v>157809.0891</v>
      </c>
    </row>
    <row r="683" ht="15.75" customHeight="1">
      <c r="A683" s="23">
        <v>41299.0</v>
      </c>
      <c r="B683" s="24">
        <v>4773.3</v>
      </c>
      <c r="C683" s="24">
        <v>4835.2</v>
      </c>
      <c r="D683" s="24">
        <v>4762.6</v>
      </c>
      <c r="E683" s="24">
        <v>4835.2</v>
      </c>
      <c r="F683" s="25">
        <v>3.219E9</v>
      </c>
      <c r="G683" s="25">
        <v>1.98991E10</v>
      </c>
      <c r="H683" s="3">
        <f t="shared" si="1"/>
        <v>159925.9112</v>
      </c>
    </row>
    <row r="684" ht="15.75" customHeight="1">
      <c r="A684" s="23">
        <v>41306.0</v>
      </c>
      <c r="B684" s="24">
        <v>4842.4</v>
      </c>
      <c r="C684" s="24">
        <v>4922.6</v>
      </c>
      <c r="D684" s="24">
        <v>4841.6</v>
      </c>
      <c r="E684" s="24">
        <v>4921.1</v>
      </c>
      <c r="F684" s="25">
        <v>2.8644E9</v>
      </c>
      <c r="G684" s="25">
        <v>1.64438E10</v>
      </c>
      <c r="H684" s="3">
        <f t="shared" si="1"/>
        <v>162767.0834</v>
      </c>
    </row>
    <row r="685" ht="15.75" customHeight="1">
      <c r="A685" s="23">
        <v>41313.0</v>
      </c>
      <c r="B685" s="24">
        <v>4921.1</v>
      </c>
      <c r="C685" s="24">
        <v>4971.3</v>
      </c>
      <c r="D685" s="24">
        <v>4869.5</v>
      </c>
      <c r="E685" s="24">
        <v>4971.3</v>
      </c>
      <c r="F685" s="25">
        <v>3.379E9</v>
      </c>
      <c r="G685" s="25">
        <v>1.94821E10</v>
      </c>
      <c r="H685" s="3">
        <f t="shared" si="1"/>
        <v>164427.4658</v>
      </c>
    </row>
    <row r="686" ht="15.75" customHeight="1">
      <c r="A686" s="23">
        <v>41320.0</v>
      </c>
      <c r="B686" s="24">
        <v>4971.3</v>
      </c>
      <c r="C686" s="24">
        <v>5045.4</v>
      </c>
      <c r="D686" s="24">
        <v>4959.0</v>
      </c>
      <c r="E686" s="24">
        <v>5033.9</v>
      </c>
      <c r="F686" s="25">
        <v>3.4259E9</v>
      </c>
      <c r="G686" s="25">
        <v>2.01412E10</v>
      </c>
      <c r="H686" s="3">
        <f t="shared" si="1"/>
        <v>166497.9824</v>
      </c>
    </row>
    <row r="687" ht="15.75" customHeight="1">
      <c r="A687" s="23">
        <v>41327.0</v>
      </c>
      <c r="B687" s="24">
        <v>5041.2</v>
      </c>
      <c r="C687" s="24">
        <v>5106.6</v>
      </c>
      <c r="D687" s="24">
        <v>4975.9</v>
      </c>
      <c r="E687" s="24">
        <v>5018.1</v>
      </c>
      <c r="F687" s="25">
        <v>4.4294E9</v>
      </c>
      <c r="G687" s="25">
        <v>3.1018E10</v>
      </c>
      <c r="H687" s="3">
        <f t="shared" si="1"/>
        <v>165975.3919</v>
      </c>
    </row>
    <row r="688" ht="15.75" customHeight="1">
      <c r="A688" s="23">
        <v>41334.0</v>
      </c>
      <c r="B688" s="24">
        <v>5016.8</v>
      </c>
      <c r="C688" s="24">
        <v>5112.5</v>
      </c>
      <c r="D688" s="24">
        <v>4978.4</v>
      </c>
      <c r="E688" s="24">
        <v>5086.1</v>
      </c>
      <c r="F688" s="25">
        <v>4.2636E9</v>
      </c>
      <c r="G688" s="25">
        <v>2.39782E10</v>
      </c>
      <c r="H688" s="3">
        <f t="shared" si="1"/>
        <v>168224.5154</v>
      </c>
    </row>
    <row r="689" ht="15.75" customHeight="1">
      <c r="A689" s="23">
        <v>41341.0</v>
      </c>
      <c r="B689" s="24">
        <v>5086.1</v>
      </c>
      <c r="C689" s="24">
        <v>5135.7</v>
      </c>
      <c r="D689" s="24">
        <v>5009.6</v>
      </c>
      <c r="E689" s="24">
        <v>5123.4</v>
      </c>
      <c r="F689" s="25">
        <v>3.7768E9</v>
      </c>
      <c r="G689" s="25">
        <v>2.31215E10</v>
      </c>
      <c r="H689" s="3">
        <f t="shared" si="1"/>
        <v>169458.2258</v>
      </c>
    </row>
    <row r="690" ht="15.75" customHeight="1">
      <c r="A690" s="23">
        <v>41348.0</v>
      </c>
      <c r="B690" s="24">
        <v>5120.8</v>
      </c>
      <c r="C690" s="24">
        <v>5163.5</v>
      </c>
      <c r="D690" s="24">
        <v>5032.2</v>
      </c>
      <c r="E690" s="24">
        <v>5120.2</v>
      </c>
      <c r="F690" s="25">
        <v>4.1556E9</v>
      </c>
      <c r="G690" s="25">
        <v>2.41959E10</v>
      </c>
      <c r="H690" s="3">
        <f t="shared" si="1"/>
        <v>169352.3847</v>
      </c>
    </row>
    <row r="691" ht="15.75" customHeight="1">
      <c r="A691" s="23">
        <v>41355.0</v>
      </c>
      <c r="B691" s="24">
        <v>5101.7</v>
      </c>
      <c r="C691" s="24">
        <v>5101.7</v>
      </c>
      <c r="D691" s="24">
        <v>4927.9</v>
      </c>
      <c r="E691" s="24">
        <v>4967.3</v>
      </c>
      <c r="F691" s="25">
        <v>3.8744E9</v>
      </c>
      <c r="G691" s="25">
        <v>2.51384E10</v>
      </c>
      <c r="H691" s="3">
        <f t="shared" si="1"/>
        <v>164295.1644</v>
      </c>
    </row>
    <row r="692" ht="15.75" customHeight="1">
      <c r="A692" s="23">
        <v>41361.0</v>
      </c>
      <c r="B692" s="24">
        <v>4968.8</v>
      </c>
      <c r="C692" s="24">
        <v>5023.2</v>
      </c>
      <c r="D692" s="24">
        <v>4942.5</v>
      </c>
      <c r="E692" s="24">
        <v>4966.5</v>
      </c>
      <c r="F692" s="25">
        <v>2.5483E9</v>
      </c>
      <c r="G692" s="25">
        <v>1.83932E10</v>
      </c>
      <c r="H692" s="3">
        <f t="shared" si="1"/>
        <v>164268.7041</v>
      </c>
    </row>
    <row r="693" ht="15.75" customHeight="1">
      <c r="A693" s="23">
        <v>41369.0</v>
      </c>
      <c r="B693" s="24">
        <v>4966.5</v>
      </c>
      <c r="C693" s="24">
        <v>5011.9</v>
      </c>
      <c r="D693" s="24">
        <v>4883.7</v>
      </c>
      <c r="E693" s="24">
        <v>4891.4</v>
      </c>
      <c r="F693" s="25">
        <v>2.8151E9</v>
      </c>
      <c r="G693" s="25">
        <v>1.70687E10</v>
      </c>
      <c r="H693" s="3">
        <f t="shared" si="1"/>
        <v>161784.7457</v>
      </c>
    </row>
    <row r="694" ht="15.75" customHeight="1">
      <c r="A694" s="23">
        <v>41376.0</v>
      </c>
      <c r="B694" s="24">
        <v>4891.4</v>
      </c>
      <c r="C694" s="24">
        <v>5023.0</v>
      </c>
      <c r="D694" s="24">
        <v>4889.6</v>
      </c>
      <c r="E694" s="24">
        <v>5013.5</v>
      </c>
      <c r="F694" s="25">
        <v>3.9374E9</v>
      </c>
      <c r="G694" s="25">
        <v>2.03744E10</v>
      </c>
      <c r="H694" s="3">
        <f t="shared" si="1"/>
        <v>165823.2454</v>
      </c>
    </row>
    <row r="695" ht="15.75" customHeight="1">
      <c r="A695" s="23">
        <v>41383.0</v>
      </c>
      <c r="B695" s="24">
        <v>5005.3</v>
      </c>
      <c r="C695" s="24">
        <v>5006.1</v>
      </c>
      <c r="D695" s="24">
        <v>4914.0</v>
      </c>
      <c r="E695" s="24">
        <v>4931.9</v>
      </c>
      <c r="F695" s="25">
        <v>4.0042E9</v>
      </c>
      <c r="G695" s="25">
        <v>2.16947E10</v>
      </c>
      <c r="H695" s="3">
        <f t="shared" si="1"/>
        <v>163124.2971</v>
      </c>
    </row>
    <row r="696" ht="15.75" customHeight="1">
      <c r="A696" s="23">
        <v>41390.0</v>
      </c>
      <c r="B696" s="24">
        <v>4931.9</v>
      </c>
      <c r="C696" s="24">
        <v>5135.0</v>
      </c>
      <c r="D696" s="24">
        <v>4931.9</v>
      </c>
      <c r="E696" s="24">
        <v>5097.5</v>
      </c>
      <c r="F696" s="25">
        <v>2.7421E9</v>
      </c>
      <c r="G696" s="25">
        <v>1.78287E10</v>
      </c>
      <c r="H696" s="3">
        <f t="shared" si="1"/>
        <v>168601.5744</v>
      </c>
    </row>
    <row r="697" ht="15.75" customHeight="1">
      <c r="A697" s="23">
        <v>41397.0</v>
      </c>
      <c r="B697" s="24">
        <v>5097.5</v>
      </c>
      <c r="C697" s="24">
        <v>5195.1</v>
      </c>
      <c r="D697" s="24">
        <v>5097.5</v>
      </c>
      <c r="E697" s="24">
        <v>5129.5</v>
      </c>
      <c r="F697" s="25">
        <v>2.7134E9</v>
      </c>
      <c r="G697" s="25">
        <v>1.71742E10</v>
      </c>
      <c r="H697" s="3">
        <f t="shared" si="1"/>
        <v>169659.9854</v>
      </c>
    </row>
    <row r="698" ht="15.75" customHeight="1">
      <c r="A698" s="23">
        <v>41404.0</v>
      </c>
      <c r="B698" s="24">
        <v>5146.7</v>
      </c>
      <c r="C698" s="24">
        <v>5242.5</v>
      </c>
      <c r="D698" s="24">
        <v>5118.9</v>
      </c>
      <c r="E698" s="24">
        <v>5206.1</v>
      </c>
      <c r="F698" s="25">
        <v>3.3989E9</v>
      </c>
      <c r="G698" s="25">
        <v>2.18369E10</v>
      </c>
      <c r="H698" s="3">
        <f t="shared" si="1"/>
        <v>172193.5569</v>
      </c>
    </row>
    <row r="699" ht="15.75" customHeight="1">
      <c r="A699" s="23">
        <v>41411.0</v>
      </c>
      <c r="B699" s="24">
        <v>5203.5</v>
      </c>
      <c r="C699" s="24">
        <v>5249.6</v>
      </c>
      <c r="D699" s="24">
        <v>5156.8</v>
      </c>
      <c r="E699" s="24">
        <v>5180.8</v>
      </c>
      <c r="F699" s="25">
        <v>3.4703E9</v>
      </c>
      <c r="G699" s="25">
        <v>2.20711E10</v>
      </c>
      <c r="H699" s="3">
        <f t="shared" si="1"/>
        <v>171356.7507</v>
      </c>
    </row>
    <row r="700" ht="15.75" customHeight="1">
      <c r="A700" s="23">
        <v>41418.0</v>
      </c>
      <c r="B700" s="24">
        <v>5187.2</v>
      </c>
      <c r="C700" s="24">
        <v>5246.9</v>
      </c>
      <c r="D700" s="24">
        <v>4954.9</v>
      </c>
      <c r="E700" s="24">
        <v>4983.5</v>
      </c>
      <c r="F700" s="25">
        <v>4.605E9</v>
      </c>
      <c r="G700" s="25">
        <v>2.44084E10</v>
      </c>
      <c r="H700" s="3">
        <f t="shared" si="1"/>
        <v>164830.985</v>
      </c>
    </row>
    <row r="701" ht="15.75" customHeight="1">
      <c r="A701" s="23">
        <v>41425.0</v>
      </c>
      <c r="B701" s="24">
        <v>4983.8</v>
      </c>
      <c r="C701" s="24">
        <v>4993.2</v>
      </c>
      <c r="D701" s="24">
        <v>4897.9</v>
      </c>
      <c r="E701" s="24">
        <v>4926.6</v>
      </c>
      <c r="F701" s="25">
        <v>4.0958E9</v>
      </c>
      <c r="G701" s="25">
        <v>2.66245E10</v>
      </c>
      <c r="H701" s="3">
        <f t="shared" si="1"/>
        <v>162948.9978</v>
      </c>
    </row>
    <row r="702" ht="15.75" customHeight="1">
      <c r="A702" s="23">
        <v>41432.0</v>
      </c>
      <c r="B702" s="24">
        <v>4926.6</v>
      </c>
      <c r="C702" s="24">
        <v>4933.3</v>
      </c>
      <c r="D702" s="24">
        <v>4732.3</v>
      </c>
      <c r="E702" s="24">
        <v>4737.7</v>
      </c>
      <c r="F702" s="25">
        <v>3.6325E9</v>
      </c>
      <c r="G702" s="25">
        <v>2.1134E10</v>
      </c>
      <c r="H702" s="3">
        <f t="shared" si="1"/>
        <v>156701.065</v>
      </c>
    </row>
    <row r="703" ht="15.75" customHeight="1">
      <c r="A703" s="23">
        <v>41439.0</v>
      </c>
      <c r="B703" s="24">
        <v>4737.7</v>
      </c>
      <c r="C703" s="24">
        <v>4792.6</v>
      </c>
      <c r="D703" s="24">
        <v>4658.6</v>
      </c>
      <c r="E703" s="24">
        <v>4791.8</v>
      </c>
      <c r="F703" s="25">
        <v>2.9813E9</v>
      </c>
      <c r="G703" s="25">
        <v>1.83049E10</v>
      </c>
      <c r="H703" s="3">
        <f t="shared" si="1"/>
        <v>158490.4412</v>
      </c>
    </row>
    <row r="704" ht="15.75" customHeight="1">
      <c r="A704" s="23">
        <v>41446.0</v>
      </c>
      <c r="B704" s="24">
        <v>4791.8</v>
      </c>
      <c r="C704" s="24">
        <v>4861.4</v>
      </c>
      <c r="D704" s="24">
        <v>4683.3</v>
      </c>
      <c r="E704" s="24">
        <v>4738.8</v>
      </c>
      <c r="F704" s="25">
        <v>4.4428E9</v>
      </c>
      <c r="G704" s="25">
        <v>2.52195E10</v>
      </c>
      <c r="H704" s="3">
        <f t="shared" si="1"/>
        <v>156737.4479</v>
      </c>
    </row>
    <row r="705" ht="15.75" customHeight="1">
      <c r="A705" s="23">
        <v>41453.0</v>
      </c>
      <c r="B705" s="24">
        <v>4738.8</v>
      </c>
      <c r="C705" s="24">
        <v>4833.4</v>
      </c>
      <c r="D705" s="24">
        <v>4632.3</v>
      </c>
      <c r="E705" s="24">
        <v>4802.6</v>
      </c>
      <c r="F705" s="25">
        <v>4.1226E9</v>
      </c>
      <c r="G705" s="25">
        <v>2.49053E10</v>
      </c>
      <c r="H705" s="3">
        <f t="shared" si="1"/>
        <v>158847.655</v>
      </c>
    </row>
    <row r="706" ht="15.75" customHeight="1">
      <c r="A706" s="23">
        <v>41460.0</v>
      </c>
      <c r="B706" s="24">
        <v>4802.6</v>
      </c>
      <c r="C706" s="24">
        <v>4853.4</v>
      </c>
      <c r="D706" s="24">
        <v>4702.7</v>
      </c>
      <c r="E706" s="24">
        <v>4841.7</v>
      </c>
      <c r="F706" s="25">
        <v>3.043E9</v>
      </c>
      <c r="G706" s="25">
        <v>1.73612E10</v>
      </c>
      <c r="H706" s="3">
        <f t="shared" si="1"/>
        <v>160140.901</v>
      </c>
    </row>
    <row r="707" ht="15.75" customHeight="1">
      <c r="A707" s="23">
        <v>41467.0</v>
      </c>
      <c r="B707" s="24">
        <v>4841.7</v>
      </c>
      <c r="C707" s="24">
        <v>5012.5</v>
      </c>
      <c r="D707" s="24">
        <v>4786.1</v>
      </c>
      <c r="E707" s="24">
        <v>4973.9</v>
      </c>
      <c r="F707" s="25">
        <v>3.1198E9</v>
      </c>
      <c r="G707" s="25">
        <v>1.7717E10</v>
      </c>
      <c r="H707" s="3">
        <f t="shared" si="1"/>
        <v>164513.4617</v>
      </c>
    </row>
    <row r="708" ht="15.75" customHeight="1">
      <c r="A708" s="23">
        <v>41474.0</v>
      </c>
      <c r="B708" s="24">
        <v>4973.9</v>
      </c>
      <c r="C708" s="24">
        <v>5010.1</v>
      </c>
      <c r="D708" s="24">
        <v>4960.1</v>
      </c>
      <c r="E708" s="24">
        <v>4972.1</v>
      </c>
      <c r="F708" s="25">
        <v>3.0388E9</v>
      </c>
      <c r="G708" s="25">
        <v>1.64287E10</v>
      </c>
      <c r="H708" s="3">
        <f t="shared" si="1"/>
        <v>164453.926</v>
      </c>
    </row>
    <row r="709" ht="15.75" customHeight="1">
      <c r="A709" s="23">
        <v>41481.0</v>
      </c>
      <c r="B709" s="24">
        <v>4974.9</v>
      </c>
      <c r="C709" s="24">
        <v>5062.6</v>
      </c>
      <c r="D709" s="24">
        <v>4974.9</v>
      </c>
      <c r="E709" s="24">
        <v>5042.0</v>
      </c>
      <c r="F709" s="25">
        <v>3.4067E9</v>
      </c>
      <c r="G709" s="25">
        <v>2.09186E10</v>
      </c>
      <c r="H709" s="3">
        <f t="shared" si="1"/>
        <v>166765.8927</v>
      </c>
    </row>
    <row r="710" ht="15.75" customHeight="1">
      <c r="A710" s="23">
        <v>41488.0</v>
      </c>
      <c r="B710" s="24">
        <v>5042.0</v>
      </c>
      <c r="C710" s="24">
        <v>5116.8</v>
      </c>
      <c r="D710" s="24">
        <v>5025.6</v>
      </c>
      <c r="E710" s="24">
        <v>5116.8</v>
      </c>
      <c r="F710" s="25">
        <v>3.0631E9</v>
      </c>
      <c r="G710" s="25">
        <v>1.83289E10</v>
      </c>
      <c r="H710" s="3">
        <f t="shared" si="1"/>
        <v>169239.9286</v>
      </c>
    </row>
    <row r="711" ht="15.75" customHeight="1">
      <c r="A711" s="23">
        <v>41495.0</v>
      </c>
      <c r="B711" s="24">
        <v>5116.8</v>
      </c>
      <c r="C711" s="24">
        <v>5117.7</v>
      </c>
      <c r="D711" s="24">
        <v>5007.9</v>
      </c>
      <c r="E711" s="24">
        <v>5055.2</v>
      </c>
      <c r="F711" s="25">
        <v>3.0209E9</v>
      </c>
      <c r="G711" s="25">
        <v>1.71716E10</v>
      </c>
      <c r="H711" s="3">
        <f t="shared" si="1"/>
        <v>167202.4873</v>
      </c>
    </row>
    <row r="712" ht="15.75" customHeight="1">
      <c r="A712" s="23">
        <v>41502.0</v>
      </c>
      <c r="B712" s="24">
        <v>5055.2</v>
      </c>
      <c r="C712" s="24">
        <v>5168.2</v>
      </c>
      <c r="D712" s="24">
        <v>5048.1</v>
      </c>
      <c r="E712" s="24">
        <v>5113.9</v>
      </c>
      <c r="F712" s="25">
        <v>3.4026E9</v>
      </c>
      <c r="G712" s="25">
        <v>2.0946E10</v>
      </c>
      <c r="H712" s="3">
        <f t="shared" si="1"/>
        <v>169144.0101</v>
      </c>
    </row>
    <row r="713" ht="15.75" customHeight="1">
      <c r="A713" s="23">
        <v>41509.0</v>
      </c>
      <c r="B713" s="24">
        <v>5113.9</v>
      </c>
      <c r="C713" s="24">
        <v>5142.1</v>
      </c>
      <c r="D713" s="24">
        <v>5028.0</v>
      </c>
      <c r="E713" s="24">
        <v>5123.4</v>
      </c>
      <c r="F713" s="25">
        <v>3.6257E9</v>
      </c>
      <c r="G713" s="25">
        <v>2.167E10</v>
      </c>
      <c r="H713" s="3">
        <f t="shared" si="1"/>
        <v>169458.2258</v>
      </c>
    </row>
    <row r="714" ht="15.75" customHeight="1">
      <c r="A714" s="23">
        <v>41516.0</v>
      </c>
      <c r="B714" s="24">
        <v>5123.4</v>
      </c>
      <c r="C714" s="24">
        <v>5157.1</v>
      </c>
      <c r="D714" s="24">
        <v>5064.1</v>
      </c>
      <c r="E714" s="24">
        <v>5135.0</v>
      </c>
      <c r="F714" s="25">
        <v>3.5949E9</v>
      </c>
      <c r="G714" s="25">
        <v>2.24503E10</v>
      </c>
      <c r="H714" s="3">
        <f t="shared" si="1"/>
        <v>169841.8998</v>
      </c>
    </row>
    <row r="715" ht="15.75" customHeight="1">
      <c r="A715" s="23">
        <v>41523.0</v>
      </c>
      <c r="B715" s="24">
        <v>5135.0</v>
      </c>
      <c r="C715" s="24">
        <v>5207.7</v>
      </c>
      <c r="D715" s="24">
        <v>5115.1</v>
      </c>
      <c r="E715" s="24">
        <v>5145.0</v>
      </c>
      <c r="F715" s="25">
        <v>3.3516E9</v>
      </c>
      <c r="G715" s="25">
        <v>1.92471E10</v>
      </c>
      <c r="H715" s="3">
        <f t="shared" si="1"/>
        <v>170172.6533</v>
      </c>
    </row>
    <row r="716" ht="15.75" customHeight="1">
      <c r="A716" s="23">
        <v>41530.0</v>
      </c>
      <c r="B716" s="24">
        <v>5145.0</v>
      </c>
      <c r="C716" s="24">
        <v>5252.1</v>
      </c>
      <c r="D716" s="24">
        <v>5145.0</v>
      </c>
      <c r="E716" s="24">
        <v>5219.6</v>
      </c>
      <c r="F716" s="25">
        <v>3.1893E9</v>
      </c>
      <c r="G716" s="25">
        <v>1.91219E10</v>
      </c>
      <c r="H716" s="3">
        <f t="shared" si="1"/>
        <v>172640.0741</v>
      </c>
    </row>
    <row r="717" ht="15.75" customHeight="1">
      <c r="A717" s="23">
        <v>41537.0</v>
      </c>
      <c r="B717" s="24">
        <v>5219.6</v>
      </c>
      <c r="C717" s="24">
        <v>5300.1</v>
      </c>
      <c r="D717" s="24">
        <v>5219.6</v>
      </c>
      <c r="E717" s="24">
        <v>5276.7</v>
      </c>
      <c r="F717" s="25">
        <v>4.0674E9</v>
      </c>
      <c r="G717" s="25">
        <v>2.31623E10</v>
      </c>
      <c r="H717" s="3">
        <f t="shared" si="1"/>
        <v>174528.6763</v>
      </c>
    </row>
    <row r="718" ht="15.75" customHeight="1">
      <c r="A718" s="23">
        <v>41544.0</v>
      </c>
      <c r="B718" s="24">
        <v>5276.7</v>
      </c>
      <c r="C718" s="24">
        <v>5314.3</v>
      </c>
      <c r="D718" s="24">
        <v>5217.9</v>
      </c>
      <c r="E718" s="24">
        <v>5307.1</v>
      </c>
      <c r="F718" s="25">
        <v>2.5516E9</v>
      </c>
      <c r="G718" s="25">
        <v>1.87579E10</v>
      </c>
      <c r="H718" s="3">
        <f t="shared" si="1"/>
        <v>175534.1668</v>
      </c>
    </row>
    <row r="719" ht="15.75" customHeight="1">
      <c r="A719" s="23">
        <v>41551.0</v>
      </c>
      <c r="B719" s="24">
        <v>5307.1</v>
      </c>
      <c r="C719" s="24">
        <v>5307.1</v>
      </c>
      <c r="D719" s="24">
        <v>5197.7</v>
      </c>
      <c r="E719" s="24">
        <v>5208.0</v>
      </c>
      <c r="F719" s="25">
        <v>2.4466E9</v>
      </c>
      <c r="G719" s="25">
        <v>1.53509E10</v>
      </c>
      <c r="H719" s="3">
        <f t="shared" si="1"/>
        <v>172256.4001</v>
      </c>
    </row>
    <row r="720" ht="15.75" customHeight="1">
      <c r="A720" s="23">
        <v>41558.0</v>
      </c>
      <c r="B720" s="24">
        <v>5208.0</v>
      </c>
      <c r="C720" s="24">
        <v>5239.6</v>
      </c>
      <c r="D720" s="24">
        <v>5118.9</v>
      </c>
      <c r="E720" s="24">
        <v>5230.9</v>
      </c>
      <c r="F720" s="25">
        <v>2.4888E9</v>
      </c>
      <c r="G720" s="25">
        <v>1.52583E10</v>
      </c>
      <c r="H720" s="3">
        <f t="shared" si="1"/>
        <v>173013.8255</v>
      </c>
    </row>
    <row r="721" ht="15.75" customHeight="1">
      <c r="A721" s="23">
        <v>41565.0</v>
      </c>
      <c r="B721" s="24">
        <v>5230.9</v>
      </c>
      <c r="C721" s="24">
        <v>5326.5</v>
      </c>
      <c r="D721" s="24">
        <v>5186.8</v>
      </c>
      <c r="E721" s="24">
        <v>5321.5</v>
      </c>
      <c r="F721" s="25">
        <v>2.8783E9</v>
      </c>
      <c r="G721" s="25">
        <v>1.69501E10</v>
      </c>
      <c r="H721" s="3">
        <f t="shared" si="1"/>
        <v>176010.4518</v>
      </c>
    </row>
    <row r="722" ht="15.75" customHeight="1">
      <c r="A722" s="23">
        <v>41572.0</v>
      </c>
      <c r="B722" s="24">
        <v>5321.5</v>
      </c>
      <c r="C722" s="24">
        <v>5402.4</v>
      </c>
      <c r="D722" s="24">
        <v>5321.5</v>
      </c>
      <c r="E722" s="24">
        <v>5386.3</v>
      </c>
      <c r="F722" s="25">
        <v>3.1319E9</v>
      </c>
      <c r="G722" s="25">
        <v>1.93993E10</v>
      </c>
      <c r="H722" s="3">
        <f t="shared" si="1"/>
        <v>178153.7342</v>
      </c>
    </row>
    <row r="723" ht="15.75" customHeight="1">
      <c r="A723" s="23">
        <v>41579.0</v>
      </c>
      <c r="B723" s="24">
        <v>5386.3</v>
      </c>
      <c r="C723" s="24">
        <v>5457.3</v>
      </c>
      <c r="D723" s="24">
        <v>5386.3</v>
      </c>
      <c r="E723" s="24">
        <v>5411.1</v>
      </c>
      <c r="F723" s="25">
        <v>3.1629E9</v>
      </c>
      <c r="G723" s="25">
        <v>2.09341E10</v>
      </c>
      <c r="H723" s="3">
        <f t="shared" si="1"/>
        <v>178974.0028</v>
      </c>
    </row>
    <row r="724" ht="15.75" customHeight="1">
      <c r="A724" s="23">
        <v>41586.0</v>
      </c>
      <c r="B724" s="24">
        <v>5411.1</v>
      </c>
      <c r="C724" s="24">
        <v>5438.4</v>
      </c>
      <c r="D724" s="24">
        <v>5379.9</v>
      </c>
      <c r="E724" s="24">
        <v>5400.7</v>
      </c>
      <c r="F724" s="25">
        <v>2.738E9</v>
      </c>
      <c r="G724" s="25">
        <v>1.87651E10</v>
      </c>
      <c r="H724" s="3">
        <f t="shared" si="1"/>
        <v>178630.0192</v>
      </c>
    </row>
    <row r="725" ht="15.75" customHeight="1">
      <c r="A725" s="23">
        <v>41593.0</v>
      </c>
      <c r="B725" s="24">
        <v>5400.7</v>
      </c>
      <c r="C725" s="24">
        <v>5439.2</v>
      </c>
      <c r="D725" s="24">
        <v>5308.5</v>
      </c>
      <c r="E725" s="24">
        <v>5401.7</v>
      </c>
      <c r="F725" s="25">
        <v>3.1003E9</v>
      </c>
      <c r="G725" s="25">
        <v>1.82905E10</v>
      </c>
      <c r="H725" s="3">
        <f t="shared" si="1"/>
        <v>178663.0945</v>
      </c>
    </row>
    <row r="726" ht="15.75" customHeight="1">
      <c r="A726" s="23">
        <v>41600.0</v>
      </c>
      <c r="B726" s="24">
        <v>5401.7</v>
      </c>
      <c r="C726" s="24">
        <v>5404.0</v>
      </c>
      <c r="D726" s="24">
        <v>5284.9</v>
      </c>
      <c r="E726" s="24">
        <v>5335.9</v>
      </c>
      <c r="F726" s="25">
        <v>2.8809E9</v>
      </c>
      <c r="G726" s="25">
        <v>1.66312E10</v>
      </c>
      <c r="H726" s="3">
        <f t="shared" si="1"/>
        <v>176486.7368</v>
      </c>
    </row>
    <row r="727" ht="15.75" customHeight="1">
      <c r="A727" s="23">
        <v>41607.0</v>
      </c>
      <c r="B727" s="24">
        <v>5335.9</v>
      </c>
      <c r="C727" s="24">
        <v>5375.1</v>
      </c>
      <c r="D727" s="24">
        <v>5308.1</v>
      </c>
      <c r="E727" s="24">
        <v>5320.0</v>
      </c>
      <c r="F727" s="25">
        <v>3.2908E9</v>
      </c>
      <c r="G727" s="25">
        <v>2.16163E10</v>
      </c>
      <c r="H727" s="3">
        <f t="shared" si="1"/>
        <v>175960.8388</v>
      </c>
    </row>
    <row r="728" ht="15.75" customHeight="1">
      <c r="A728" s="23">
        <v>41614.0</v>
      </c>
      <c r="B728" s="24">
        <v>5320.0</v>
      </c>
      <c r="C728" s="24">
        <v>5332.7</v>
      </c>
      <c r="D728" s="24">
        <v>5154.6</v>
      </c>
      <c r="E728" s="24">
        <v>5186.0</v>
      </c>
      <c r="F728" s="25">
        <v>3.3966E9</v>
      </c>
      <c r="G728" s="25">
        <v>1.93619E10</v>
      </c>
      <c r="H728" s="3">
        <f t="shared" si="1"/>
        <v>171528.7425</v>
      </c>
    </row>
    <row r="729" ht="15.75" customHeight="1">
      <c r="A729" s="23">
        <v>41621.0</v>
      </c>
      <c r="B729" s="24">
        <v>5186.0</v>
      </c>
      <c r="C729" s="24">
        <v>5207.6</v>
      </c>
      <c r="D729" s="24">
        <v>5028.2</v>
      </c>
      <c r="E729" s="24">
        <v>5098.4</v>
      </c>
      <c r="F729" s="25">
        <v>3.5475E9</v>
      </c>
      <c r="G729" s="25">
        <v>2.18713E10</v>
      </c>
      <c r="H729" s="3">
        <f t="shared" si="1"/>
        <v>168631.3422</v>
      </c>
    </row>
    <row r="730" ht="15.75" customHeight="1">
      <c r="A730" s="23">
        <v>41628.0</v>
      </c>
      <c r="B730" s="24">
        <v>5098.4</v>
      </c>
      <c r="C730" s="24">
        <v>5265.2</v>
      </c>
      <c r="D730" s="24">
        <v>5059.7</v>
      </c>
      <c r="E730" s="24">
        <v>5265.2</v>
      </c>
      <c r="F730" s="25">
        <v>3.9683E9</v>
      </c>
      <c r="G730" s="25">
        <v>2.59063E10</v>
      </c>
      <c r="H730" s="3">
        <f t="shared" si="1"/>
        <v>174148.3098</v>
      </c>
    </row>
    <row r="731" ht="15.75" customHeight="1">
      <c r="A731" s="23">
        <v>41635.0</v>
      </c>
      <c r="B731" s="24">
        <v>5265.2</v>
      </c>
      <c r="C731" s="24">
        <v>5365.3</v>
      </c>
      <c r="D731" s="24">
        <v>5257.4</v>
      </c>
      <c r="E731" s="24">
        <v>5324.1</v>
      </c>
      <c r="F731" s="25">
        <v>9.561E8</v>
      </c>
      <c r="G731" s="25">
        <v>5.8171E9</v>
      </c>
      <c r="H731" s="3">
        <f t="shared" si="1"/>
        <v>176096.4477</v>
      </c>
    </row>
    <row r="732" ht="15.75" customHeight="1">
      <c r="A732" s="23">
        <v>41642.0</v>
      </c>
      <c r="B732" s="24">
        <v>5324.1</v>
      </c>
      <c r="C732" s="24">
        <v>5383.4</v>
      </c>
      <c r="D732" s="24">
        <v>5324.1</v>
      </c>
      <c r="E732" s="24">
        <v>5350.1</v>
      </c>
      <c r="F732" s="25">
        <v>1.173E9</v>
      </c>
      <c r="G732" s="25">
        <v>6.4854E9</v>
      </c>
      <c r="H732" s="3">
        <f t="shared" si="1"/>
        <v>176956.4067</v>
      </c>
    </row>
    <row r="733" ht="15.75" customHeight="1">
      <c r="A733" s="23">
        <v>41649.0</v>
      </c>
      <c r="B733" s="24">
        <v>5350.1</v>
      </c>
      <c r="C733" s="24">
        <v>5362.0</v>
      </c>
      <c r="D733" s="24">
        <v>5295.4</v>
      </c>
      <c r="E733" s="24">
        <v>5312.4</v>
      </c>
      <c r="F733" s="25">
        <v>2.2887E9</v>
      </c>
      <c r="G733" s="25">
        <v>1.24864E10</v>
      </c>
      <c r="H733" s="3">
        <f t="shared" si="1"/>
        <v>175709.4662</v>
      </c>
    </row>
    <row r="734" ht="15.75" customHeight="1">
      <c r="A734" s="23">
        <v>41656.0</v>
      </c>
      <c r="B734" s="24">
        <v>5312.4</v>
      </c>
      <c r="C734" s="24">
        <v>5319.3</v>
      </c>
      <c r="D734" s="24">
        <v>5207.5</v>
      </c>
      <c r="E734" s="24">
        <v>5305.9</v>
      </c>
      <c r="F734" s="25">
        <v>2.7097E9</v>
      </c>
      <c r="G734" s="25">
        <v>1.63948E10</v>
      </c>
      <c r="H734" s="3">
        <f t="shared" si="1"/>
        <v>175494.4764</v>
      </c>
    </row>
    <row r="735" ht="15.75" customHeight="1">
      <c r="A735" s="23">
        <v>41663.0</v>
      </c>
      <c r="B735" s="24">
        <v>5305.9</v>
      </c>
      <c r="C735" s="24">
        <v>5331.5</v>
      </c>
      <c r="D735" s="24">
        <v>5240.9</v>
      </c>
      <c r="E735" s="24">
        <v>5240.9</v>
      </c>
      <c r="F735" s="25">
        <v>2.6761E9</v>
      </c>
      <c r="G735" s="25">
        <v>1.60922E10</v>
      </c>
      <c r="H735" s="3">
        <f t="shared" si="1"/>
        <v>173344.579</v>
      </c>
    </row>
    <row r="736" ht="15.75" customHeight="1">
      <c r="A736" s="23">
        <v>41670.0</v>
      </c>
      <c r="B736" s="24">
        <v>5240.9</v>
      </c>
      <c r="C736" s="24">
        <v>5240.9</v>
      </c>
      <c r="D736" s="24">
        <v>5158.9</v>
      </c>
      <c r="E736" s="24">
        <v>5190.0</v>
      </c>
      <c r="F736" s="25">
        <v>2.5875E9</v>
      </c>
      <c r="G736" s="25">
        <v>1.82462E10</v>
      </c>
      <c r="H736" s="3">
        <f t="shared" si="1"/>
        <v>171661.0439</v>
      </c>
    </row>
    <row r="737" ht="15.75" customHeight="1">
      <c r="A737" s="23">
        <v>41677.0</v>
      </c>
      <c r="B737" s="24">
        <v>5190.0</v>
      </c>
      <c r="C737" s="24">
        <v>5198.3</v>
      </c>
      <c r="D737" s="24">
        <v>5052.2</v>
      </c>
      <c r="E737" s="24">
        <v>5166.5</v>
      </c>
      <c r="F737" s="25">
        <v>3.142E9</v>
      </c>
      <c r="G737" s="25">
        <v>2.0833E10</v>
      </c>
      <c r="H737" s="3">
        <f t="shared" si="1"/>
        <v>170883.7732</v>
      </c>
    </row>
    <row r="738" ht="15.75" customHeight="1">
      <c r="A738" s="23">
        <v>41684.0</v>
      </c>
      <c r="B738" s="24">
        <v>5166.5</v>
      </c>
      <c r="C738" s="24">
        <v>5356.3</v>
      </c>
      <c r="D738" s="24">
        <v>5166.5</v>
      </c>
      <c r="E738" s="24">
        <v>5356.3</v>
      </c>
      <c r="F738" s="25">
        <v>2.98E9</v>
      </c>
      <c r="G738" s="25">
        <v>1.97273E10</v>
      </c>
      <c r="H738" s="3">
        <f t="shared" si="1"/>
        <v>177161.4738</v>
      </c>
    </row>
    <row r="739" ht="15.75" customHeight="1">
      <c r="A739" s="23">
        <v>41691.0</v>
      </c>
      <c r="B739" s="24">
        <v>5359.9</v>
      </c>
      <c r="C739" s="24">
        <v>5452.4</v>
      </c>
      <c r="D739" s="24">
        <v>5355.4</v>
      </c>
      <c r="E739" s="24">
        <v>5438.7</v>
      </c>
      <c r="F739" s="25">
        <v>3.7224E9</v>
      </c>
      <c r="G739" s="25">
        <v>2.39226E10</v>
      </c>
      <c r="H739" s="3">
        <f t="shared" si="1"/>
        <v>179886.8823</v>
      </c>
    </row>
    <row r="740" ht="15.75" customHeight="1">
      <c r="A740" s="23">
        <v>41698.0</v>
      </c>
      <c r="B740" s="24">
        <v>5438.7</v>
      </c>
      <c r="C740" s="24">
        <v>5461.7</v>
      </c>
      <c r="D740" s="24">
        <v>5401.6</v>
      </c>
      <c r="E740" s="24">
        <v>5404.8</v>
      </c>
      <c r="F740" s="25">
        <v>3.8336E9</v>
      </c>
      <c r="G740" s="25">
        <v>2.52116E10</v>
      </c>
      <c r="H740" s="3">
        <f t="shared" si="1"/>
        <v>178765.6281</v>
      </c>
    </row>
    <row r="741" ht="15.75" customHeight="1">
      <c r="A741" s="23">
        <v>41705.0</v>
      </c>
      <c r="B741" s="24">
        <v>5404.8</v>
      </c>
      <c r="C741" s="24">
        <v>5462.3</v>
      </c>
      <c r="D741" s="24">
        <v>5340.3</v>
      </c>
      <c r="E741" s="24">
        <v>5462.3</v>
      </c>
      <c r="F741" s="25">
        <v>3.4139E9</v>
      </c>
      <c r="G741" s="25">
        <v>2.07638E10</v>
      </c>
      <c r="H741" s="3">
        <f t="shared" si="1"/>
        <v>180667.4605</v>
      </c>
    </row>
    <row r="742" ht="15.75" customHeight="1">
      <c r="A742" s="23">
        <v>41712.0</v>
      </c>
      <c r="B742" s="24">
        <v>5462.3</v>
      </c>
      <c r="C742" s="24">
        <v>5462.3</v>
      </c>
      <c r="D742" s="24">
        <v>5329.4</v>
      </c>
      <c r="E742" s="24">
        <v>5329.4</v>
      </c>
      <c r="F742" s="25">
        <v>3.3705E9</v>
      </c>
      <c r="G742" s="25">
        <v>2.01966E10</v>
      </c>
      <c r="H742" s="3">
        <f t="shared" si="1"/>
        <v>176271.747</v>
      </c>
    </row>
    <row r="743" ht="15.75" customHeight="1">
      <c r="A743" s="23">
        <v>41719.0</v>
      </c>
      <c r="B743" s="24">
        <v>5329.4</v>
      </c>
      <c r="C743" s="24">
        <v>5362.2</v>
      </c>
      <c r="D743" s="24">
        <v>5288.5</v>
      </c>
      <c r="E743" s="24">
        <v>5338.1</v>
      </c>
      <c r="F743" s="25">
        <v>4.3532E9</v>
      </c>
      <c r="G743" s="25">
        <v>2.48767E10</v>
      </c>
      <c r="H743" s="3">
        <f t="shared" si="1"/>
        <v>176559.5025</v>
      </c>
    </row>
    <row r="744" ht="15.75" customHeight="1">
      <c r="A744" s="23">
        <v>41726.0</v>
      </c>
      <c r="B744" s="24">
        <v>5338.1</v>
      </c>
      <c r="C744" s="24">
        <v>5394.2</v>
      </c>
      <c r="D744" s="24">
        <v>5301.4</v>
      </c>
      <c r="E744" s="24">
        <v>5366.9</v>
      </c>
      <c r="F744" s="25">
        <v>3.2307E9</v>
      </c>
      <c r="G744" s="25">
        <v>2.15673E10</v>
      </c>
      <c r="H744" s="3">
        <f t="shared" si="1"/>
        <v>177512.0725</v>
      </c>
    </row>
    <row r="745" ht="15.75" customHeight="1">
      <c r="A745" s="23">
        <v>41733.0</v>
      </c>
      <c r="B745" s="24">
        <v>5366.9</v>
      </c>
      <c r="C745" s="24">
        <v>5422.8</v>
      </c>
      <c r="D745" s="24">
        <v>5350.5</v>
      </c>
      <c r="E745" s="24">
        <v>5422.8</v>
      </c>
      <c r="F745" s="25">
        <v>2.8584E9</v>
      </c>
      <c r="G745" s="25">
        <v>1.72956E10</v>
      </c>
      <c r="H745" s="3">
        <f t="shared" si="1"/>
        <v>179360.9843</v>
      </c>
    </row>
    <row r="746" ht="15.75" customHeight="1">
      <c r="A746" s="23">
        <v>41740.0</v>
      </c>
      <c r="B746" s="24">
        <v>5422.8</v>
      </c>
      <c r="C746" s="24">
        <v>5503.5</v>
      </c>
      <c r="D746" s="24">
        <v>5391.3</v>
      </c>
      <c r="E746" s="24">
        <v>5428.6</v>
      </c>
      <c r="F746" s="25">
        <v>2.8192E9</v>
      </c>
      <c r="G746" s="25">
        <v>1.71132E10</v>
      </c>
      <c r="H746" s="3">
        <f t="shared" si="1"/>
        <v>179552.8213</v>
      </c>
    </row>
    <row r="747" ht="15.75" customHeight="1">
      <c r="A747" s="23">
        <v>41746.0</v>
      </c>
      <c r="B747" s="24">
        <v>5428.6</v>
      </c>
      <c r="C747" s="24">
        <v>5459.4</v>
      </c>
      <c r="D747" s="24">
        <v>5358.9</v>
      </c>
      <c r="E747" s="24">
        <v>5454.2</v>
      </c>
      <c r="F747" s="25">
        <v>2.0839E9</v>
      </c>
      <c r="G747" s="25">
        <v>1.29969E10</v>
      </c>
      <c r="H747" s="3">
        <f t="shared" si="1"/>
        <v>180399.5502</v>
      </c>
    </row>
    <row r="748" ht="15.75" customHeight="1">
      <c r="A748" s="23">
        <v>41753.0</v>
      </c>
      <c r="B748" s="24">
        <v>5454.2</v>
      </c>
      <c r="C748" s="24">
        <v>5537.8</v>
      </c>
      <c r="D748" s="24">
        <v>5452.4</v>
      </c>
      <c r="E748" s="24">
        <v>5531.0</v>
      </c>
      <c r="F748" s="25">
        <v>1.518E9</v>
      </c>
      <c r="G748" s="25">
        <v>1.21436E10</v>
      </c>
      <c r="H748" s="3">
        <f t="shared" si="1"/>
        <v>182939.7367</v>
      </c>
    </row>
    <row r="749" ht="15.75" customHeight="1">
      <c r="A749" s="23">
        <v>41761.0</v>
      </c>
      <c r="B749" s="24">
        <v>5531.0</v>
      </c>
      <c r="C749" s="24">
        <v>5554.5</v>
      </c>
      <c r="D749" s="24">
        <v>5430.4</v>
      </c>
      <c r="E749" s="24">
        <v>5458.1</v>
      </c>
      <c r="F749" s="25">
        <v>2.9488E9</v>
      </c>
      <c r="G749" s="25">
        <v>1.98173E10</v>
      </c>
      <c r="H749" s="3">
        <f t="shared" si="1"/>
        <v>180528.544</v>
      </c>
    </row>
    <row r="750" ht="15.75" customHeight="1">
      <c r="A750" s="23">
        <v>41768.0</v>
      </c>
      <c r="B750" s="24">
        <v>5464.1</v>
      </c>
      <c r="C750" s="24">
        <v>5493.0</v>
      </c>
      <c r="D750" s="24">
        <v>5417.4</v>
      </c>
      <c r="E750" s="24">
        <v>5460.8</v>
      </c>
      <c r="F750" s="25">
        <v>2.5078E9</v>
      </c>
      <c r="G750" s="25">
        <v>1.58751E10</v>
      </c>
      <c r="H750" s="3">
        <f t="shared" si="1"/>
        <v>180617.8475</v>
      </c>
    </row>
    <row r="751" ht="15.75" customHeight="1">
      <c r="A751" s="23">
        <v>41775.0</v>
      </c>
      <c r="B751" s="24">
        <v>5460.8</v>
      </c>
      <c r="C751" s="24">
        <v>5510.8</v>
      </c>
      <c r="D751" s="24">
        <v>5432.0</v>
      </c>
      <c r="E751" s="24">
        <v>5479.0</v>
      </c>
      <c r="F751" s="25">
        <v>2.8202E9</v>
      </c>
      <c r="G751" s="25">
        <v>1.74607E10</v>
      </c>
      <c r="H751" s="3">
        <f t="shared" si="1"/>
        <v>181219.8187</v>
      </c>
    </row>
    <row r="752" ht="15.75" customHeight="1">
      <c r="A752" s="23">
        <v>41782.0</v>
      </c>
      <c r="B752" s="24">
        <v>5479.0</v>
      </c>
      <c r="C752" s="24">
        <v>5507.4</v>
      </c>
      <c r="D752" s="24">
        <v>5372.1</v>
      </c>
      <c r="E752" s="24">
        <v>5492.8</v>
      </c>
      <c r="F752" s="25">
        <v>3.0458E9</v>
      </c>
      <c r="G752" s="25">
        <v>1.82275E10</v>
      </c>
      <c r="H752" s="3">
        <f t="shared" si="1"/>
        <v>181676.2585</v>
      </c>
    </row>
    <row r="753" ht="15.75" customHeight="1">
      <c r="A753" s="23">
        <v>41789.0</v>
      </c>
      <c r="B753" s="24">
        <v>5492.8</v>
      </c>
      <c r="C753" s="24">
        <v>5541.7</v>
      </c>
      <c r="D753" s="24">
        <v>5492.5</v>
      </c>
      <c r="E753" s="24">
        <v>5492.5</v>
      </c>
      <c r="F753" s="25">
        <v>2.9503E9</v>
      </c>
      <c r="G753" s="25">
        <v>1.83055E10</v>
      </c>
      <c r="H753" s="3">
        <f t="shared" si="1"/>
        <v>181666.3359</v>
      </c>
    </row>
    <row r="754" ht="15.75" customHeight="1">
      <c r="A754" s="23">
        <v>41796.0</v>
      </c>
      <c r="B754" s="24">
        <v>5484.1</v>
      </c>
      <c r="C754" s="24">
        <v>5526.0</v>
      </c>
      <c r="D754" s="24">
        <v>5416.8</v>
      </c>
      <c r="E754" s="24">
        <v>5464.0</v>
      </c>
      <c r="F754" s="25">
        <v>2.9047E9</v>
      </c>
      <c r="G754" s="25">
        <v>1.80321E10</v>
      </c>
      <c r="H754" s="3">
        <f t="shared" si="1"/>
        <v>180723.6886</v>
      </c>
    </row>
    <row r="755" ht="15.75" customHeight="1">
      <c r="A755" s="23">
        <v>41803.0</v>
      </c>
      <c r="B755" s="24">
        <v>5464.0</v>
      </c>
      <c r="C755" s="24">
        <v>5496.3</v>
      </c>
      <c r="D755" s="24">
        <v>5373.6</v>
      </c>
      <c r="E755" s="24">
        <v>5405.1</v>
      </c>
      <c r="F755" s="25">
        <v>2.2008E9</v>
      </c>
      <c r="G755" s="25">
        <v>1.39005E10</v>
      </c>
      <c r="H755" s="3">
        <f t="shared" si="1"/>
        <v>178775.5507</v>
      </c>
    </row>
    <row r="756" ht="15.75" customHeight="1">
      <c r="A756" s="23">
        <v>41810.0</v>
      </c>
      <c r="B756" s="24">
        <v>5405.1</v>
      </c>
      <c r="C756" s="24">
        <v>5468.2</v>
      </c>
      <c r="D756" s="24">
        <v>5380.3</v>
      </c>
      <c r="E756" s="24">
        <v>5419.5</v>
      </c>
      <c r="F756" s="25">
        <v>3.6491E9</v>
      </c>
      <c r="G756" s="25">
        <v>2.38282E10</v>
      </c>
      <c r="H756" s="3">
        <f t="shared" si="1"/>
        <v>179251.8357</v>
      </c>
    </row>
    <row r="757" ht="15.75" customHeight="1">
      <c r="A757" s="23">
        <v>41817.0</v>
      </c>
      <c r="B757" s="24">
        <v>5419.5</v>
      </c>
      <c r="C757" s="24">
        <v>5480.1</v>
      </c>
      <c r="D757" s="24">
        <v>5378.8</v>
      </c>
      <c r="E757" s="24">
        <v>5445.1</v>
      </c>
      <c r="F757" s="25">
        <v>3.1464E9</v>
      </c>
      <c r="G757" s="25">
        <v>2.17173E10</v>
      </c>
      <c r="H757" s="3">
        <f t="shared" si="1"/>
        <v>180098.5645</v>
      </c>
    </row>
    <row r="758" ht="15.75" customHeight="1">
      <c r="A758" s="23">
        <v>41824.0</v>
      </c>
      <c r="B758" s="24">
        <v>5444.8</v>
      </c>
      <c r="C758" s="24">
        <v>5531.7</v>
      </c>
      <c r="D758" s="24">
        <v>5370.9</v>
      </c>
      <c r="E758" s="24">
        <v>5525.0</v>
      </c>
      <c r="F758" s="25">
        <v>2.8327E9</v>
      </c>
      <c r="G758" s="25">
        <v>1.81367E10</v>
      </c>
      <c r="H758" s="3">
        <f t="shared" si="1"/>
        <v>182741.2846</v>
      </c>
    </row>
    <row r="759" ht="15.75" customHeight="1">
      <c r="A759" s="23">
        <v>41831.0</v>
      </c>
      <c r="B759" s="24">
        <v>5525.0</v>
      </c>
      <c r="C759" s="24">
        <v>5535.9</v>
      </c>
      <c r="D759" s="24">
        <v>5439.5</v>
      </c>
      <c r="E759" s="24">
        <v>5486.8</v>
      </c>
      <c r="F759" s="25">
        <v>2.3985E9</v>
      </c>
      <c r="G759" s="25">
        <v>1.49116E10</v>
      </c>
      <c r="H759" s="3">
        <f t="shared" si="1"/>
        <v>181477.8064</v>
      </c>
    </row>
    <row r="760" ht="15.75" customHeight="1">
      <c r="A760" s="23">
        <v>41838.0</v>
      </c>
      <c r="B760" s="24">
        <v>5486.8</v>
      </c>
      <c r="C760" s="24">
        <v>5561.1</v>
      </c>
      <c r="D760" s="24">
        <v>5484.1</v>
      </c>
      <c r="E760" s="24">
        <v>5531.7</v>
      </c>
      <c r="F760" s="25">
        <v>2.663E9</v>
      </c>
      <c r="G760" s="25">
        <v>1.64449E10</v>
      </c>
      <c r="H760" s="3">
        <f t="shared" si="1"/>
        <v>182962.8895</v>
      </c>
    </row>
    <row r="761" ht="15.75" customHeight="1">
      <c r="A761" s="23">
        <v>41845.0</v>
      </c>
      <c r="B761" s="24">
        <v>5531.7</v>
      </c>
      <c r="C761" s="24">
        <v>5598.2</v>
      </c>
      <c r="D761" s="24">
        <v>5530.1</v>
      </c>
      <c r="E761" s="24">
        <v>5583.5</v>
      </c>
      <c r="F761" s="25">
        <v>2.6266E9</v>
      </c>
      <c r="G761" s="25">
        <v>1.80833E10</v>
      </c>
      <c r="H761" s="3">
        <f t="shared" si="1"/>
        <v>184676.1924</v>
      </c>
    </row>
    <row r="762" ht="15.75" customHeight="1">
      <c r="A762" s="23">
        <v>41852.0</v>
      </c>
      <c r="B762" s="24">
        <v>5583.5</v>
      </c>
      <c r="C762" s="24">
        <v>5644.2</v>
      </c>
      <c r="D762" s="24">
        <v>5544.0</v>
      </c>
      <c r="E762" s="24">
        <v>5556.4</v>
      </c>
      <c r="F762" s="25">
        <v>2.7334E9</v>
      </c>
      <c r="G762" s="25">
        <v>1.74743E10</v>
      </c>
      <c r="H762" s="3">
        <f t="shared" si="1"/>
        <v>183779.8505</v>
      </c>
    </row>
    <row r="763" ht="15.75" customHeight="1">
      <c r="A763" s="23">
        <v>41859.0</v>
      </c>
      <c r="B763" s="24">
        <v>5556.4</v>
      </c>
      <c r="C763" s="24">
        <v>5556.4</v>
      </c>
      <c r="D763" s="24">
        <v>5425.2</v>
      </c>
      <c r="E763" s="24">
        <v>5435.3</v>
      </c>
      <c r="F763" s="25">
        <v>2.7609E9</v>
      </c>
      <c r="G763" s="25">
        <v>1.7906E10</v>
      </c>
      <c r="H763" s="3">
        <f t="shared" si="1"/>
        <v>179774.4261</v>
      </c>
    </row>
    <row r="764" ht="15.75" customHeight="1">
      <c r="A764" s="23">
        <v>41866.0</v>
      </c>
      <c r="B764" s="24">
        <v>5435.3</v>
      </c>
      <c r="C764" s="24">
        <v>5578.5</v>
      </c>
      <c r="D764" s="24">
        <v>5435.3</v>
      </c>
      <c r="E764" s="24">
        <v>5566.5</v>
      </c>
      <c r="F764" s="25">
        <v>2.6758E9</v>
      </c>
      <c r="G764" s="25">
        <v>1.94655E10</v>
      </c>
      <c r="H764" s="3">
        <f t="shared" si="1"/>
        <v>184113.9115</v>
      </c>
    </row>
    <row r="765" ht="15.75" customHeight="1">
      <c r="A765" s="23">
        <v>41873.0</v>
      </c>
      <c r="B765" s="24">
        <v>5566.5</v>
      </c>
      <c r="C765" s="24">
        <v>5679.5</v>
      </c>
      <c r="D765" s="24">
        <v>5566.5</v>
      </c>
      <c r="E765" s="24">
        <v>5645.6</v>
      </c>
      <c r="F765" s="25">
        <v>2.9894E9</v>
      </c>
      <c r="G765" s="25">
        <v>2.14375E10</v>
      </c>
      <c r="H765" s="3">
        <f t="shared" si="1"/>
        <v>186730.1713</v>
      </c>
    </row>
    <row r="766" ht="15.75" customHeight="1">
      <c r="A766" s="23">
        <v>41880.0</v>
      </c>
      <c r="B766" s="24">
        <v>5645.6</v>
      </c>
      <c r="C766" s="24">
        <v>5652.3</v>
      </c>
      <c r="D766" s="24">
        <v>5614.3</v>
      </c>
      <c r="E766" s="24">
        <v>5625.9</v>
      </c>
      <c r="F766" s="25">
        <v>3.5996E9</v>
      </c>
      <c r="G766" s="25">
        <v>2.35224E10</v>
      </c>
      <c r="H766" s="3">
        <f t="shared" si="1"/>
        <v>186078.587</v>
      </c>
    </row>
    <row r="767" ht="15.75" customHeight="1">
      <c r="A767" s="23">
        <v>41887.0</v>
      </c>
      <c r="B767" s="24">
        <v>5625.9</v>
      </c>
      <c r="C767" s="24">
        <v>5672.7</v>
      </c>
      <c r="D767" s="24">
        <v>5592.9</v>
      </c>
      <c r="E767" s="24">
        <v>5598.7</v>
      </c>
      <c r="F767" s="25">
        <v>2.5739E9</v>
      </c>
      <c r="G767" s="25">
        <v>1.59138E10</v>
      </c>
      <c r="H767" s="3">
        <f t="shared" si="1"/>
        <v>185178.9376</v>
      </c>
    </row>
    <row r="768" ht="15.75" customHeight="1">
      <c r="A768" s="23">
        <v>41894.0</v>
      </c>
      <c r="B768" s="24">
        <v>5598.7</v>
      </c>
      <c r="C768" s="24">
        <v>5607.9</v>
      </c>
      <c r="D768" s="24">
        <v>5509.8</v>
      </c>
      <c r="E768" s="24">
        <v>5531.1</v>
      </c>
      <c r="F768" s="25">
        <v>2.5577E9</v>
      </c>
      <c r="G768" s="25">
        <v>1.70879E10</v>
      </c>
      <c r="H768" s="3">
        <f t="shared" si="1"/>
        <v>182943.0443</v>
      </c>
    </row>
    <row r="769" ht="15.75" customHeight="1">
      <c r="A769" s="23">
        <v>41901.0</v>
      </c>
      <c r="B769" s="24">
        <v>5531.1</v>
      </c>
      <c r="C769" s="24">
        <v>5531.1</v>
      </c>
      <c r="D769" s="24">
        <v>5373.4</v>
      </c>
      <c r="E769" s="24">
        <v>5433.1</v>
      </c>
      <c r="F769" s="25">
        <v>3.7694E9</v>
      </c>
      <c r="G769" s="25">
        <v>2.29421E10</v>
      </c>
      <c r="H769" s="3">
        <f t="shared" si="1"/>
        <v>179701.6604</v>
      </c>
    </row>
    <row r="770" ht="15.75" customHeight="1">
      <c r="A770" s="23">
        <v>41908.0</v>
      </c>
      <c r="B770" s="24">
        <v>5433.2</v>
      </c>
      <c r="C770" s="24">
        <v>5434.0</v>
      </c>
      <c r="D770" s="24">
        <v>5309.8</v>
      </c>
      <c r="E770" s="24">
        <v>5313.4</v>
      </c>
      <c r="F770" s="25">
        <v>3.0199E9</v>
      </c>
      <c r="G770" s="25">
        <v>2.13739E10</v>
      </c>
      <c r="H770" s="3">
        <f t="shared" si="1"/>
        <v>175742.5415</v>
      </c>
    </row>
    <row r="771" ht="15.75" customHeight="1">
      <c r="A771" s="23">
        <v>41915.0</v>
      </c>
      <c r="B771" s="24">
        <v>5313.4</v>
      </c>
      <c r="C771" s="24">
        <v>5337.2</v>
      </c>
      <c r="D771" s="24">
        <v>5244.0</v>
      </c>
      <c r="E771" s="24">
        <v>5318.2</v>
      </c>
      <c r="F771" s="25">
        <v>2.8717E9</v>
      </c>
      <c r="G771" s="25">
        <v>1.7521E10</v>
      </c>
      <c r="H771" s="3">
        <f t="shared" si="1"/>
        <v>175901.3032</v>
      </c>
    </row>
    <row r="772" ht="15.75" customHeight="1">
      <c r="A772" s="23">
        <v>41922.0</v>
      </c>
      <c r="B772" s="24">
        <v>5318.2</v>
      </c>
      <c r="C772" s="24">
        <v>5324.6</v>
      </c>
      <c r="D772" s="24">
        <v>5187.6</v>
      </c>
      <c r="E772" s="24">
        <v>5188.3</v>
      </c>
      <c r="F772" s="25">
        <v>2.9331E9</v>
      </c>
      <c r="G772" s="25">
        <v>1.86181E10</v>
      </c>
      <c r="H772" s="3">
        <f t="shared" si="1"/>
        <v>171604.8158</v>
      </c>
    </row>
    <row r="773" ht="15.75" customHeight="1">
      <c r="A773" s="23">
        <v>41929.0</v>
      </c>
      <c r="B773" s="24">
        <v>5188.3</v>
      </c>
      <c r="C773" s="24">
        <v>5308.5</v>
      </c>
      <c r="D773" s="24">
        <v>5122.0</v>
      </c>
      <c r="E773" s="24">
        <v>5271.7</v>
      </c>
      <c r="F773" s="25">
        <v>3.7159E9</v>
      </c>
      <c r="G773" s="25">
        <v>2.26106E10</v>
      </c>
      <c r="H773" s="3">
        <f t="shared" si="1"/>
        <v>174363.2996</v>
      </c>
    </row>
    <row r="774" ht="15.75" customHeight="1">
      <c r="A774" s="23">
        <v>41936.0</v>
      </c>
      <c r="B774" s="24">
        <v>5271.7</v>
      </c>
      <c r="C774" s="24">
        <v>5425.7</v>
      </c>
      <c r="D774" s="24">
        <v>5271.7</v>
      </c>
      <c r="E774" s="24">
        <v>5412.2</v>
      </c>
      <c r="F774" s="25">
        <v>3.0034E9</v>
      </c>
      <c r="G774" s="25">
        <v>1.70822E10</v>
      </c>
      <c r="H774" s="3">
        <f t="shared" si="1"/>
        <v>179010.3857</v>
      </c>
    </row>
    <row r="775" ht="15.75" customHeight="1">
      <c r="A775" s="23">
        <v>41943.0</v>
      </c>
      <c r="B775" s="24">
        <v>5412.2</v>
      </c>
      <c r="C775" s="24">
        <v>5526.6</v>
      </c>
      <c r="D775" s="24">
        <v>5412.2</v>
      </c>
      <c r="E775" s="24">
        <v>5526.6</v>
      </c>
      <c r="F775" s="25">
        <v>3.2794E9</v>
      </c>
      <c r="G775" s="25">
        <v>2.19623E10</v>
      </c>
      <c r="H775" s="3">
        <f t="shared" si="1"/>
        <v>182794.2052</v>
      </c>
    </row>
    <row r="776" ht="15.75" customHeight="1">
      <c r="A776" s="23">
        <v>41950.0</v>
      </c>
      <c r="B776" s="24">
        <v>5526.6</v>
      </c>
      <c r="C776" s="24">
        <v>5549.1</v>
      </c>
      <c r="D776" s="24">
        <v>5481.0</v>
      </c>
      <c r="E776" s="24">
        <v>5549.1</v>
      </c>
      <c r="F776" s="25">
        <v>2.907E9</v>
      </c>
      <c r="G776" s="25">
        <v>1.92808E10</v>
      </c>
      <c r="H776" s="3">
        <f t="shared" si="1"/>
        <v>183538.4005</v>
      </c>
    </row>
    <row r="777" ht="15.75" customHeight="1">
      <c r="A777" s="23">
        <v>41957.0</v>
      </c>
      <c r="B777" s="24">
        <v>5549.1</v>
      </c>
      <c r="C777" s="24">
        <v>5550.3</v>
      </c>
      <c r="D777" s="24">
        <v>5419.3</v>
      </c>
      <c r="E777" s="24">
        <v>5454.3</v>
      </c>
      <c r="F777" s="25">
        <v>2.7787E9</v>
      </c>
      <c r="G777" s="25">
        <v>1.83935E10</v>
      </c>
      <c r="H777" s="3">
        <f t="shared" si="1"/>
        <v>180402.8577</v>
      </c>
    </row>
    <row r="778" ht="15.75" customHeight="1">
      <c r="A778" s="23">
        <v>41964.0</v>
      </c>
      <c r="B778" s="24">
        <v>5454.3</v>
      </c>
      <c r="C778" s="24">
        <v>5460.3</v>
      </c>
      <c r="D778" s="24">
        <v>5292.9</v>
      </c>
      <c r="E778" s="24">
        <v>5304.3</v>
      </c>
      <c r="F778" s="25">
        <v>2.7289E9</v>
      </c>
      <c r="G778" s="25">
        <v>1.68532E10</v>
      </c>
      <c r="H778" s="3">
        <f t="shared" si="1"/>
        <v>175441.5559</v>
      </c>
    </row>
    <row r="779" ht="15.75" customHeight="1">
      <c r="A779" s="23">
        <v>41971.0</v>
      </c>
      <c r="B779" s="24">
        <v>5304.3</v>
      </c>
      <c r="C779" s="24">
        <v>5411.9</v>
      </c>
      <c r="D779" s="24">
        <v>5296.8</v>
      </c>
      <c r="E779" s="24">
        <v>5313.0</v>
      </c>
      <c r="F779" s="25">
        <v>3.1317E9</v>
      </c>
      <c r="G779" s="25">
        <v>2.08246E10</v>
      </c>
      <c r="H779" s="3">
        <f t="shared" si="1"/>
        <v>175729.3114</v>
      </c>
    </row>
    <row r="780" ht="15.75" customHeight="1">
      <c r="A780" s="23">
        <v>41978.0</v>
      </c>
      <c r="B780" s="24">
        <v>5313.0</v>
      </c>
      <c r="C780" s="24">
        <v>5389.4</v>
      </c>
      <c r="D780" s="24">
        <v>5207.7</v>
      </c>
      <c r="E780" s="24">
        <v>5335.3</v>
      </c>
      <c r="F780" s="25">
        <v>3.3604E9</v>
      </c>
      <c r="G780" s="25">
        <v>2.0297E10</v>
      </c>
      <c r="H780" s="3">
        <f t="shared" si="1"/>
        <v>176466.8916</v>
      </c>
    </row>
    <row r="781" ht="15.75" customHeight="1">
      <c r="A781" s="23">
        <v>41985.0</v>
      </c>
      <c r="B781" s="24">
        <v>5335.3</v>
      </c>
      <c r="C781" s="24">
        <v>5404.1</v>
      </c>
      <c r="D781" s="24">
        <v>5188.0</v>
      </c>
      <c r="E781" s="24">
        <v>5219.6</v>
      </c>
      <c r="F781" s="25">
        <v>3.4277E9</v>
      </c>
      <c r="G781" s="25">
        <v>2.12678E10</v>
      </c>
      <c r="H781" s="3">
        <f t="shared" si="1"/>
        <v>172640.0741</v>
      </c>
    </row>
    <row r="782" ht="15.75" customHeight="1">
      <c r="A782" s="23">
        <v>41992.0</v>
      </c>
      <c r="B782" s="24">
        <v>5219.6</v>
      </c>
      <c r="C782" s="24">
        <v>5343.1</v>
      </c>
      <c r="D782" s="24">
        <v>5142.8</v>
      </c>
      <c r="E782" s="24">
        <v>5338.6</v>
      </c>
      <c r="F782" s="25">
        <v>4.0912E9</v>
      </c>
      <c r="G782" s="25">
        <v>2.66965E10</v>
      </c>
      <c r="H782" s="3">
        <f t="shared" si="1"/>
        <v>176576.0402</v>
      </c>
    </row>
    <row r="783" ht="15.75" customHeight="1">
      <c r="A783" s="23">
        <v>41997.0</v>
      </c>
      <c r="B783" s="24">
        <v>5338.6</v>
      </c>
      <c r="C783" s="24">
        <v>5442.0</v>
      </c>
      <c r="D783" s="24">
        <v>5338.6</v>
      </c>
      <c r="E783" s="24">
        <v>5394.5</v>
      </c>
      <c r="F783" s="25">
        <v>1.3766E9</v>
      </c>
      <c r="G783" s="25">
        <v>8.2143E9</v>
      </c>
      <c r="H783" s="3">
        <f t="shared" si="1"/>
        <v>178424.952</v>
      </c>
    </row>
    <row r="784" ht="15.75" customHeight="1">
      <c r="A784" s="23">
        <v>42006.0</v>
      </c>
      <c r="B784" s="24">
        <v>5394.5</v>
      </c>
      <c r="C784" s="24">
        <v>5486.7</v>
      </c>
      <c r="D784" s="24">
        <v>5387.0</v>
      </c>
      <c r="E784" s="24">
        <v>5435.9</v>
      </c>
      <c r="F784" s="25">
        <v>1.2287E9</v>
      </c>
      <c r="G784" s="25">
        <v>7.028199E9</v>
      </c>
      <c r="H784" s="3">
        <f t="shared" si="1"/>
        <v>179794.2714</v>
      </c>
    </row>
    <row r="785" ht="15.75" customHeight="1">
      <c r="A785" s="23">
        <v>42013.0</v>
      </c>
      <c r="B785" s="24">
        <v>5435.9</v>
      </c>
      <c r="C785" s="24">
        <v>5470.4</v>
      </c>
      <c r="D785" s="24">
        <v>5318.7</v>
      </c>
      <c r="E785" s="24">
        <v>5465.6</v>
      </c>
      <c r="F785" s="25">
        <v>2.7259E9</v>
      </c>
      <c r="G785" s="25">
        <v>1.60285E10</v>
      </c>
      <c r="H785" s="3">
        <f t="shared" si="1"/>
        <v>180776.6091</v>
      </c>
    </row>
    <row r="786" ht="15.75" customHeight="1">
      <c r="A786" s="23">
        <v>42020.0</v>
      </c>
      <c r="B786" s="24">
        <v>5465.6</v>
      </c>
      <c r="C786" s="24">
        <v>5465.6</v>
      </c>
      <c r="D786" s="24">
        <v>5267.4</v>
      </c>
      <c r="E786" s="24">
        <v>5299.2</v>
      </c>
      <c r="F786" s="25">
        <v>2.8194E9</v>
      </c>
      <c r="G786" s="25">
        <v>1.7768E10</v>
      </c>
      <c r="H786" s="3">
        <f t="shared" si="1"/>
        <v>175272.8716</v>
      </c>
    </row>
    <row r="787" ht="15.75" customHeight="1">
      <c r="A787" s="23">
        <v>42027.0</v>
      </c>
      <c r="B787" s="24">
        <v>5299.2</v>
      </c>
      <c r="C787" s="24">
        <v>5501.8</v>
      </c>
      <c r="D787" s="24">
        <v>5282.4</v>
      </c>
      <c r="E787" s="24">
        <v>5501.8</v>
      </c>
      <c r="F787" s="25">
        <v>2.9822E9</v>
      </c>
      <c r="G787" s="25">
        <v>1.89708E10</v>
      </c>
      <c r="H787" s="3">
        <f t="shared" si="1"/>
        <v>181973.9366</v>
      </c>
    </row>
    <row r="788" ht="15.75" customHeight="1">
      <c r="A788" s="23">
        <v>42034.0</v>
      </c>
      <c r="B788" s="24">
        <v>5501.8</v>
      </c>
      <c r="C788" s="24">
        <v>5619.5</v>
      </c>
      <c r="D788" s="24">
        <v>5497.3</v>
      </c>
      <c r="E788" s="24">
        <v>5588.3</v>
      </c>
      <c r="F788" s="25">
        <v>2.8921E9</v>
      </c>
      <c r="G788" s="25">
        <v>2.0728E10</v>
      </c>
      <c r="H788" s="3">
        <f t="shared" si="1"/>
        <v>184834.954</v>
      </c>
    </row>
    <row r="789" ht="15.75" customHeight="1">
      <c r="A789" s="23">
        <v>42041.0</v>
      </c>
      <c r="B789" s="24">
        <v>5588.3</v>
      </c>
      <c r="C789" s="24">
        <v>5850.9</v>
      </c>
      <c r="D789" s="24">
        <v>5588.3</v>
      </c>
      <c r="E789" s="24">
        <v>5820.2</v>
      </c>
      <c r="F789" s="25">
        <v>3.5485E9</v>
      </c>
      <c r="G789" s="25">
        <v>2.35466E10</v>
      </c>
      <c r="H789" s="3">
        <f t="shared" si="1"/>
        <v>192505.1267</v>
      </c>
    </row>
    <row r="790" ht="15.75" customHeight="1">
      <c r="A790" s="23">
        <v>42048.0</v>
      </c>
      <c r="B790" s="24">
        <v>5820.2</v>
      </c>
      <c r="C790" s="24">
        <v>5893.5</v>
      </c>
      <c r="D790" s="24">
        <v>5739.8</v>
      </c>
      <c r="E790" s="24">
        <v>5877.5</v>
      </c>
      <c r="F790" s="25">
        <v>3.6321E9</v>
      </c>
      <c r="G790" s="25">
        <v>2.33739E10</v>
      </c>
      <c r="H790" s="3">
        <f t="shared" si="1"/>
        <v>194400.344</v>
      </c>
    </row>
    <row r="791" ht="15.75" customHeight="1">
      <c r="A791" s="23">
        <v>42055.0</v>
      </c>
      <c r="B791" s="24">
        <v>5877.5</v>
      </c>
      <c r="C791" s="24">
        <v>5946.8</v>
      </c>
      <c r="D791" s="24">
        <v>5841.9</v>
      </c>
      <c r="E791" s="24">
        <v>5881.5</v>
      </c>
      <c r="F791" s="25">
        <v>3.298E9</v>
      </c>
      <c r="G791" s="25">
        <v>2.26037E10</v>
      </c>
      <c r="H791" s="3">
        <f t="shared" si="1"/>
        <v>194532.6454</v>
      </c>
    </row>
    <row r="792" ht="15.75" customHeight="1">
      <c r="A792" s="23">
        <v>42062.0</v>
      </c>
      <c r="B792" s="24">
        <v>5881.5</v>
      </c>
      <c r="C792" s="24">
        <v>5955.5</v>
      </c>
      <c r="D792" s="24">
        <v>5869.2</v>
      </c>
      <c r="E792" s="24">
        <v>5928.8</v>
      </c>
      <c r="F792" s="25">
        <v>4.0549E9</v>
      </c>
      <c r="G792" s="25">
        <v>2.73561E10</v>
      </c>
      <c r="H792" s="3">
        <f t="shared" si="1"/>
        <v>196097.1092</v>
      </c>
    </row>
    <row r="793" ht="15.75" customHeight="1">
      <c r="A793" s="23">
        <v>42069.0</v>
      </c>
      <c r="B793" s="24">
        <v>5928.8</v>
      </c>
      <c r="C793" s="24">
        <v>5996.9</v>
      </c>
      <c r="D793" s="24">
        <v>5869.2</v>
      </c>
      <c r="E793" s="24">
        <v>5898.9</v>
      </c>
      <c r="F793" s="25">
        <v>3.263E9</v>
      </c>
      <c r="G793" s="25">
        <v>2.2823E10</v>
      </c>
      <c r="H793" s="3">
        <f t="shared" si="1"/>
        <v>195108.1564</v>
      </c>
    </row>
    <row r="794" ht="15.75" customHeight="1">
      <c r="A794" s="23">
        <v>42076.0</v>
      </c>
      <c r="B794" s="24">
        <v>5898.9</v>
      </c>
      <c r="C794" s="24">
        <v>5898.9</v>
      </c>
      <c r="D794" s="24">
        <v>5748.7</v>
      </c>
      <c r="E794" s="24">
        <v>5814.5</v>
      </c>
      <c r="F794" s="25">
        <v>3.2222E9</v>
      </c>
      <c r="G794" s="25">
        <v>1.98596E10</v>
      </c>
      <c r="H794" s="3">
        <f t="shared" si="1"/>
        <v>192316.5972</v>
      </c>
    </row>
    <row r="795" ht="15.75" customHeight="1">
      <c r="A795" s="23">
        <v>42083.0</v>
      </c>
      <c r="B795" s="24">
        <v>5814.5</v>
      </c>
      <c r="C795" s="24">
        <v>5979.8</v>
      </c>
      <c r="D795" s="24">
        <v>5761.6</v>
      </c>
      <c r="E795" s="24">
        <v>5975.5</v>
      </c>
      <c r="F795" s="25">
        <v>4.278405E9</v>
      </c>
      <c r="G795" s="25">
        <v>2.58154E10</v>
      </c>
      <c r="H795" s="3">
        <f t="shared" si="1"/>
        <v>197641.7279</v>
      </c>
    </row>
    <row r="796" ht="15.75" customHeight="1">
      <c r="A796" s="23">
        <v>42090.0</v>
      </c>
      <c r="B796" s="24">
        <v>5975.5</v>
      </c>
      <c r="C796" s="24">
        <v>5995.0</v>
      </c>
      <c r="D796" s="24">
        <v>5877.1</v>
      </c>
      <c r="E796" s="24">
        <v>5919.9</v>
      </c>
      <c r="F796" s="25">
        <v>2.85328E9</v>
      </c>
      <c r="G796" s="25">
        <v>2.221745E10</v>
      </c>
      <c r="H796" s="3">
        <f t="shared" si="1"/>
        <v>195802.7386</v>
      </c>
    </row>
    <row r="797" ht="15.75" customHeight="1">
      <c r="A797" s="23">
        <v>42096.0</v>
      </c>
      <c r="B797" s="24">
        <v>5919.9</v>
      </c>
      <c r="C797" s="24">
        <v>5931.5</v>
      </c>
      <c r="D797" s="24">
        <v>5828.1</v>
      </c>
      <c r="E797" s="24">
        <v>5898.6</v>
      </c>
      <c r="F797" s="25">
        <v>2.656092E9</v>
      </c>
      <c r="G797" s="25">
        <v>2.309062E10</v>
      </c>
      <c r="H797" s="3">
        <f t="shared" si="1"/>
        <v>195098.2338</v>
      </c>
    </row>
    <row r="798" ht="15.75" customHeight="1">
      <c r="A798" s="23">
        <v>42104.0</v>
      </c>
      <c r="B798" s="24">
        <v>5898.6</v>
      </c>
      <c r="C798" s="24">
        <v>5981.7</v>
      </c>
      <c r="D798" s="24">
        <v>5898.6</v>
      </c>
      <c r="E798" s="24">
        <v>5968.4</v>
      </c>
      <c r="F798" s="25">
        <v>1.94246E9</v>
      </c>
      <c r="G798" s="25">
        <v>1.478849E10</v>
      </c>
      <c r="H798" s="3">
        <f t="shared" si="1"/>
        <v>197406.8929</v>
      </c>
    </row>
    <row r="799" ht="15.75" customHeight="1">
      <c r="A799" s="23">
        <v>42111.0</v>
      </c>
      <c r="B799" s="24">
        <v>5968.4</v>
      </c>
      <c r="C799" s="24">
        <v>5996.4</v>
      </c>
      <c r="D799" s="24">
        <v>5869.5</v>
      </c>
      <c r="E799" s="24">
        <v>5877.9</v>
      </c>
      <c r="F799" s="25">
        <v>2.684244E9</v>
      </c>
      <c r="G799" s="25">
        <v>1.944563E10</v>
      </c>
      <c r="H799" s="3">
        <f t="shared" si="1"/>
        <v>194413.5741</v>
      </c>
    </row>
    <row r="800" ht="15.75" customHeight="1">
      <c r="A800" s="23">
        <v>42118.0</v>
      </c>
      <c r="B800" s="24">
        <v>5877.9</v>
      </c>
      <c r="C800" s="24">
        <v>5935.0</v>
      </c>
      <c r="D800" s="24">
        <v>5807.8</v>
      </c>
      <c r="E800" s="24">
        <v>5933.3</v>
      </c>
      <c r="F800" s="25">
        <v>2.844536E9</v>
      </c>
      <c r="G800" s="25">
        <v>2.145777E10</v>
      </c>
      <c r="H800" s="3">
        <f t="shared" si="1"/>
        <v>196245.9483</v>
      </c>
    </row>
    <row r="801" ht="15.75" customHeight="1">
      <c r="A801" s="23">
        <v>42125.0</v>
      </c>
      <c r="B801" s="24">
        <v>5933.3</v>
      </c>
      <c r="C801" s="24">
        <v>5985.6</v>
      </c>
      <c r="D801" s="24">
        <v>5749.9</v>
      </c>
      <c r="E801" s="24">
        <v>5814.4</v>
      </c>
      <c r="F801" s="25">
        <v>3.009897E9</v>
      </c>
      <c r="G801" s="25">
        <v>2.322566E10</v>
      </c>
      <c r="H801" s="3">
        <f t="shared" si="1"/>
        <v>192313.2897</v>
      </c>
    </row>
    <row r="802" ht="15.75" customHeight="1">
      <c r="A802" s="23">
        <v>42132.0</v>
      </c>
      <c r="B802" s="24">
        <v>5814.4</v>
      </c>
      <c r="C802" s="24">
        <v>5901.8</v>
      </c>
      <c r="D802" s="24">
        <v>5606.7</v>
      </c>
      <c r="E802" s="24">
        <v>5634.6</v>
      </c>
      <c r="F802" s="25">
        <v>3.126331E9</v>
      </c>
      <c r="G802" s="25">
        <v>2.524385E10</v>
      </c>
      <c r="H802" s="3">
        <f t="shared" si="1"/>
        <v>186366.3425</v>
      </c>
    </row>
    <row r="803" ht="15.75" customHeight="1">
      <c r="A803" s="23">
        <v>42139.0</v>
      </c>
      <c r="B803" s="24">
        <v>5634.6</v>
      </c>
      <c r="C803" s="24">
        <v>5747.0</v>
      </c>
      <c r="D803" s="24">
        <v>5616.0</v>
      </c>
      <c r="E803" s="24">
        <v>5735.5</v>
      </c>
      <c r="F803" s="25">
        <v>3.251495E9</v>
      </c>
      <c r="G803" s="25">
        <v>2.415953E10</v>
      </c>
      <c r="H803" s="3">
        <f t="shared" si="1"/>
        <v>189703.6449</v>
      </c>
    </row>
    <row r="804" ht="15.75" customHeight="1">
      <c r="A804" s="23">
        <v>42146.0</v>
      </c>
      <c r="B804" s="24">
        <v>5735.5</v>
      </c>
      <c r="C804" s="24">
        <v>5735.5</v>
      </c>
      <c r="D804" s="24">
        <v>5574.6</v>
      </c>
      <c r="E804" s="24">
        <v>5664.7</v>
      </c>
      <c r="F804" s="25">
        <v>3.376377E9</v>
      </c>
      <c r="G804" s="25">
        <v>2.311718E10</v>
      </c>
      <c r="H804" s="3">
        <f t="shared" si="1"/>
        <v>187361.9104</v>
      </c>
    </row>
    <row r="805" ht="15.75" customHeight="1">
      <c r="A805" s="23">
        <v>42153.0</v>
      </c>
      <c r="B805" s="24">
        <v>5664.7</v>
      </c>
      <c r="C805" s="24">
        <v>5803.0</v>
      </c>
      <c r="D805" s="24">
        <v>5664.7</v>
      </c>
      <c r="E805" s="24">
        <v>5777.2</v>
      </c>
      <c r="F805" s="25">
        <v>3.310058E9</v>
      </c>
      <c r="G805" s="25">
        <v>2.442239E10</v>
      </c>
      <c r="H805" s="3">
        <f t="shared" si="1"/>
        <v>191082.8868</v>
      </c>
    </row>
    <row r="806" ht="15.75" customHeight="1">
      <c r="A806" s="23">
        <v>42160.0</v>
      </c>
      <c r="B806" s="24">
        <v>5777.2</v>
      </c>
      <c r="C806" s="24">
        <v>5777.2</v>
      </c>
      <c r="D806" s="24">
        <v>5470.0</v>
      </c>
      <c r="E806" s="24">
        <v>5498.5</v>
      </c>
      <c r="F806" s="25">
        <v>2.984498E9</v>
      </c>
      <c r="G806" s="25">
        <v>2.132494E10</v>
      </c>
      <c r="H806" s="3">
        <f t="shared" si="1"/>
        <v>181864.788</v>
      </c>
    </row>
    <row r="807" ht="15.75" customHeight="1">
      <c r="A807" s="23">
        <v>42167.0</v>
      </c>
      <c r="B807" s="24">
        <v>5498.5</v>
      </c>
      <c r="C807" s="24">
        <v>5556.7</v>
      </c>
      <c r="D807" s="24">
        <v>5453.1</v>
      </c>
      <c r="E807" s="24">
        <v>5545.3</v>
      </c>
      <c r="F807" s="25">
        <v>2.260442E9</v>
      </c>
      <c r="G807" s="25">
        <v>1.495594E10</v>
      </c>
      <c r="H807" s="3">
        <f t="shared" si="1"/>
        <v>183412.7142</v>
      </c>
    </row>
    <row r="808" ht="15.75" customHeight="1">
      <c r="A808" s="23">
        <v>42174.0</v>
      </c>
      <c r="B808" s="24">
        <v>5545.3</v>
      </c>
      <c r="C808" s="24">
        <v>5612.2</v>
      </c>
      <c r="D808" s="24">
        <v>5492.1</v>
      </c>
      <c r="E808" s="24">
        <v>5597.0</v>
      </c>
      <c r="F808" s="25">
        <v>4.002037E9</v>
      </c>
      <c r="G808" s="25">
        <v>2.614028E10</v>
      </c>
      <c r="H808" s="3">
        <f t="shared" si="1"/>
        <v>185122.7095</v>
      </c>
    </row>
    <row r="809" ht="15.75" customHeight="1">
      <c r="A809" s="23">
        <v>42181.0</v>
      </c>
      <c r="B809" s="24">
        <v>5597.0</v>
      </c>
      <c r="C809" s="24">
        <v>5705.8</v>
      </c>
      <c r="D809" s="24">
        <v>5524.1</v>
      </c>
      <c r="E809" s="24">
        <v>5545.9</v>
      </c>
      <c r="F809" s="25">
        <v>3.288528E9</v>
      </c>
      <c r="G809" s="25">
        <v>2.398146E10</v>
      </c>
      <c r="H809" s="3">
        <f t="shared" si="1"/>
        <v>183432.5594</v>
      </c>
    </row>
    <row r="810" ht="15.75" customHeight="1">
      <c r="A810" s="23">
        <v>42188.0</v>
      </c>
      <c r="B810" s="24">
        <v>5545.9</v>
      </c>
      <c r="C810" s="24">
        <v>5609.9</v>
      </c>
      <c r="D810" s="24">
        <v>5390.5</v>
      </c>
      <c r="E810" s="24">
        <v>5538.3</v>
      </c>
      <c r="F810" s="25">
        <v>3.39994E9</v>
      </c>
      <c r="G810" s="25">
        <v>2.170509E10</v>
      </c>
      <c r="H810" s="3">
        <f t="shared" si="1"/>
        <v>183181.1867</v>
      </c>
    </row>
    <row r="811" ht="15.75" customHeight="1">
      <c r="A811" s="23">
        <v>42195.0</v>
      </c>
      <c r="B811" s="24">
        <v>5538.3</v>
      </c>
      <c r="C811" s="24">
        <v>5586.2</v>
      </c>
      <c r="D811" s="24">
        <v>5383.7</v>
      </c>
      <c r="E811" s="24">
        <v>5492.0</v>
      </c>
      <c r="F811" s="25">
        <v>2.915049E9</v>
      </c>
      <c r="G811" s="25">
        <v>1.989766E10</v>
      </c>
      <c r="H811" s="3">
        <f t="shared" si="1"/>
        <v>181649.7982</v>
      </c>
    </row>
    <row r="812" ht="15.75" customHeight="1">
      <c r="A812" s="23">
        <v>42202.0</v>
      </c>
      <c r="B812" s="24">
        <v>5492.0</v>
      </c>
      <c r="C812" s="24">
        <v>5691.2</v>
      </c>
      <c r="D812" s="24">
        <v>5451.1</v>
      </c>
      <c r="E812" s="24">
        <v>5670.1</v>
      </c>
      <c r="F812" s="25">
        <v>2.596439E9</v>
      </c>
      <c r="G812" s="25">
        <v>1.760281E10</v>
      </c>
      <c r="H812" s="3">
        <f t="shared" si="1"/>
        <v>187540.5173</v>
      </c>
    </row>
    <row r="813" ht="15.75" customHeight="1">
      <c r="A813" s="23">
        <v>42209.0</v>
      </c>
      <c r="B813" s="24">
        <v>5670.1</v>
      </c>
      <c r="C813" s="24">
        <v>5718.9</v>
      </c>
      <c r="D813" s="24">
        <v>5548.0</v>
      </c>
      <c r="E813" s="24">
        <v>5566.1</v>
      </c>
      <c r="F813" s="25">
        <v>2.593404E9</v>
      </c>
      <c r="G813" s="25">
        <v>1.751291E10</v>
      </c>
      <c r="H813" s="3">
        <f t="shared" si="1"/>
        <v>184100.6814</v>
      </c>
    </row>
    <row r="814" ht="15.75" customHeight="1">
      <c r="A814" s="23">
        <v>42216.0</v>
      </c>
      <c r="B814" s="24">
        <v>5565.9</v>
      </c>
      <c r="C814" s="24">
        <v>5699.5</v>
      </c>
      <c r="D814" s="24">
        <v>5530.9</v>
      </c>
      <c r="E814" s="24">
        <v>5699.2</v>
      </c>
      <c r="F814" s="25">
        <v>2.884478E9</v>
      </c>
      <c r="G814" s="25">
        <v>2.092035E10</v>
      </c>
      <c r="H814" s="3">
        <f t="shared" si="1"/>
        <v>188503.0099</v>
      </c>
    </row>
    <row r="815" ht="15.75" customHeight="1">
      <c r="A815" s="23">
        <v>42223.0</v>
      </c>
      <c r="B815" s="24">
        <v>5699.2</v>
      </c>
      <c r="C815" s="24">
        <v>5727.7</v>
      </c>
      <c r="D815" s="24">
        <v>5474.8</v>
      </c>
      <c r="E815" s="24">
        <v>5474.8</v>
      </c>
      <c r="F815" s="25">
        <v>2.799559E9</v>
      </c>
      <c r="G815" s="25">
        <v>1.985308E10</v>
      </c>
      <c r="H815" s="3">
        <f t="shared" si="1"/>
        <v>181080.9023</v>
      </c>
    </row>
    <row r="816" ht="15.75" customHeight="1">
      <c r="A816" s="23">
        <v>42230.0</v>
      </c>
      <c r="B816" s="24">
        <v>5474.8</v>
      </c>
      <c r="C816" s="24">
        <v>5543.2</v>
      </c>
      <c r="D816" s="24">
        <v>5351.5</v>
      </c>
      <c r="E816" s="24">
        <v>5356.5</v>
      </c>
      <c r="F816" s="25">
        <v>3.074173E9</v>
      </c>
      <c r="G816" s="25">
        <v>2.154266E10</v>
      </c>
      <c r="H816" s="3">
        <f t="shared" si="1"/>
        <v>177168.0889</v>
      </c>
    </row>
    <row r="817" ht="15.75" customHeight="1">
      <c r="A817" s="23">
        <v>42237.0</v>
      </c>
      <c r="B817" s="24">
        <v>5356.5</v>
      </c>
      <c r="C817" s="24">
        <v>5397.0</v>
      </c>
      <c r="D817" s="24">
        <v>5171.5</v>
      </c>
      <c r="E817" s="24">
        <v>5214.6</v>
      </c>
      <c r="F817" s="25">
        <v>3.530497E9</v>
      </c>
      <c r="G817" s="25">
        <v>2.665403E10</v>
      </c>
      <c r="H817" s="3">
        <f t="shared" si="1"/>
        <v>172474.6974</v>
      </c>
    </row>
    <row r="818" ht="15.75" customHeight="1">
      <c r="A818" s="23">
        <v>42244.0</v>
      </c>
      <c r="B818" s="24">
        <v>5207.6</v>
      </c>
      <c r="C818" s="24">
        <v>5305.0</v>
      </c>
      <c r="D818" s="24">
        <v>4928.3</v>
      </c>
      <c r="E818" s="24">
        <v>5263.6</v>
      </c>
      <c r="F818" s="25">
        <v>5.153021E9</v>
      </c>
      <c r="G818" s="25">
        <v>3.526452E10</v>
      </c>
      <c r="H818" s="3">
        <f t="shared" si="1"/>
        <v>174095.3893</v>
      </c>
    </row>
    <row r="819" ht="15.75" customHeight="1">
      <c r="A819" s="23">
        <v>42251.0</v>
      </c>
      <c r="B819" s="24">
        <v>5263.6</v>
      </c>
      <c r="C819" s="24">
        <v>5263.6</v>
      </c>
      <c r="D819" s="24">
        <v>4995.6</v>
      </c>
      <c r="E819" s="24">
        <v>5040.6</v>
      </c>
      <c r="F819" s="25">
        <v>4.134574E9</v>
      </c>
      <c r="G819" s="25">
        <v>2.568207E10</v>
      </c>
      <c r="H819" s="3">
        <f t="shared" si="1"/>
        <v>166719.5872</v>
      </c>
    </row>
    <row r="820" ht="15.75" customHeight="1">
      <c r="A820" s="23">
        <v>42258.0</v>
      </c>
      <c r="B820" s="24">
        <v>5040.6</v>
      </c>
      <c r="C820" s="24">
        <v>5221.1</v>
      </c>
      <c r="D820" s="24">
        <v>4973.4</v>
      </c>
      <c r="E820" s="24">
        <v>5071.1</v>
      </c>
      <c r="F820" s="25">
        <v>3.619583E9</v>
      </c>
      <c r="G820" s="25">
        <v>2.329129E10</v>
      </c>
      <c r="H820" s="3">
        <f t="shared" si="1"/>
        <v>167728.3853</v>
      </c>
    </row>
    <row r="821" ht="15.75" customHeight="1">
      <c r="A821" s="23">
        <v>42265.0</v>
      </c>
      <c r="B821" s="24">
        <v>5071.1</v>
      </c>
      <c r="C821" s="24">
        <v>5195.0</v>
      </c>
      <c r="D821" s="24">
        <v>5017.8</v>
      </c>
      <c r="E821" s="24">
        <v>5170.5</v>
      </c>
      <c r="F821" s="25">
        <v>3.993982E9</v>
      </c>
      <c r="G821" s="25">
        <v>2.497132E10</v>
      </c>
      <c r="H821" s="3">
        <f t="shared" si="1"/>
        <v>171016.0746</v>
      </c>
    </row>
    <row r="822" ht="15.75" customHeight="1">
      <c r="A822" s="23">
        <v>42272.0</v>
      </c>
      <c r="B822" s="24">
        <v>5170.5</v>
      </c>
      <c r="C822" s="24">
        <v>5170.5</v>
      </c>
      <c r="D822" s="24">
        <v>4988.8</v>
      </c>
      <c r="E822" s="24">
        <v>5042.1</v>
      </c>
      <c r="F822" s="25">
        <v>3.110852E9</v>
      </c>
      <c r="G822" s="25">
        <v>2.160882E10</v>
      </c>
      <c r="H822" s="3">
        <f t="shared" si="1"/>
        <v>166769.2002</v>
      </c>
    </row>
    <row r="823" ht="15.75" customHeight="1">
      <c r="A823" s="23">
        <v>42279.0</v>
      </c>
      <c r="B823" s="24">
        <v>5042.1</v>
      </c>
      <c r="C823" s="24">
        <v>5119.2</v>
      </c>
      <c r="D823" s="24">
        <v>4918.4</v>
      </c>
      <c r="E823" s="24">
        <v>5052.0</v>
      </c>
      <c r="F823" s="25">
        <v>3.245816E9</v>
      </c>
      <c r="G823" s="25">
        <v>2.122089E10</v>
      </c>
      <c r="H823" s="3">
        <f t="shared" si="1"/>
        <v>167096.6462</v>
      </c>
    </row>
    <row r="824" ht="15.75" customHeight="1">
      <c r="A824" s="23">
        <v>42286.0</v>
      </c>
      <c r="B824" s="24">
        <v>5052.0</v>
      </c>
      <c r="C824" s="24">
        <v>5284.0</v>
      </c>
      <c r="D824" s="24">
        <v>5052.0</v>
      </c>
      <c r="E824" s="24">
        <v>5279.7</v>
      </c>
      <c r="F824" s="25">
        <v>2.846176E9</v>
      </c>
      <c r="G824" s="25">
        <v>1.963439E10</v>
      </c>
      <c r="H824" s="3">
        <f t="shared" si="1"/>
        <v>174627.9024</v>
      </c>
    </row>
    <row r="825" ht="15.75" customHeight="1">
      <c r="A825" s="23">
        <v>42293.0</v>
      </c>
      <c r="B825" s="24">
        <v>5279.7</v>
      </c>
      <c r="C825" s="24">
        <v>5294.3</v>
      </c>
      <c r="D825" s="24">
        <v>5164.2</v>
      </c>
      <c r="E825" s="24">
        <v>5268.2</v>
      </c>
      <c r="F825" s="25">
        <v>3.072248E9</v>
      </c>
      <c r="G825" s="25">
        <v>1.988709E10</v>
      </c>
      <c r="H825" s="3">
        <f t="shared" si="1"/>
        <v>174247.5359</v>
      </c>
    </row>
    <row r="826" ht="15.75" customHeight="1">
      <c r="A826" s="23">
        <v>42300.0</v>
      </c>
      <c r="B826" s="24">
        <v>5268.2</v>
      </c>
      <c r="C826" s="24">
        <v>5374.5</v>
      </c>
      <c r="D826" s="24">
        <v>5195.4</v>
      </c>
      <c r="E826" s="24">
        <v>5351.6</v>
      </c>
      <c r="F826" s="25">
        <v>2.879281E9</v>
      </c>
      <c r="G826" s="25">
        <v>1.883789E10</v>
      </c>
      <c r="H826" s="3">
        <f t="shared" si="1"/>
        <v>177006.0197</v>
      </c>
    </row>
    <row r="827" ht="15.75" customHeight="1">
      <c r="A827" s="23">
        <v>42307.0</v>
      </c>
      <c r="B827" s="24">
        <v>5351.6</v>
      </c>
      <c r="C827" s="24">
        <v>5384.8</v>
      </c>
      <c r="D827" s="24">
        <v>5204.0</v>
      </c>
      <c r="E827" s="24">
        <v>5239.4</v>
      </c>
      <c r="F827" s="25">
        <v>3.044601E9</v>
      </c>
      <c r="G827" s="25">
        <v>2.268724E10</v>
      </c>
      <c r="H827" s="3">
        <f t="shared" si="1"/>
        <v>173294.9659</v>
      </c>
    </row>
    <row r="828" ht="15.75" customHeight="1">
      <c r="A828" s="23">
        <v>42314.0</v>
      </c>
      <c r="B828" s="24">
        <v>5239.4</v>
      </c>
      <c r="C828" s="24">
        <v>5313.7</v>
      </c>
      <c r="D828" s="24">
        <v>5152.8</v>
      </c>
      <c r="E828" s="24">
        <v>5215.0</v>
      </c>
      <c r="F828" s="25">
        <v>2.758206E9</v>
      </c>
      <c r="G828" s="25">
        <v>2.053266E10</v>
      </c>
      <c r="H828" s="3">
        <f t="shared" si="1"/>
        <v>172487.9275</v>
      </c>
    </row>
    <row r="829" ht="15.75" customHeight="1">
      <c r="A829" s="23">
        <v>42321.0</v>
      </c>
      <c r="B829" s="24">
        <v>5215.0</v>
      </c>
      <c r="C829" s="24">
        <v>5215.0</v>
      </c>
      <c r="D829" s="24">
        <v>5010.4</v>
      </c>
      <c r="E829" s="24">
        <v>5051.3</v>
      </c>
      <c r="F829" s="25">
        <v>3.164264E9</v>
      </c>
      <c r="G829" s="25">
        <v>2.212548E10</v>
      </c>
      <c r="H829" s="3">
        <f t="shared" si="1"/>
        <v>167073.4934</v>
      </c>
    </row>
    <row r="830" ht="15.75" customHeight="1">
      <c r="A830" s="23">
        <v>42328.0</v>
      </c>
      <c r="B830" s="24">
        <v>5051.3</v>
      </c>
      <c r="C830" s="24">
        <v>5272.0</v>
      </c>
      <c r="D830" s="24">
        <v>4979.2</v>
      </c>
      <c r="E830" s="24">
        <v>5256.1</v>
      </c>
      <c r="F830" s="25">
        <v>3.06188E9</v>
      </c>
      <c r="G830" s="25">
        <v>2.05421E10</v>
      </c>
      <c r="H830" s="3">
        <f t="shared" si="1"/>
        <v>173847.3242</v>
      </c>
    </row>
    <row r="831" ht="15.75" customHeight="1">
      <c r="A831" s="23">
        <v>42335.0</v>
      </c>
      <c r="B831" s="24">
        <v>5256.1</v>
      </c>
      <c r="C831" s="24">
        <v>5285.5</v>
      </c>
      <c r="D831" s="24">
        <v>5185.8</v>
      </c>
      <c r="E831" s="24">
        <v>5202.6</v>
      </c>
      <c r="F831" s="25">
        <v>3.436125E9</v>
      </c>
      <c r="G831" s="25">
        <v>2.059524E10</v>
      </c>
      <c r="H831" s="3">
        <f t="shared" si="1"/>
        <v>172077.7932</v>
      </c>
    </row>
    <row r="832" ht="15.75" customHeight="1">
      <c r="A832" s="23">
        <v>42342.0</v>
      </c>
      <c r="B832" s="24">
        <v>5202.6</v>
      </c>
      <c r="C832" s="24">
        <v>5279.3</v>
      </c>
      <c r="D832" s="24">
        <v>5117.6</v>
      </c>
      <c r="E832" s="24">
        <v>5151.6</v>
      </c>
      <c r="F832" s="25">
        <v>4.34759E9</v>
      </c>
      <c r="G832" s="25">
        <v>2.569915E10</v>
      </c>
      <c r="H832" s="3">
        <f t="shared" si="1"/>
        <v>170390.9506</v>
      </c>
    </row>
    <row r="833" ht="15.75" customHeight="1">
      <c r="A833" s="23">
        <v>42349.0</v>
      </c>
      <c r="B833" s="24">
        <v>5151.6</v>
      </c>
      <c r="C833" s="24">
        <v>5229.9</v>
      </c>
      <c r="D833" s="24">
        <v>4995.6</v>
      </c>
      <c r="E833" s="24">
        <v>5029.4</v>
      </c>
      <c r="F833" s="25">
        <v>3.636746E9</v>
      </c>
      <c r="G833" s="25">
        <v>2.081293E10</v>
      </c>
      <c r="H833" s="3">
        <f t="shared" si="1"/>
        <v>166349.1433</v>
      </c>
    </row>
    <row r="834" ht="15.75" customHeight="1">
      <c r="A834" s="23">
        <v>42356.0</v>
      </c>
      <c r="B834" s="24">
        <v>5029.5</v>
      </c>
      <c r="C834" s="24">
        <v>5129.1</v>
      </c>
      <c r="D834" s="24">
        <v>4909.6</v>
      </c>
      <c r="E834" s="24">
        <v>5106.7</v>
      </c>
      <c r="F834" s="25">
        <v>4.342177E9</v>
      </c>
      <c r="G834" s="25">
        <v>2.811509E10</v>
      </c>
      <c r="H834" s="3">
        <f t="shared" si="1"/>
        <v>168905.8676</v>
      </c>
    </row>
    <row r="835" ht="15.75" customHeight="1">
      <c r="A835" s="23">
        <v>42362.0</v>
      </c>
      <c r="B835" s="24">
        <v>5106.7</v>
      </c>
      <c r="C835" s="24">
        <v>5211.5</v>
      </c>
      <c r="D835" s="24">
        <v>5075.2</v>
      </c>
      <c r="E835" s="24">
        <v>5207.6</v>
      </c>
      <c r="F835" s="25">
        <v>1.566529E9</v>
      </c>
      <c r="G835" s="25">
        <v>1.039149E10</v>
      </c>
      <c r="H835" s="3">
        <f t="shared" si="1"/>
        <v>172243.1699</v>
      </c>
    </row>
    <row r="836" ht="15.75" customHeight="1">
      <c r="A836" s="23">
        <v>42369.0</v>
      </c>
      <c r="B836" s="24">
        <v>5207.6</v>
      </c>
      <c r="C836" s="24">
        <v>5325.8</v>
      </c>
      <c r="D836" s="24">
        <v>5189.1</v>
      </c>
      <c r="E836" s="24">
        <v>5295.9</v>
      </c>
      <c r="F836" s="25">
        <v>9.614582E8</v>
      </c>
      <c r="G836" s="25">
        <v>7.191158E9</v>
      </c>
      <c r="H836" s="3">
        <f t="shared" si="1"/>
        <v>175163.723</v>
      </c>
    </row>
    <row r="837" ht="15.75" customHeight="1">
      <c r="A837" s="23">
        <v>42377.0</v>
      </c>
      <c r="B837" s="24">
        <v>5295.9</v>
      </c>
      <c r="C837" s="24">
        <v>5331.4</v>
      </c>
      <c r="D837" s="24">
        <v>4940.3</v>
      </c>
      <c r="E837" s="24">
        <v>4990.8</v>
      </c>
      <c r="F837" s="25">
        <v>2.622828E9</v>
      </c>
      <c r="G837" s="25">
        <v>1.793001E10</v>
      </c>
      <c r="H837" s="3">
        <f t="shared" si="1"/>
        <v>165072.435</v>
      </c>
    </row>
    <row r="838" ht="15.75" customHeight="1">
      <c r="A838" s="23">
        <v>42384.0</v>
      </c>
      <c r="B838" s="24">
        <v>4990.8</v>
      </c>
      <c r="C838" s="24">
        <v>4997.1</v>
      </c>
      <c r="D838" s="24">
        <v>4865.0</v>
      </c>
      <c r="E838" s="24">
        <v>4892.8</v>
      </c>
      <c r="F838" s="25">
        <v>2.974969E9</v>
      </c>
      <c r="G838" s="25">
        <v>1.894849E10</v>
      </c>
      <c r="H838" s="3">
        <f t="shared" si="1"/>
        <v>161831.0511</v>
      </c>
    </row>
    <row r="839" ht="15.75" customHeight="1">
      <c r="A839" s="23">
        <v>42391.0</v>
      </c>
      <c r="B839" s="24">
        <v>4892.8</v>
      </c>
      <c r="C839" s="24">
        <v>4932.1</v>
      </c>
      <c r="D839" s="24">
        <v>4803.9</v>
      </c>
      <c r="E839" s="24">
        <v>4916.0</v>
      </c>
      <c r="F839" s="25">
        <v>3.117732E9</v>
      </c>
      <c r="G839" s="25">
        <v>2.080014E10</v>
      </c>
      <c r="H839" s="3">
        <f t="shared" si="1"/>
        <v>162598.3992</v>
      </c>
    </row>
    <row r="840" ht="15.75" customHeight="1">
      <c r="A840" s="23">
        <v>42398.0</v>
      </c>
      <c r="B840" s="24">
        <v>4916.0</v>
      </c>
      <c r="C840" s="24">
        <v>5009.5</v>
      </c>
      <c r="D840" s="24">
        <v>4909.4</v>
      </c>
      <c r="E840" s="24">
        <v>5005.5</v>
      </c>
      <c r="F840" s="25">
        <v>2.672769E9</v>
      </c>
      <c r="G840" s="25">
        <v>1.795507E10</v>
      </c>
      <c r="H840" s="3">
        <f t="shared" si="1"/>
        <v>165558.6426</v>
      </c>
    </row>
    <row r="841" ht="15.75" customHeight="1">
      <c r="A841" s="23">
        <v>42405.0</v>
      </c>
      <c r="B841" s="24">
        <v>5005.5</v>
      </c>
      <c r="C841" s="24">
        <v>5073.0</v>
      </c>
      <c r="D841" s="24">
        <v>4873.6</v>
      </c>
      <c r="E841" s="24">
        <v>4976.2</v>
      </c>
      <c r="F841" s="25">
        <v>3.362587E9</v>
      </c>
      <c r="G841" s="25">
        <v>2.171506E10</v>
      </c>
      <c r="H841" s="3">
        <f t="shared" si="1"/>
        <v>164589.535</v>
      </c>
    </row>
    <row r="842" ht="15.75" customHeight="1">
      <c r="A842" s="23">
        <v>42412.0</v>
      </c>
      <c r="B842" s="24">
        <v>4976.2</v>
      </c>
      <c r="C842" s="24">
        <v>4980.0</v>
      </c>
      <c r="D842" s="24">
        <v>4706.7</v>
      </c>
      <c r="E842" s="24">
        <v>4765.3</v>
      </c>
      <c r="F842" s="25">
        <v>3.491737E9</v>
      </c>
      <c r="G842" s="25">
        <v>2.36445E10</v>
      </c>
      <c r="H842" s="3">
        <f t="shared" si="1"/>
        <v>157613.9446</v>
      </c>
    </row>
    <row r="843" ht="15.75" customHeight="1">
      <c r="A843" s="23">
        <v>42419.0</v>
      </c>
      <c r="B843" s="24">
        <v>4765.3</v>
      </c>
      <c r="C843" s="24">
        <v>4992.6</v>
      </c>
      <c r="D843" s="24">
        <v>4765.3</v>
      </c>
      <c r="E843" s="24">
        <v>4952.8</v>
      </c>
      <c r="F843" s="25">
        <v>3.728049E9</v>
      </c>
      <c r="G843" s="25">
        <v>2.378223E10</v>
      </c>
      <c r="H843" s="3">
        <f t="shared" si="1"/>
        <v>163815.5719</v>
      </c>
    </row>
    <row r="844" ht="15.75" customHeight="1">
      <c r="A844" s="23">
        <v>42426.0</v>
      </c>
      <c r="B844" s="24">
        <v>4952.8</v>
      </c>
      <c r="C844" s="24">
        <v>5035.6</v>
      </c>
      <c r="D844" s="24">
        <v>4838.3</v>
      </c>
      <c r="E844" s="24">
        <v>4880.0</v>
      </c>
      <c r="F844" s="25">
        <v>3.615045E9</v>
      </c>
      <c r="G844" s="25">
        <v>2.482863E10</v>
      </c>
      <c r="H844" s="3">
        <f t="shared" si="1"/>
        <v>161407.6867</v>
      </c>
    </row>
    <row r="845" ht="15.75" customHeight="1">
      <c r="A845" s="23">
        <v>42433.0</v>
      </c>
      <c r="B845" s="24">
        <v>4880.0</v>
      </c>
      <c r="C845" s="24">
        <v>5105.0</v>
      </c>
      <c r="D845" s="24">
        <v>4868.1</v>
      </c>
      <c r="E845" s="24">
        <v>5090.0</v>
      </c>
      <c r="F845" s="25">
        <v>4.076148E9</v>
      </c>
      <c r="G845" s="25">
        <v>2.637202E10</v>
      </c>
      <c r="H845" s="3">
        <f t="shared" si="1"/>
        <v>168353.5093</v>
      </c>
    </row>
    <row r="846" ht="15.75" customHeight="1">
      <c r="A846" s="23">
        <v>42440.0</v>
      </c>
      <c r="B846" s="24">
        <v>5090.0</v>
      </c>
      <c r="C846" s="24">
        <v>5182.5</v>
      </c>
      <c r="D846" s="24">
        <v>5081.9</v>
      </c>
      <c r="E846" s="24">
        <v>5166.4</v>
      </c>
      <c r="F846" s="25">
        <v>3.634562E9</v>
      </c>
      <c r="G846" s="25">
        <v>2.261561E10</v>
      </c>
      <c r="H846" s="3">
        <f t="shared" si="1"/>
        <v>170880.4657</v>
      </c>
    </row>
    <row r="847" ht="15.75" customHeight="1">
      <c r="A847" s="23">
        <v>42447.0</v>
      </c>
      <c r="B847" s="24">
        <v>5166.4</v>
      </c>
      <c r="C847" s="24">
        <v>5216.2</v>
      </c>
      <c r="D847" s="24">
        <v>5088.2</v>
      </c>
      <c r="E847" s="24">
        <v>5183.1</v>
      </c>
      <c r="F847" s="25">
        <v>3.911298E9</v>
      </c>
      <c r="G847" s="25">
        <v>2.471722E10</v>
      </c>
      <c r="H847" s="3">
        <f t="shared" si="1"/>
        <v>171432.824</v>
      </c>
    </row>
    <row r="848" ht="15.75" customHeight="1">
      <c r="A848" s="23">
        <v>42453.0</v>
      </c>
      <c r="B848" s="24">
        <v>5183.1</v>
      </c>
      <c r="C848" s="24">
        <v>5195.7</v>
      </c>
      <c r="D848" s="24">
        <v>5069.2</v>
      </c>
      <c r="E848" s="24">
        <v>5084.2</v>
      </c>
      <c r="F848" s="25">
        <v>2.217786E9</v>
      </c>
      <c r="G848" s="25">
        <v>1.704797E10</v>
      </c>
      <c r="H848" s="3">
        <f t="shared" si="1"/>
        <v>168161.6723</v>
      </c>
    </row>
    <row r="849" ht="15.75" customHeight="1">
      <c r="A849" s="23">
        <v>42461.0</v>
      </c>
      <c r="B849" s="24">
        <v>5084.2</v>
      </c>
      <c r="C849" s="24">
        <v>5098.2</v>
      </c>
      <c r="D849" s="24">
        <v>4976.3</v>
      </c>
      <c r="E849" s="24">
        <v>4999.4</v>
      </c>
      <c r="F849" s="25">
        <v>2.209478E9</v>
      </c>
      <c r="G849" s="25">
        <v>1.608992E10</v>
      </c>
      <c r="H849" s="3">
        <f t="shared" si="1"/>
        <v>165356.883</v>
      </c>
    </row>
    <row r="850" ht="15.75" customHeight="1">
      <c r="A850" s="23">
        <v>42468.0</v>
      </c>
      <c r="B850" s="24">
        <v>4999.4</v>
      </c>
      <c r="C850" s="24">
        <v>5046.3</v>
      </c>
      <c r="D850" s="24">
        <v>4893.5</v>
      </c>
      <c r="E850" s="24">
        <v>4937.6</v>
      </c>
      <c r="F850" s="25">
        <v>2.496564E9</v>
      </c>
      <c r="G850" s="25">
        <v>1.735985E10</v>
      </c>
      <c r="H850" s="3">
        <f t="shared" si="1"/>
        <v>163312.8266</v>
      </c>
    </row>
    <row r="851" ht="15.75" customHeight="1">
      <c r="A851" s="23">
        <v>42475.0</v>
      </c>
      <c r="B851" s="24">
        <v>4937.6</v>
      </c>
      <c r="C851" s="24">
        <v>5157.5</v>
      </c>
      <c r="D851" s="24">
        <v>4910.8</v>
      </c>
      <c r="E851" s="24">
        <v>5157.5</v>
      </c>
      <c r="F851" s="25">
        <v>2.70632E9</v>
      </c>
      <c r="G851" s="25">
        <v>1.947244E10</v>
      </c>
      <c r="H851" s="3">
        <f t="shared" si="1"/>
        <v>170586.0951</v>
      </c>
    </row>
    <row r="852" ht="15.75" customHeight="1">
      <c r="A852" s="23">
        <v>42482.0</v>
      </c>
      <c r="B852" s="24">
        <v>5157.5</v>
      </c>
      <c r="C852" s="24">
        <v>5279.9</v>
      </c>
      <c r="D852" s="24">
        <v>5118.5</v>
      </c>
      <c r="E852" s="24">
        <v>5236.4</v>
      </c>
      <c r="F852" s="25">
        <v>3.209001E9</v>
      </c>
      <c r="G852" s="25">
        <v>2.260927E10</v>
      </c>
      <c r="H852" s="3">
        <f t="shared" si="1"/>
        <v>173195.7399</v>
      </c>
    </row>
    <row r="853" ht="15.75" customHeight="1">
      <c r="A853" s="23">
        <v>42489.0</v>
      </c>
      <c r="B853" s="24">
        <v>5236.4</v>
      </c>
      <c r="C853" s="24">
        <v>5281.6</v>
      </c>
      <c r="D853" s="24">
        <v>5179.5</v>
      </c>
      <c r="E853" s="24">
        <v>5252.2</v>
      </c>
      <c r="F853" s="25">
        <v>2.63055E9</v>
      </c>
      <c r="G853" s="25">
        <v>1.890502E10</v>
      </c>
      <c r="H853" s="3">
        <f t="shared" si="1"/>
        <v>173718.3304</v>
      </c>
    </row>
    <row r="854" ht="15.75" customHeight="1">
      <c r="A854" s="23">
        <v>42496.0</v>
      </c>
      <c r="B854" s="24">
        <v>5252.2</v>
      </c>
      <c r="C854" s="24">
        <v>5357.0</v>
      </c>
      <c r="D854" s="24">
        <v>5182.2</v>
      </c>
      <c r="E854" s="24">
        <v>5292.0</v>
      </c>
      <c r="F854" s="25">
        <v>3.299945E9</v>
      </c>
      <c r="G854" s="25">
        <v>2.449288E10</v>
      </c>
      <c r="H854" s="3">
        <f t="shared" si="1"/>
        <v>175034.7291</v>
      </c>
    </row>
    <row r="855" ht="15.75" customHeight="1">
      <c r="A855" s="23">
        <v>42503.0</v>
      </c>
      <c r="B855" s="24">
        <v>5292.0</v>
      </c>
      <c r="C855" s="24">
        <v>5425.2</v>
      </c>
      <c r="D855" s="24">
        <v>5264.4</v>
      </c>
      <c r="E855" s="24">
        <v>5329.0</v>
      </c>
      <c r="F855" s="25">
        <v>3.201835E9</v>
      </c>
      <c r="G855" s="25">
        <v>2.45921E10</v>
      </c>
      <c r="H855" s="3">
        <f t="shared" si="1"/>
        <v>176258.5169</v>
      </c>
    </row>
    <row r="856" ht="15.75" customHeight="1">
      <c r="A856" s="23">
        <v>42510.0</v>
      </c>
      <c r="B856" s="24">
        <v>5329.0</v>
      </c>
      <c r="C856" s="24">
        <v>5395.9</v>
      </c>
      <c r="D856" s="24">
        <v>5303.1</v>
      </c>
      <c r="E856" s="24">
        <v>5351.3</v>
      </c>
      <c r="F856" s="25">
        <v>2.989193E9</v>
      </c>
      <c r="G856" s="25">
        <v>2.141142E10</v>
      </c>
      <c r="H856" s="3">
        <f t="shared" si="1"/>
        <v>176996.0971</v>
      </c>
    </row>
    <row r="857" ht="15.75" customHeight="1">
      <c r="A857" s="23">
        <v>42517.0</v>
      </c>
      <c r="B857" s="24">
        <v>5351.3</v>
      </c>
      <c r="C857" s="24">
        <v>5427.7</v>
      </c>
      <c r="D857" s="24">
        <v>5295.6</v>
      </c>
      <c r="E857" s="24">
        <v>5405.9</v>
      </c>
      <c r="F857" s="25">
        <v>2.897865E9</v>
      </c>
      <c r="G857" s="25">
        <v>2.210634E10</v>
      </c>
      <c r="H857" s="3">
        <f t="shared" si="1"/>
        <v>178802.011</v>
      </c>
    </row>
    <row r="858" ht="15.75" customHeight="1">
      <c r="A858" s="23">
        <v>42524.0</v>
      </c>
      <c r="B858" s="24">
        <v>5405.9</v>
      </c>
      <c r="C858" s="24">
        <v>5415.0</v>
      </c>
      <c r="D858" s="24">
        <v>5270.9</v>
      </c>
      <c r="E858" s="24">
        <v>5318.9</v>
      </c>
      <c r="F858" s="25">
        <v>3.050592E9</v>
      </c>
      <c r="G858" s="25">
        <v>2.17961E10</v>
      </c>
      <c r="H858" s="3">
        <f t="shared" si="1"/>
        <v>175924.4559</v>
      </c>
    </row>
    <row r="859" ht="15.75" customHeight="1">
      <c r="A859" s="23">
        <v>42531.0</v>
      </c>
      <c r="B859" s="24">
        <v>5318.9</v>
      </c>
      <c r="C859" s="24">
        <v>5392.5</v>
      </c>
      <c r="D859" s="24">
        <v>5294.2</v>
      </c>
      <c r="E859" s="24">
        <v>5312.6</v>
      </c>
      <c r="F859" s="25">
        <v>2.78359E9</v>
      </c>
      <c r="G859" s="25">
        <v>1.949867E10</v>
      </c>
      <c r="H859" s="3">
        <f t="shared" si="1"/>
        <v>175716.0812</v>
      </c>
    </row>
    <row r="860" ht="15.75" customHeight="1">
      <c r="A860" s="23">
        <v>42538.0</v>
      </c>
      <c r="B860" s="24">
        <v>5312.6</v>
      </c>
      <c r="C860" s="24">
        <v>5312.6</v>
      </c>
      <c r="D860" s="24">
        <v>5141.0</v>
      </c>
      <c r="E860" s="24">
        <v>5162.7</v>
      </c>
      <c r="F860" s="25">
        <v>3.219285E9</v>
      </c>
      <c r="G860" s="25">
        <v>2.096573E10</v>
      </c>
      <c r="H860" s="3">
        <f t="shared" si="1"/>
        <v>170758.0869</v>
      </c>
    </row>
    <row r="861" ht="15.75" customHeight="1">
      <c r="A861" s="23">
        <v>42545.0</v>
      </c>
      <c r="B861" s="24">
        <v>5162.7</v>
      </c>
      <c r="C861" s="24">
        <v>5325.4</v>
      </c>
      <c r="D861" s="24">
        <v>5080.0</v>
      </c>
      <c r="E861" s="24">
        <v>5113.2</v>
      </c>
      <c r="F861" s="25">
        <v>3.224904E9</v>
      </c>
      <c r="G861" s="25">
        <v>2.422124E10</v>
      </c>
      <c r="H861" s="3">
        <f t="shared" si="1"/>
        <v>169120.8573</v>
      </c>
    </row>
    <row r="862" ht="15.75" customHeight="1">
      <c r="A862" s="23">
        <v>42552.0</v>
      </c>
      <c r="B862" s="24">
        <v>5113.2</v>
      </c>
      <c r="C862" s="24">
        <v>5278.9</v>
      </c>
      <c r="D862" s="24">
        <v>5051.0</v>
      </c>
      <c r="E862" s="24">
        <v>5246.6</v>
      </c>
      <c r="F862" s="25">
        <v>3.55367E9</v>
      </c>
      <c r="G862" s="25">
        <v>2.526577E10</v>
      </c>
      <c r="H862" s="3">
        <f t="shared" si="1"/>
        <v>173533.1084</v>
      </c>
    </row>
    <row r="863" ht="15.75" customHeight="1">
      <c r="A863" s="23">
        <v>42559.0</v>
      </c>
      <c r="B863" s="24">
        <v>5246.6</v>
      </c>
      <c r="C863" s="24">
        <v>5282.3</v>
      </c>
      <c r="D863" s="24">
        <v>5148.7</v>
      </c>
      <c r="E863" s="24">
        <v>5230.5</v>
      </c>
      <c r="F863" s="25">
        <v>2.64653E9</v>
      </c>
      <c r="G863" s="25">
        <v>1.89995E10</v>
      </c>
      <c r="H863" s="3">
        <f t="shared" si="1"/>
        <v>173000.5954</v>
      </c>
    </row>
    <row r="864" ht="15.75" customHeight="1">
      <c r="A864" s="23">
        <v>42566.0</v>
      </c>
      <c r="B864" s="24">
        <v>5230.5</v>
      </c>
      <c r="C864" s="24">
        <v>5452.7</v>
      </c>
      <c r="D864" s="24">
        <v>5230.5</v>
      </c>
      <c r="E864" s="24">
        <v>5429.6</v>
      </c>
      <c r="F864" s="25">
        <v>2.651613E9</v>
      </c>
      <c r="G864" s="25">
        <v>1.897337E10</v>
      </c>
      <c r="H864" s="3">
        <f t="shared" si="1"/>
        <v>179585.8967</v>
      </c>
    </row>
    <row r="865" ht="15.75" customHeight="1">
      <c r="A865" s="23">
        <v>42573.0</v>
      </c>
      <c r="B865" s="24">
        <v>5429.6</v>
      </c>
      <c r="C865" s="24">
        <v>5531.9</v>
      </c>
      <c r="D865" s="24">
        <v>5428.9</v>
      </c>
      <c r="E865" s="24">
        <v>5498.2</v>
      </c>
      <c r="F865" s="25">
        <v>2.72311E9</v>
      </c>
      <c r="G865" s="25">
        <v>1.942155E10</v>
      </c>
      <c r="H865" s="3">
        <f t="shared" si="1"/>
        <v>181854.8654</v>
      </c>
    </row>
    <row r="866" ht="15.75" customHeight="1">
      <c r="A866" s="23">
        <v>42580.0</v>
      </c>
      <c r="B866" s="24">
        <v>5498.2</v>
      </c>
      <c r="C866" s="24">
        <v>5570.4</v>
      </c>
      <c r="D866" s="24">
        <v>5498.2</v>
      </c>
      <c r="E866" s="24">
        <v>5562.4</v>
      </c>
      <c r="F866" s="25">
        <v>2.859549E9</v>
      </c>
      <c r="G866" s="25">
        <v>2.280679E10</v>
      </c>
      <c r="H866" s="3">
        <f t="shared" si="1"/>
        <v>183978.3026</v>
      </c>
    </row>
    <row r="867" ht="15.75" customHeight="1">
      <c r="A867" s="23">
        <v>42587.0</v>
      </c>
      <c r="B867" s="24">
        <v>5562.4</v>
      </c>
      <c r="C867" s="24">
        <v>5611.2</v>
      </c>
      <c r="D867" s="24">
        <v>5465.7</v>
      </c>
      <c r="E867" s="24">
        <v>5497.4</v>
      </c>
      <c r="F867" s="25">
        <v>2.760118E9</v>
      </c>
      <c r="G867" s="25">
        <v>1.991949E10</v>
      </c>
      <c r="H867" s="3">
        <f t="shared" si="1"/>
        <v>181828.4051</v>
      </c>
    </row>
    <row r="868" ht="15.75" customHeight="1">
      <c r="A868" s="23">
        <v>42594.0</v>
      </c>
      <c r="B868" s="24">
        <v>5497.4</v>
      </c>
      <c r="C868" s="24">
        <v>5553.8</v>
      </c>
      <c r="D868" s="24">
        <v>5483.7</v>
      </c>
      <c r="E868" s="24">
        <v>5530.9</v>
      </c>
      <c r="F868" s="25">
        <v>2.701534E9</v>
      </c>
      <c r="G868" s="25">
        <v>2.161238E10</v>
      </c>
      <c r="H868" s="3">
        <f t="shared" si="1"/>
        <v>182936.4292</v>
      </c>
    </row>
    <row r="869" ht="15.75" customHeight="1">
      <c r="A869" s="23">
        <v>42601.0</v>
      </c>
      <c r="B869" s="24">
        <v>5530.9</v>
      </c>
      <c r="C869" s="24">
        <v>5549.8</v>
      </c>
      <c r="D869" s="24">
        <v>5498.7</v>
      </c>
      <c r="E869" s="24">
        <v>5526.7</v>
      </c>
      <c r="F869" s="25">
        <v>2.81484E9</v>
      </c>
      <c r="G869" s="25">
        <v>2.159319E10</v>
      </c>
      <c r="H869" s="3">
        <f t="shared" si="1"/>
        <v>182797.5127</v>
      </c>
    </row>
    <row r="870" ht="15.75" customHeight="1">
      <c r="A870" s="23">
        <v>42608.0</v>
      </c>
      <c r="B870" s="24">
        <v>5526.7</v>
      </c>
      <c r="C870" s="24">
        <v>5574.0</v>
      </c>
      <c r="D870" s="24">
        <v>5508.7</v>
      </c>
      <c r="E870" s="24">
        <v>5515.5</v>
      </c>
      <c r="F870" s="25">
        <v>3.046142E9</v>
      </c>
      <c r="G870" s="25">
        <v>2.256667E10</v>
      </c>
      <c r="H870" s="3">
        <f t="shared" si="1"/>
        <v>182427.0689</v>
      </c>
    </row>
    <row r="871" ht="15.75" customHeight="1">
      <c r="A871" s="23">
        <v>42615.0</v>
      </c>
      <c r="B871" s="24">
        <v>5515.5</v>
      </c>
      <c r="C871" s="24">
        <v>5516.7</v>
      </c>
      <c r="D871" s="24">
        <v>5361.7</v>
      </c>
      <c r="E871" s="24">
        <v>5372.8</v>
      </c>
      <c r="F871" s="25">
        <v>3.082719E9</v>
      </c>
      <c r="G871" s="25">
        <v>2.252024E10</v>
      </c>
      <c r="H871" s="3">
        <f t="shared" si="1"/>
        <v>177707.217</v>
      </c>
    </row>
    <row r="872" ht="15.75" customHeight="1">
      <c r="A872" s="23">
        <v>42622.0</v>
      </c>
      <c r="B872" s="24">
        <v>5372.8</v>
      </c>
      <c r="C872" s="24">
        <v>5440.2</v>
      </c>
      <c r="D872" s="24">
        <v>5332.4</v>
      </c>
      <c r="E872" s="24">
        <v>5339.2</v>
      </c>
      <c r="F872" s="25">
        <v>3.110912E9</v>
      </c>
      <c r="G872" s="25">
        <v>2.170335E10</v>
      </c>
      <c r="H872" s="3">
        <f t="shared" si="1"/>
        <v>176595.8854</v>
      </c>
    </row>
    <row r="873" ht="15.75" customHeight="1">
      <c r="A873" s="23">
        <v>42629.0</v>
      </c>
      <c r="B873" s="24">
        <v>5339.2</v>
      </c>
      <c r="C873" s="24">
        <v>5339.2</v>
      </c>
      <c r="D873" s="24">
        <v>5192.2</v>
      </c>
      <c r="E873" s="24">
        <v>5296.7</v>
      </c>
      <c r="F873" s="25">
        <v>3.818024E9</v>
      </c>
      <c r="G873" s="25">
        <v>2.73108E10</v>
      </c>
      <c r="H873" s="3">
        <f t="shared" si="1"/>
        <v>175190.1832</v>
      </c>
    </row>
    <row r="874" ht="15.75" customHeight="1">
      <c r="A874" s="23">
        <v>42636.0</v>
      </c>
      <c r="B874" s="24">
        <v>5296.7</v>
      </c>
      <c r="C874" s="24">
        <v>5434.3</v>
      </c>
      <c r="D874" s="24">
        <v>5273.0</v>
      </c>
      <c r="E874" s="24">
        <v>5431.3</v>
      </c>
      <c r="F874" s="25">
        <v>2.809475E9</v>
      </c>
      <c r="G874" s="25">
        <v>1.988962E10</v>
      </c>
      <c r="H874" s="3">
        <f t="shared" si="1"/>
        <v>179642.1248</v>
      </c>
    </row>
    <row r="875" ht="15.75" customHeight="1">
      <c r="A875" s="23">
        <v>42643.0</v>
      </c>
      <c r="B875" s="24">
        <v>5431.3</v>
      </c>
      <c r="C875" s="24">
        <v>5473.3</v>
      </c>
      <c r="D875" s="24">
        <v>5372.3</v>
      </c>
      <c r="E875" s="24">
        <v>5435.9</v>
      </c>
      <c r="F875" s="25">
        <v>2.929663E9</v>
      </c>
      <c r="G875" s="25">
        <v>2.214596E10</v>
      </c>
      <c r="H875" s="3">
        <f t="shared" si="1"/>
        <v>179794.2714</v>
      </c>
    </row>
    <row r="876" ht="15.75" customHeight="1">
      <c r="A876" s="23">
        <v>42650.0</v>
      </c>
      <c r="B876" s="24">
        <v>5435.9</v>
      </c>
      <c r="C876" s="24">
        <v>5493.1</v>
      </c>
      <c r="D876" s="24">
        <v>5435.9</v>
      </c>
      <c r="E876" s="24">
        <v>5467.4</v>
      </c>
      <c r="F876" s="25">
        <v>2.797313E9</v>
      </c>
      <c r="G876" s="25">
        <v>1.885245E10</v>
      </c>
      <c r="H876" s="3">
        <f t="shared" si="1"/>
        <v>180836.1447</v>
      </c>
    </row>
    <row r="877" ht="15.75" customHeight="1">
      <c r="A877" s="23">
        <v>42657.0</v>
      </c>
      <c r="B877" s="24">
        <v>5467.4</v>
      </c>
      <c r="C877" s="24">
        <v>5498.0</v>
      </c>
      <c r="D877" s="24">
        <v>5420.8</v>
      </c>
      <c r="E877" s="24">
        <v>5434.0</v>
      </c>
      <c r="F877" s="25">
        <v>2.838691E9</v>
      </c>
      <c r="G877" s="25">
        <v>1.937921E10</v>
      </c>
      <c r="H877" s="3">
        <f t="shared" si="1"/>
        <v>179731.4282</v>
      </c>
    </row>
    <row r="878" ht="15.75" customHeight="1">
      <c r="A878" s="23">
        <v>42664.0</v>
      </c>
      <c r="B878" s="24">
        <v>5434.0</v>
      </c>
      <c r="C878" s="24">
        <v>5457.9</v>
      </c>
      <c r="D878" s="24">
        <v>5386.1</v>
      </c>
      <c r="E878" s="24">
        <v>5430.3</v>
      </c>
      <c r="F878" s="25">
        <v>2.884131E9</v>
      </c>
      <c r="G878" s="25">
        <v>1.99058E10</v>
      </c>
      <c r="H878" s="3">
        <f t="shared" si="1"/>
        <v>179609.0494</v>
      </c>
    </row>
    <row r="879" ht="15.75" customHeight="1">
      <c r="A879" s="23">
        <v>42671.0</v>
      </c>
      <c r="B879" s="24">
        <v>5430.3</v>
      </c>
      <c r="C879" s="24">
        <v>5455.7</v>
      </c>
      <c r="D879" s="24">
        <v>5261.4</v>
      </c>
      <c r="E879" s="24">
        <v>5283.8</v>
      </c>
      <c r="F879" s="25">
        <v>3.171519E9</v>
      </c>
      <c r="G879" s="25">
        <v>2.329818E10</v>
      </c>
      <c r="H879" s="3">
        <f t="shared" si="1"/>
        <v>174763.5113</v>
      </c>
    </row>
    <row r="880" ht="15.75" customHeight="1">
      <c r="A880" s="23">
        <v>42678.0</v>
      </c>
      <c r="B880" s="24">
        <v>5283.8</v>
      </c>
      <c r="C880" s="24">
        <v>5329.1</v>
      </c>
      <c r="D880" s="24">
        <v>5178.0</v>
      </c>
      <c r="E880" s="24">
        <v>5180.8</v>
      </c>
      <c r="F880" s="25">
        <v>2.906541E9</v>
      </c>
      <c r="G880" s="25">
        <v>1.942965E10</v>
      </c>
      <c r="H880" s="3">
        <f t="shared" si="1"/>
        <v>171356.7507</v>
      </c>
    </row>
    <row r="881" ht="15.75" customHeight="1">
      <c r="A881" s="23">
        <v>42685.0</v>
      </c>
      <c r="B881" s="24">
        <v>5180.8</v>
      </c>
      <c r="C881" s="24">
        <v>5370.7</v>
      </c>
      <c r="D881" s="24">
        <v>5052.1</v>
      </c>
      <c r="E881" s="24">
        <v>5370.7</v>
      </c>
      <c r="F881" s="25">
        <v>3.936488E9</v>
      </c>
      <c r="G881" s="25">
        <v>2.906212E10</v>
      </c>
      <c r="H881" s="3">
        <f t="shared" si="1"/>
        <v>177637.7588</v>
      </c>
    </row>
    <row r="882" ht="15.75" customHeight="1">
      <c r="A882" s="23">
        <v>42692.0</v>
      </c>
      <c r="B882" s="24">
        <v>5370.7</v>
      </c>
      <c r="C882" s="24">
        <v>5370.7</v>
      </c>
      <c r="D882" s="24">
        <v>5286.2</v>
      </c>
      <c r="E882" s="24">
        <v>5359.4</v>
      </c>
      <c r="F882" s="25">
        <v>3.444248E9</v>
      </c>
      <c r="G882" s="25">
        <v>2.418297E10</v>
      </c>
      <c r="H882" s="3">
        <f t="shared" si="1"/>
        <v>177264.0074</v>
      </c>
    </row>
    <row r="883" ht="15.75" customHeight="1">
      <c r="A883" s="23">
        <v>42699.0</v>
      </c>
      <c r="B883" s="24">
        <v>5359.4</v>
      </c>
      <c r="C883" s="24">
        <v>5520.9</v>
      </c>
      <c r="D883" s="24">
        <v>5334.9</v>
      </c>
      <c r="E883" s="24">
        <v>5507.8</v>
      </c>
      <c r="F883" s="25">
        <v>3.200018E9</v>
      </c>
      <c r="G883" s="25">
        <v>2.307715E10</v>
      </c>
      <c r="H883" s="3">
        <f t="shared" si="1"/>
        <v>182172.3887</v>
      </c>
    </row>
    <row r="884" ht="15.75" customHeight="1">
      <c r="A884" s="23">
        <v>42706.0</v>
      </c>
      <c r="B884" s="24">
        <v>5507.8</v>
      </c>
      <c r="C884" s="24">
        <v>5507.8</v>
      </c>
      <c r="D884" s="24">
        <v>5423.2</v>
      </c>
      <c r="E884" s="24">
        <v>5444.0</v>
      </c>
      <c r="F884" s="25">
        <v>3.799215E9</v>
      </c>
      <c r="G884" s="25">
        <v>2.704517E10</v>
      </c>
      <c r="H884" s="3">
        <f t="shared" si="1"/>
        <v>180062.1816</v>
      </c>
    </row>
    <row r="885" ht="15.75" customHeight="1">
      <c r="A885" s="23">
        <v>42713.0</v>
      </c>
      <c r="B885" s="24">
        <v>5444.0</v>
      </c>
      <c r="C885" s="24">
        <v>5566.1</v>
      </c>
      <c r="D885" s="24">
        <v>5383.8</v>
      </c>
      <c r="E885" s="24">
        <v>5560.6</v>
      </c>
      <c r="F885" s="25">
        <v>3.25322E9</v>
      </c>
      <c r="G885" s="25">
        <v>2.32682E10</v>
      </c>
      <c r="H885" s="3">
        <f t="shared" si="1"/>
        <v>183918.767</v>
      </c>
    </row>
    <row r="886" ht="15.75" customHeight="1">
      <c r="A886" s="23">
        <v>42720.0</v>
      </c>
      <c r="B886" s="24">
        <v>5560.6</v>
      </c>
      <c r="C886" s="24">
        <v>5595.7</v>
      </c>
      <c r="D886" s="24">
        <v>5510.0</v>
      </c>
      <c r="E886" s="24">
        <v>5532.9</v>
      </c>
      <c r="F886" s="25">
        <v>3.937451E9</v>
      </c>
      <c r="G886" s="25">
        <v>2.68004E10</v>
      </c>
      <c r="H886" s="3">
        <f t="shared" si="1"/>
        <v>183002.5799</v>
      </c>
    </row>
    <row r="887" ht="15.75" customHeight="1">
      <c r="A887" s="23">
        <v>42727.0</v>
      </c>
      <c r="B887" s="24">
        <v>5532.9</v>
      </c>
      <c r="C887" s="24">
        <v>5649.8</v>
      </c>
      <c r="D887" s="24">
        <v>5530.9</v>
      </c>
      <c r="E887" s="24">
        <v>5627.9</v>
      </c>
      <c r="F887" s="25">
        <v>2.704509E9</v>
      </c>
      <c r="G887" s="25">
        <v>2.05129E10</v>
      </c>
      <c r="H887" s="3">
        <f t="shared" si="1"/>
        <v>186144.7377</v>
      </c>
    </row>
    <row r="888" ht="15.75" customHeight="1">
      <c r="A888" s="23">
        <v>42734.0</v>
      </c>
      <c r="B888" s="24">
        <v>5627.9</v>
      </c>
      <c r="C888" s="24">
        <v>5699.1</v>
      </c>
      <c r="D888" s="24">
        <v>5627.9</v>
      </c>
      <c r="E888" s="24">
        <v>5665.8</v>
      </c>
      <c r="F888" s="25">
        <v>9.962145E8</v>
      </c>
      <c r="G888" s="25">
        <v>7.206827E9</v>
      </c>
      <c r="H888" s="3">
        <f t="shared" si="1"/>
        <v>187398.2933</v>
      </c>
    </row>
    <row r="889" ht="15.75" customHeight="1">
      <c r="A889" s="23">
        <v>42741.0</v>
      </c>
      <c r="B889" s="24">
        <v>5667.4</v>
      </c>
      <c r="C889" s="24">
        <v>5765.2</v>
      </c>
      <c r="D889" s="24">
        <v>5667.4</v>
      </c>
      <c r="E889" s="24">
        <v>5755.6</v>
      </c>
      <c r="F889" s="25">
        <v>1.691182E9</v>
      </c>
      <c r="G889" s="25">
        <v>1.222461E10</v>
      </c>
      <c r="H889" s="3">
        <f t="shared" si="1"/>
        <v>190368.4594</v>
      </c>
    </row>
    <row r="890" ht="15.75" customHeight="1">
      <c r="A890" s="23">
        <v>42748.0</v>
      </c>
      <c r="B890" s="24">
        <v>5755.6</v>
      </c>
      <c r="C890" s="24">
        <v>5827.5</v>
      </c>
      <c r="D890" s="24">
        <v>5710.0</v>
      </c>
      <c r="E890" s="24">
        <v>5721.1</v>
      </c>
      <c r="F890" s="25">
        <v>2.762164E9</v>
      </c>
      <c r="G890" s="25">
        <v>1.986359E10</v>
      </c>
      <c r="H890" s="3">
        <f t="shared" si="1"/>
        <v>189227.3599</v>
      </c>
    </row>
    <row r="891" ht="15.75" customHeight="1">
      <c r="A891" s="23">
        <v>42755.0</v>
      </c>
      <c r="B891" s="24">
        <v>5721.1</v>
      </c>
      <c r="C891" s="24">
        <v>5763.4</v>
      </c>
      <c r="D891" s="24">
        <v>5646.6</v>
      </c>
      <c r="E891" s="24">
        <v>5654.8</v>
      </c>
      <c r="F891" s="25">
        <v>2.67162E9</v>
      </c>
      <c r="G891" s="25">
        <v>1.903384E10</v>
      </c>
      <c r="H891" s="3">
        <f t="shared" si="1"/>
        <v>187034.4645</v>
      </c>
    </row>
    <row r="892" ht="15.75" customHeight="1">
      <c r="A892" s="23">
        <v>42762.0</v>
      </c>
      <c r="B892" s="24">
        <v>5654.8</v>
      </c>
      <c r="C892" s="24">
        <v>5714.2</v>
      </c>
      <c r="D892" s="24">
        <v>5604.3</v>
      </c>
      <c r="E892" s="24">
        <v>5714.0</v>
      </c>
      <c r="F892" s="25">
        <v>2.345757E9</v>
      </c>
      <c r="G892" s="25">
        <v>1.875495E10</v>
      </c>
      <c r="H892" s="3">
        <f t="shared" si="1"/>
        <v>188992.525</v>
      </c>
    </row>
    <row r="893" ht="15.75" customHeight="1">
      <c r="A893" s="23">
        <v>42769.0</v>
      </c>
      <c r="B893" s="24">
        <v>5714.0</v>
      </c>
      <c r="C893" s="24">
        <v>5714.0</v>
      </c>
      <c r="D893" s="24">
        <v>5606.2</v>
      </c>
      <c r="E893" s="24">
        <v>5621.6</v>
      </c>
      <c r="F893" s="25">
        <v>2.930653E9</v>
      </c>
      <c r="G893" s="25">
        <v>2.067729E10</v>
      </c>
      <c r="H893" s="3">
        <f t="shared" si="1"/>
        <v>185936.363</v>
      </c>
    </row>
    <row r="894" ht="15.75" customHeight="1">
      <c r="A894" s="23">
        <v>42776.0</v>
      </c>
      <c r="B894" s="24">
        <v>5621.6</v>
      </c>
      <c r="C894" s="24">
        <v>5721.4</v>
      </c>
      <c r="D894" s="24">
        <v>5582.7</v>
      </c>
      <c r="E894" s="24">
        <v>5720.6</v>
      </c>
      <c r="F894" s="25">
        <v>2.924031E9</v>
      </c>
      <c r="G894" s="25">
        <v>2.108027E10</v>
      </c>
      <c r="H894" s="3">
        <f t="shared" si="1"/>
        <v>189210.8223</v>
      </c>
    </row>
    <row r="895" ht="15.75" customHeight="1">
      <c r="A895" s="23">
        <v>42783.0</v>
      </c>
      <c r="B895" s="24">
        <v>5720.6</v>
      </c>
      <c r="C895" s="24">
        <v>5833.2</v>
      </c>
      <c r="D895" s="24">
        <v>5720.6</v>
      </c>
      <c r="E895" s="24">
        <v>5805.8</v>
      </c>
      <c r="F895" s="25">
        <v>3.247702E9</v>
      </c>
      <c r="G895" s="25">
        <v>2.496818E10</v>
      </c>
      <c r="H895" s="3">
        <f t="shared" si="1"/>
        <v>192028.8417</v>
      </c>
    </row>
    <row r="896" ht="15.75" customHeight="1">
      <c r="A896" s="23">
        <v>42790.0</v>
      </c>
      <c r="B896" s="24">
        <v>5805.8</v>
      </c>
      <c r="C896" s="24">
        <v>5810.1</v>
      </c>
      <c r="D896" s="24">
        <v>5729.9</v>
      </c>
      <c r="E896" s="24">
        <v>5739.0</v>
      </c>
      <c r="F896" s="25">
        <v>3.617232E9</v>
      </c>
      <c r="G896" s="25">
        <v>2.786686E10</v>
      </c>
      <c r="H896" s="3">
        <f t="shared" si="1"/>
        <v>189819.4086</v>
      </c>
    </row>
    <row r="897" ht="15.75" customHeight="1">
      <c r="A897" s="23">
        <v>42797.0</v>
      </c>
      <c r="B897" s="24">
        <v>5739.0</v>
      </c>
      <c r="C897" s="24">
        <v>5776.6</v>
      </c>
      <c r="D897" s="24">
        <v>5675.0</v>
      </c>
      <c r="E897" s="24">
        <v>5729.6</v>
      </c>
      <c r="F897" s="25">
        <v>3.834069E9</v>
      </c>
      <c r="G897" s="25">
        <v>2.622225E10</v>
      </c>
      <c r="H897" s="3">
        <f t="shared" si="1"/>
        <v>189508.5004</v>
      </c>
    </row>
    <row r="898" ht="15.75" customHeight="1">
      <c r="A898" s="23">
        <v>42804.0</v>
      </c>
      <c r="B898" s="24">
        <v>5729.6</v>
      </c>
      <c r="C898" s="24">
        <v>5781.2</v>
      </c>
      <c r="D898" s="24">
        <v>5715.5</v>
      </c>
      <c r="E898" s="24">
        <v>5775.6</v>
      </c>
      <c r="F898" s="25">
        <v>3.105478E9</v>
      </c>
      <c r="G898" s="25">
        <v>2.053898E10</v>
      </c>
      <c r="H898" s="3">
        <f t="shared" si="1"/>
        <v>191029.9663</v>
      </c>
    </row>
    <row r="899" ht="15.75" customHeight="1">
      <c r="A899" s="23">
        <v>42811.0</v>
      </c>
      <c r="B899" s="24">
        <v>5775.6</v>
      </c>
      <c r="C899" s="24">
        <v>5815.0</v>
      </c>
      <c r="D899" s="24">
        <v>5727.7</v>
      </c>
      <c r="E899" s="24">
        <v>5799.6</v>
      </c>
      <c r="F899" s="25">
        <v>3.745836E9</v>
      </c>
      <c r="G899" s="25">
        <v>2.693772E10</v>
      </c>
      <c r="H899" s="3">
        <f t="shared" si="1"/>
        <v>191823.7746</v>
      </c>
    </row>
    <row r="900" ht="15.75" customHeight="1">
      <c r="A900" s="23">
        <v>42818.0</v>
      </c>
      <c r="B900" s="24">
        <v>5799.6</v>
      </c>
      <c r="C900" s="24">
        <v>5799.6</v>
      </c>
      <c r="D900" s="24">
        <v>5681.0</v>
      </c>
      <c r="E900" s="24">
        <v>5753.5</v>
      </c>
      <c r="F900" s="25">
        <v>3.148801E9</v>
      </c>
      <c r="G900" s="25">
        <v>2.068998E10</v>
      </c>
      <c r="H900" s="3">
        <f t="shared" si="1"/>
        <v>190299.0011</v>
      </c>
    </row>
    <row r="901" ht="15.75" customHeight="1">
      <c r="A901" s="23">
        <v>42825.0</v>
      </c>
      <c r="B901" s="24">
        <v>5753.5</v>
      </c>
      <c r="C901" s="24">
        <v>5901.5</v>
      </c>
      <c r="D901" s="24">
        <v>5698.1</v>
      </c>
      <c r="E901" s="24">
        <v>5864.9</v>
      </c>
      <c r="F901" s="25">
        <v>3.207492E9</v>
      </c>
      <c r="G901" s="25">
        <v>2.391603E10</v>
      </c>
      <c r="H901" s="3">
        <f t="shared" si="1"/>
        <v>193983.5946</v>
      </c>
    </row>
    <row r="902" ht="15.75" customHeight="1">
      <c r="A902" s="23">
        <v>42832.0</v>
      </c>
      <c r="B902" s="24">
        <v>5864.9</v>
      </c>
      <c r="C902" s="24">
        <v>5888.6</v>
      </c>
      <c r="D902" s="24">
        <v>5833.0</v>
      </c>
      <c r="E902" s="24">
        <v>5862.5</v>
      </c>
      <c r="F902" s="25">
        <v>2.810702E9</v>
      </c>
      <c r="G902" s="25">
        <v>1.939715E10</v>
      </c>
      <c r="H902" s="3">
        <f t="shared" si="1"/>
        <v>193904.2138</v>
      </c>
    </row>
    <row r="903" ht="15.75" customHeight="1">
      <c r="A903" s="23">
        <v>42838.0</v>
      </c>
      <c r="B903" s="24">
        <v>5862.5</v>
      </c>
      <c r="C903" s="24">
        <v>5950.1</v>
      </c>
      <c r="D903" s="24">
        <v>5862.5</v>
      </c>
      <c r="E903" s="24">
        <v>5890.0</v>
      </c>
      <c r="F903" s="25">
        <v>2.531033E9</v>
      </c>
      <c r="G903" s="25">
        <v>1.812645E10</v>
      </c>
      <c r="H903" s="3">
        <f t="shared" si="1"/>
        <v>194813.7858</v>
      </c>
    </row>
    <row r="904" ht="15.75" customHeight="1">
      <c r="A904" s="23">
        <v>42846.0</v>
      </c>
      <c r="B904" s="24">
        <v>5889.9</v>
      </c>
      <c r="C904" s="24">
        <v>5889.9</v>
      </c>
      <c r="D904" s="24">
        <v>5790.6</v>
      </c>
      <c r="E904" s="24">
        <v>5854.1</v>
      </c>
      <c r="F904" s="25">
        <v>2.747206E9</v>
      </c>
      <c r="G904" s="25">
        <v>1.91727E10</v>
      </c>
      <c r="H904" s="3">
        <f t="shared" si="1"/>
        <v>193626.3809</v>
      </c>
    </row>
    <row r="905" ht="15.75" customHeight="1">
      <c r="A905" s="23">
        <v>42853.0</v>
      </c>
      <c r="B905" s="24">
        <v>5854.1</v>
      </c>
      <c r="C905" s="24">
        <v>5924.2</v>
      </c>
      <c r="D905" s="24">
        <v>5853.8</v>
      </c>
      <c r="E905" s="24">
        <v>5924.1</v>
      </c>
      <c r="F905" s="25">
        <v>2.452967E9</v>
      </c>
      <c r="G905" s="25">
        <v>1.922471E10</v>
      </c>
      <c r="H905" s="3">
        <f t="shared" si="1"/>
        <v>195941.6551</v>
      </c>
    </row>
    <row r="906" ht="15.75" customHeight="1">
      <c r="A906" s="23">
        <v>42860.0</v>
      </c>
      <c r="B906" s="24">
        <v>5924.1</v>
      </c>
      <c r="C906" s="24">
        <v>5956.5</v>
      </c>
      <c r="D906" s="24">
        <v>5827.2</v>
      </c>
      <c r="E906" s="24">
        <v>5836.6</v>
      </c>
      <c r="F906" s="25">
        <v>3.542467E9</v>
      </c>
      <c r="G906" s="25">
        <v>2.646832E10</v>
      </c>
      <c r="H906" s="3">
        <f t="shared" si="1"/>
        <v>193047.5623</v>
      </c>
    </row>
    <row r="907" ht="15.75" customHeight="1">
      <c r="A907" s="23">
        <v>42867.0</v>
      </c>
      <c r="B907" s="24">
        <v>5836.6</v>
      </c>
      <c r="C907" s="24">
        <v>5922.5</v>
      </c>
      <c r="D907" s="24">
        <v>5815.6</v>
      </c>
      <c r="E907" s="24">
        <v>5836.9</v>
      </c>
      <c r="F907" s="25">
        <v>3.510308E9</v>
      </c>
      <c r="G907" s="25">
        <v>2.756432E10</v>
      </c>
      <c r="H907" s="3">
        <f t="shared" si="1"/>
        <v>193057.485</v>
      </c>
    </row>
    <row r="908" ht="15.75" customHeight="1">
      <c r="A908" s="23">
        <v>42874.0</v>
      </c>
      <c r="B908" s="24">
        <v>5836.9</v>
      </c>
      <c r="C908" s="24">
        <v>5871.6</v>
      </c>
      <c r="D908" s="24">
        <v>5697.6</v>
      </c>
      <c r="E908" s="24">
        <v>5727.4</v>
      </c>
      <c r="F908" s="25">
        <v>3.264656E9</v>
      </c>
      <c r="G908" s="25">
        <v>2.421623E10</v>
      </c>
      <c r="H908" s="3">
        <f t="shared" si="1"/>
        <v>189435.7346</v>
      </c>
    </row>
    <row r="909" ht="15.75" customHeight="1">
      <c r="A909" s="23">
        <v>42881.0</v>
      </c>
      <c r="B909" s="24">
        <v>5727.4</v>
      </c>
      <c r="C909" s="24">
        <v>5795.7</v>
      </c>
      <c r="D909" s="24">
        <v>5727.4</v>
      </c>
      <c r="E909" s="24">
        <v>5751.7</v>
      </c>
      <c r="F909" s="25">
        <v>3.031933E9</v>
      </c>
      <c r="G909" s="25">
        <v>2.312721E10</v>
      </c>
      <c r="H909" s="3">
        <f t="shared" si="1"/>
        <v>190239.4655</v>
      </c>
    </row>
    <row r="910" ht="15.75" customHeight="1">
      <c r="A910" s="23">
        <v>42888.0</v>
      </c>
      <c r="B910" s="24">
        <v>5751.2</v>
      </c>
      <c r="C910" s="24">
        <v>5793.7</v>
      </c>
      <c r="D910" s="24">
        <v>5679.8</v>
      </c>
      <c r="E910" s="24">
        <v>5788.1</v>
      </c>
      <c r="F910" s="25">
        <v>3.138476E9</v>
      </c>
      <c r="G910" s="25">
        <v>2.469448E10</v>
      </c>
      <c r="H910" s="3">
        <f t="shared" si="1"/>
        <v>191443.4081</v>
      </c>
    </row>
    <row r="911" ht="15.75" customHeight="1">
      <c r="A911" s="23">
        <v>42895.0</v>
      </c>
      <c r="B911" s="24">
        <v>5788.1</v>
      </c>
      <c r="C911" s="24">
        <v>5788.1</v>
      </c>
      <c r="D911" s="24">
        <v>5629.8</v>
      </c>
      <c r="E911" s="24">
        <v>5677.8</v>
      </c>
      <c r="F911" s="25">
        <v>3.123952E9</v>
      </c>
      <c r="G911" s="25">
        <v>2.341164E10</v>
      </c>
      <c r="H911" s="3">
        <f t="shared" si="1"/>
        <v>187795.1975</v>
      </c>
    </row>
    <row r="912" ht="15.75" customHeight="1">
      <c r="A912" s="23">
        <v>42902.0</v>
      </c>
      <c r="B912" s="24">
        <v>5677.8</v>
      </c>
      <c r="C912" s="24">
        <v>5836.4</v>
      </c>
      <c r="D912" s="24">
        <v>5677.8</v>
      </c>
      <c r="E912" s="24">
        <v>5774.0</v>
      </c>
      <c r="F912" s="25">
        <v>3.985856E9</v>
      </c>
      <c r="G912" s="25">
        <v>3.029154E10</v>
      </c>
      <c r="H912" s="3">
        <f t="shared" si="1"/>
        <v>190977.0457</v>
      </c>
    </row>
    <row r="913" ht="15.75" customHeight="1">
      <c r="A913" s="23">
        <v>42909.0</v>
      </c>
      <c r="B913" s="24">
        <v>5774.0</v>
      </c>
      <c r="C913" s="24">
        <v>5809.3</v>
      </c>
      <c r="D913" s="24">
        <v>5665.3</v>
      </c>
      <c r="E913" s="24">
        <v>5715.9</v>
      </c>
      <c r="F913" s="25">
        <v>3.036077E9</v>
      </c>
      <c r="G913" s="25">
        <v>2.277997E10</v>
      </c>
      <c r="H913" s="3">
        <f t="shared" si="1"/>
        <v>189055.3681</v>
      </c>
    </row>
    <row r="914" ht="15.75" customHeight="1">
      <c r="A914" s="23">
        <v>42916.0</v>
      </c>
      <c r="B914" s="24">
        <v>5715.9</v>
      </c>
      <c r="C914" s="24">
        <v>5819.7</v>
      </c>
      <c r="D914" s="24">
        <v>5685.2</v>
      </c>
      <c r="E914" s="24">
        <v>5721.5</v>
      </c>
      <c r="F914" s="25">
        <v>3.356918E9</v>
      </c>
      <c r="G914" s="25">
        <v>2.577813E10</v>
      </c>
      <c r="H914" s="3">
        <f t="shared" si="1"/>
        <v>189240.5901</v>
      </c>
    </row>
    <row r="915" ht="15.75" customHeight="1">
      <c r="A915" s="23">
        <v>42923.0</v>
      </c>
      <c r="B915" s="24">
        <v>5721.5</v>
      </c>
      <c r="C915" s="24">
        <v>5792.0</v>
      </c>
      <c r="D915" s="24">
        <v>5676.0</v>
      </c>
      <c r="E915" s="24">
        <v>5703.6</v>
      </c>
      <c r="F915" s="25">
        <v>2.882244E9</v>
      </c>
      <c r="G915" s="25">
        <v>2.158913E10</v>
      </c>
      <c r="H915" s="3">
        <f t="shared" si="1"/>
        <v>188648.5414</v>
      </c>
    </row>
    <row r="916" ht="15.75" customHeight="1">
      <c r="A916" s="23">
        <v>42930.0</v>
      </c>
      <c r="B916" s="24">
        <v>5703.6</v>
      </c>
      <c r="C916" s="24">
        <v>5778.8</v>
      </c>
      <c r="D916" s="24">
        <v>5665.6</v>
      </c>
      <c r="E916" s="24">
        <v>5765.1</v>
      </c>
      <c r="F916" s="25">
        <v>2.771025E9</v>
      </c>
      <c r="G916" s="25">
        <v>2.098548E10</v>
      </c>
      <c r="H916" s="3">
        <f t="shared" si="1"/>
        <v>190682.6751</v>
      </c>
    </row>
    <row r="917" ht="15.75" customHeight="1">
      <c r="A917" s="23">
        <v>42937.0</v>
      </c>
      <c r="B917" s="24">
        <v>5765.1</v>
      </c>
      <c r="C917" s="24">
        <v>5773.7</v>
      </c>
      <c r="D917" s="24">
        <v>5678.7</v>
      </c>
      <c r="E917" s="24">
        <v>5722.8</v>
      </c>
      <c r="F917" s="25">
        <v>2.799117E9</v>
      </c>
      <c r="G917" s="25">
        <v>2.146667E10</v>
      </c>
      <c r="H917" s="3">
        <f t="shared" si="1"/>
        <v>189283.588</v>
      </c>
    </row>
    <row r="918" ht="15.75" customHeight="1">
      <c r="A918" s="23">
        <v>42944.0</v>
      </c>
      <c r="B918" s="24">
        <v>5722.8</v>
      </c>
      <c r="C918" s="24">
        <v>5799.6</v>
      </c>
      <c r="D918" s="24">
        <v>5653.3</v>
      </c>
      <c r="E918" s="24">
        <v>5702.8</v>
      </c>
      <c r="F918" s="25">
        <v>2.791129E9</v>
      </c>
      <c r="G918" s="25">
        <v>2.064226E10</v>
      </c>
      <c r="H918" s="3">
        <f t="shared" si="1"/>
        <v>188622.0811</v>
      </c>
    </row>
    <row r="919" ht="15.75" customHeight="1">
      <c r="A919" s="23">
        <v>42951.0</v>
      </c>
      <c r="B919" s="24">
        <v>5702.8</v>
      </c>
      <c r="C919" s="24">
        <v>5779.6</v>
      </c>
      <c r="D919" s="24">
        <v>5701.8</v>
      </c>
      <c r="E919" s="24">
        <v>5720.6</v>
      </c>
      <c r="F919" s="25">
        <v>2.855582E9</v>
      </c>
      <c r="G919" s="25">
        <v>2.116445E10</v>
      </c>
      <c r="H919" s="3">
        <f t="shared" si="1"/>
        <v>189210.8223</v>
      </c>
    </row>
    <row r="920" ht="15.75" customHeight="1">
      <c r="A920" s="23">
        <v>42958.0</v>
      </c>
      <c r="B920" s="24">
        <v>5720.6</v>
      </c>
      <c r="C920" s="24">
        <v>5795.5</v>
      </c>
      <c r="D920" s="24">
        <v>5674.0</v>
      </c>
      <c r="E920" s="24">
        <v>5693.1</v>
      </c>
      <c r="F920" s="25">
        <v>2.553893E9</v>
      </c>
      <c r="G920" s="25">
        <v>1.968493E10</v>
      </c>
      <c r="H920" s="3">
        <f t="shared" si="1"/>
        <v>188301.2502</v>
      </c>
    </row>
    <row r="921" ht="15.75" customHeight="1">
      <c r="A921" s="23">
        <v>42965.0</v>
      </c>
      <c r="B921" s="24">
        <v>5693.1</v>
      </c>
      <c r="C921" s="24">
        <v>5806.3</v>
      </c>
      <c r="D921" s="24">
        <v>5693.1</v>
      </c>
      <c r="E921" s="24">
        <v>5747.1</v>
      </c>
      <c r="F921" s="25">
        <v>2.922916E9</v>
      </c>
      <c r="G921" s="25">
        <v>2.285073E10</v>
      </c>
      <c r="H921" s="3">
        <f t="shared" si="1"/>
        <v>190087.3189</v>
      </c>
    </row>
    <row r="922" ht="15.75" customHeight="1">
      <c r="A922" s="23">
        <v>42972.0</v>
      </c>
      <c r="B922" s="24">
        <v>5747.1</v>
      </c>
      <c r="C922" s="24">
        <v>5781.4</v>
      </c>
      <c r="D922" s="24">
        <v>5699.0</v>
      </c>
      <c r="E922" s="24">
        <v>5743.9</v>
      </c>
      <c r="F922" s="25">
        <v>3.447908E9</v>
      </c>
      <c r="G922" s="25">
        <v>2.525805E10</v>
      </c>
      <c r="H922" s="3">
        <f t="shared" si="1"/>
        <v>189981.4778</v>
      </c>
    </row>
    <row r="923" ht="15.75" customHeight="1">
      <c r="A923" s="23">
        <v>42979.0</v>
      </c>
      <c r="B923" s="24">
        <v>5743.9</v>
      </c>
      <c r="C923" s="24">
        <v>5746.3</v>
      </c>
      <c r="D923" s="24">
        <v>5645.8</v>
      </c>
      <c r="E923" s="24">
        <v>5724.6</v>
      </c>
      <c r="F923" s="25">
        <v>3.247003E9</v>
      </c>
      <c r="G923" s="25">
        <v>2.327411E10</v>
      </c>
      <c r="H923" s="3">
        <f t="shared" si="1"/>
        <v>189343.1236</v>
      </c>
    </row>
    <row r="924" ht="15.75" customHeight="1">
      <c r="A924" s="23">
        <v>42986.0</v>
      </c>
      <c r="B924" s="24">
        <v>5724.6</v>
      </c>
      <c r="C924" s="24">
        <v>5724.6</v>
      </c>
      <c r="D924" s="24">
        <v>5661.4</v>
      </c>
      <c r="E924" s="24">
        <v>5672.6</v>
      </c>
      <c r="F924" s="25">
        <v>2.532235E9</v>
      </c>
      <c r="G924" s="25">
        <v>1.906586E10</v>
      </c>
      <c r="H924" s="3">
        <f t="shared" si="1"/>
        <v>187623.2057</v>
      </c>
    </row>
    <row r="925" ht="15.75" customHeight="1">
      <c r="A925" s="23">
        <v>42993.0</v>
      </c>
      <c r="B925" s="24">
        <v>5672.8</v>
      </c>
      <c r="C925" s="24">
        <v>5777.7</v>
      </c>
      <c r="D925" s="24">
        <v>5669.8</v>
      </c>
      <c r="E925" s="24">
        <v>5695.0</v>
      </c>
      <c r="F925" s="25">
        <v>2.771038E9</v>
      </c>
      <c r="G925" s="25">
        <v>2.089258E10</v>
      </c>
      <c r="H925" s="3">
        <f t="shared" si="1"/>
        <v>188364.0934</v>
      </c>
    </row>
    <row r="926" ht="15.75" customHeight="1">
      <c r="A926" s="23">
        <v>43000.0</v>
      </c>
      <c r="B926" s="24">
        <v>5695.0</v>
      </c>
      <c r="C926" s="24">
        <v>5742.2</v>
      </c>
      <c r="D926" s="24">
        <v>5639.4</v>
      </c>
      <c r="E926" s="24">
        <v>5682.1</v>
      </c>
      <c r="F926" s="25">
        <v>2.63379E9</v>
      </c>
      <c r="G926" s="25">
        <v>1.990206E10</v>
      </c>
      <c r="H926" s="3">
        <f t="shared" si="1"/>
        <v>187937.4214</v>
      </c>
    </row>
    <row r="927" ht="15.75" customHeight="1">
      <c r="A927" s="23">
        <v>43007.0</v>
      </c>
      <c r="B927" s="24">
        <v>5682.1</v>
      </c>
      <c r="C927" s="24">
        <v>5710.4</v>
      </c>
      <c r="D927" s="24">
        <v>5649.1</v>
      </c>
      <c r="E927" s="24">
        <v>5681.6</v>
      </c>
      <c r="F927" s="25">
        <v>2.589911E9</v>
      </c>
      <c r="G927" s="25">
        <v>2.08585E10</v>
      </c>
      <c r="H927" s="3">
        <f t="shared" si="1"/>
        <v>187920.8838</v>
      </c>
    </row>
    <row r="928" ht="15.75" customHeight="1">
      <c r="A928" s="23">
        <v>43014.0</v>
      </c>
      <c r="B928" s="24">
        <v>5681.6</v>
      </c>
      <c r="C928" s="24">
        <v>5751.0</v>
      </c>
      <c r="D928" s="24">
        <v>5650.9</v>
      </c>
      <c r="E928" s="24">
        <v>5710.7</v>
      </c>
      <c r="F928" s="25">
        <v>2.289661E9</v>
      </c>
      <c r="G928" s="25">
        <v>1.659669E10</v>
      </c>
      <c r="H928" s="3">
        <f t="shared" si="1"/>
        <v>188883.3763</v>
      </c>
    </row>
    <row r="929" ht="15.75" customHeight="1">
      <c r="A929" s="23">
        <v>43021.0</v>
      </c>
      <c r="B929" s="24">
        <v>5710.8</v>
      </c>
      <c r="C929" s="24">
        <v>5825.2</v>
      </c>
      <c r="D929" s="24">
        <v>5710.8</v>
      </c>
      <c r="E929" s="24">
        <v>5814.2</v>
      </c>
      <c r="F929" s="25">
        <v>2.323485E9</v>
      </c>
      <c r="G929" s="25">
        <v>1.749385E10</v>
      </c>
      <c r="H929" s="3">
        <f t="shared" si="1"/>
        <v>192306.6746</v>
      </c>
    </row>
    <row r="930" ht="15.75" customHeight="1">
      <c r="A930" s="23">
        <v>43028.0</v>
      </c>
      <c r="B930" s="24">
        <v>5814.2</v>
      </c>
      <c r="C930" s="24">
        <v>5924.9</v>
      </c>
      <c r="D930" s="24">
        <v>5814.2</v>
      </c>
      <c r="E930" s="24">
        <v>5907.0</v>
      </c>
      <c r="F930" s="25">
        <v>2.625644E9</v>
      </c>
      <c r="G930" s="25">
        <v>2.004434E10</v>
      </c>
      <c r="H930" s="3">
        <f t="shared" si="1"/>
        <v>195376.0667</v>
      </c>
    </row>
    <row r="931" ht="15.75" customHeight="1">
      <c r="A931" s="23">
        <v>43035.0</v>
      </c>
      <c r="B931" s="24">
        <v>5907.0</v>
      </c>
      <c r="C931" s="24">
        <v>5938.1</v>
      </c>
      <c r="D931" s="24">
        <v>5859.2</v>
      </c>
      <c r="E931" s="24">
        <v>5903.2</v>
      </c>
      <c r="F931" s="25">
        <v>2.662808E9</v>
      </c>
      <c r="G931" s="25">
        <v>2.056797E10</v>
      </c>
      <c r="H931" s="3">
        <f t="shared" si="1"/>
        <v>195250.3804</v>
      </c>
    </row>
    <row r="932" ht="15.75" customHeight="1">
      <c r="A932" s="23">
        <v>43042.0</v>
      </c>
      <c r="B932" s="24">
        <v>5903.6</v>
      </c>
      <c r="C932" s="24">
        <v>5968.2</v>
      </c>
      <c r="D932" s="24">
        <v>5903.6</v>
      </c>
      <c r="E932" s="24">
        <v>5959.9</v>
      </c>
      <c r="F932" s="25">
        <v>2.61886E9</v>
      </c>
      <c r="G932" s="25">
        <v>2.058366E10</v>
      </c>
      <c r="H932" s="3">
        <f t="shared" si="1"/>
        <v>197125.7525</v>
      </c>
    </row>
    <row r="933" ht="15.75" customHeight="1">
      <c r="A933" s="23">
        <v>43049.0</v>
      </c>
      <c r="B933" s="24">
        <v>5959.9</v>
      </c>
      <c r="C933" s="24">
        <v>6052.1</v>
      </c>
      <c r="D933" s="24">
        <v>5945.7</v>
      </c>
      <c r="E933" s="24">
        <v>6029.4</v>
      </c>
      <c r="F933" s="25">
        <v>2.438894E9</v>
      </c>
      <c r="G933" s="25">
        <v>2.076067E10</v>
      </c>
      <c r="H933" s="3">
        <f t="shared" si="1"/>
        <v>199424.489</v>
      </c>
    </row>
    <row r="934" ht="15.75" customHeight="1">
      <c r="A934" s="23">
        <v>43056.0</v>
      </c>
      <c r="B934" s="24">
        <v>6029.4</v>
      </c>
      <c r="C934" s="24">
        <v>6029.4</v>
      </c>
      <c r="D934" s="24">
        <v>5916.1</v>
      </c>
      <c r="E934" s="24">
        <v>5957.3</v>
      </c>
      <c r="F934" s="25">
        <v>2.70391E9</v>
      </c>
      <c r="G934" s="25">
        <v>2.342255E10</v>
      </c>
      <c r="H934" s="3">
        <f t="shared" si="1"/>
        <v>197039.7566</v>
      </c>
    </row>
    <row r="935" ht="15.75" customHeight="1">
      <c r="A935" s="23">
        <v>43063.0</v>
      </c>
      <c r="B935" s="24">
        <v>5957.3</v>
      </c>
      <c r="C935" s="24">
        <v>5998.1</v>
      </c>
      <c r="D935" s="24">
        <v>5922.6</v>
      </c>
      <c r="E935" s="24">
        <v>5982.6</v>
      </c>
      <c r="F935" s="25">
        <v>2.428465E9</v>
      </c>
      <c r="G935" s="25">
        <v>2.115748E10</v>
      </c>
      <c r="H935" s="3">
        <f t="shared" si="1"/>
        <v>197876.5628</v>
      </c>
    </row>
    <row r="936" ht="15.75" customHeight="1">
      <c r="A936" s="23">
        <v>43070.0</v>
      </c>
      <c r="B936" s="24">
        <v>5982.6</v>
      </c>
      <c r="C936" s="24">
        <v>6031.4</v>
      </c>
      <c r="D936" s="24">
        <v>5949.2</v>
      </c>
      <c r="E936" s="24">
        <v>5989.8</v>
      </c>
      <c r="F936" s="25">
        <v>3.02812E9</v>
      </c>
      <c r="G936" s="25">
        <v>2.527572E10</v>
      </c>
      <c r="H936" s="3">
        <f t="shared" si="1"/>
        <v>198114.7053</v>
      </c>
    </row>
    <row r="937" ht="15.75" customHeight="1">
      <c r="A937" s="23">
        <v>43077.0</v>
      </c>
      <c r="B937" s="24">
        <v>5989.8</v>
      </c>
      <c r="C937" s="24">
        <v>6012.0</v>
      </c>
      <c r="D937" s="24">
        <v>5938.7</v>
      </c>
      <c r="E937" s="24">
        <v>5994.4</v>
      </c>
      <c r="F937" s="25">
        <v>2.747216E9</v>
      </c>
      <c r="G937" s="25">
        <v>2.163544E10</v>
      </c>
      <c r="H937" s="3">
        <f t="shared" si="1"/>
        <v>198266.8519</v>
      </c>
    </row>
    <row r="938" ht="15.75" customHeight="1">
      <c r="A938" s="23">
        <v>43084.0</v>
      </c>
      <c r="B938" s="24">
        <v>5994.4</v>
      </c>
      <c r="C938" s="24">
        <v>6043.4</v>
      </c>
      <c r="D938" s="24">
        <v>5989.8</v>
      </c>
      <c r="E938" s="24">
        <v>5997.0</v>
      </c>
      <c r="F938" s="25">
        <v>3.345833E9</v>
      </c>
      <c r="G938" s="25">
        <v>2.485733E10</v>
      </c>
      <c r="H938" s="3">
        <f t="shared" si="1"/>
        <v>198352.8478</v>
      </c>
    </row>
    <row r="939" ht="15.75" customHeight="1">
      <c r="A939" s="23">
        <v>43091.0</v>
      </c>
      <c r="B939" s="24">
        <v>5997.0</v>
      </c>
      <c r="C939" s="24">
        <v>6087.2</v>
      </c>
      <c r="D939" s="24">
        <v>5997.0</v>
      </c>
      <c r="E939" s="24">
        <v>6069.7</v>
      </c>
      <c r="F939" s="25">
        <v>3.077338E9</v>
      </c>
      <c r="G939" s="25">
        <v>2.549775E10</v>
      </c>
      <c r="H939" s="3">
        <f t="shared" si="1"/>
        <v>200757.4254</v>
      </c>
    </row>
    <row r="940" ht="15.75" customHeight="1">
      <c r="A940" s="23">
        <v>43098.0</v>
      </c>
      <c r="B940" s="24">
        <v>6069.7</v>
      </c>
      <c r="C940" s="24">
        <v>6092.8</v>
      </c>
      <c r="D940" s="24">
        <v>6051.6</v>
      </c>
      <c r="E940" s="24">
        <v>6065.1</v>
      </c>
      <c r="F940" s="25">
        <v>8.477524E8</v>
      </c>
      <c r="G940" s="25">
        <v>6.613778E9</v>
      </c>
      <c r="H940" s="3">
        <f t="shared" si="1"/>
        <v>200605.2788</v>
      </c>
    </row>
    <row r="941" ht="15.75" customHeight="1">
      <c r="A941" s="23">
        <v>43105.0</v>
      </c>
      <c r="B941" s="24">
        <v>6065.1</v>
      </c>
      <c r="C941" s="24">
        <v>6124.8</v>
      </c>
      <c r="D941" s="24">
        <v>6035.8</v>
      </c>
      <c r="E941" s="24">
        <v>6122.3</v>
      </c>
      <c r="F941" s="25">
        <v>1.401107E9</v>
      </c>
      <c r="G941" s="25">
        <v>1.105038E10</v>
      </c>
      <c r="H941" s="3">
        <f t="shared" si="1"/>
        <v>202497.1886</v>
      </c>
    </row>
    <row r="942" ht="15.75" customHeight="1">
      <c r="A942" s="23">
        <v>43112.0</v>
      </c>
      <c r="B942" s="24">
        <v>6122.3</v>
      </c>
      <c r="C942" s="24">
        <v>6150.0</v>
      </c>
      <c r="D942" s="24">
        <v>6053.9</v>
      </c>
      <c r="E942" s="24">
        <v>6070.1</v>
      </c>
      <c r="F942" s="25">
        <v>2.318966E9</v>
      </c>
      <c r="G942" s="25">
        <v>1.844247E10</v>
      </c>
      <c r="H942" s="3">
        <f t="shared" si="1"/>
        <v>200770.6556</v>
      </c>
    </row>
    <row r="943" ht="15.75" customHeight="1">
      <c r="A943" s="23">
        <v>43119.0</v>
      </c>
      <c r="B943" s="24">
        <v>6070.1</v>
      </c>
      <c r="C943" s="24">
        <v>6103.6</v>
      </c>
      <c r="D943" s="24">
        <v>6002.2</v>
      </c>
      <c r="E943" s="24">
        <v>6005.8</v>
      </c>
      <c r="F943" s="25">
        <v>2.454795E9</v>
      </c>
      <c r="G943" s="25">
        <v>1.8387E10</v>
      </c>
      <c r="H943" s="3">
        <f t="shared" si="1"/>
        <v>198643.9108</v>
      </c>
    </row>
    <row r="944" ht="15.75" customHeight="1">
      <c r="A944" s="23">
        <v>43125.0</v>
      </c>
      <c r="B944" s="24">
        <v>6005.8</v>
      </c>
      <c r="C944" s="24">
        <v>6066.3</v>
      </c>
      <c r="D944" s="24">
        <v>5991.9</v>
      </c>
      <c r="E944" s="24">
        <v>6050.0</v>
      </c>
      <c r="F944" s="25">
        <v>1.957722E9</v>
      </c>
      <c r="G944" s="25">
        <v>1.604148E10</v>
      </c>
      <c r="H944" s="3">
        <f t="shared" si="1"/>
        <v>200105.8411</v>
      </c>
    </row>
    <row r="945" ht="15.75" customHeight="1">
      <c r="A945" s="23">
        <v>43133.0</v>
      </c>
      <c r="B945" s="24">
        <v>6050.0</v>
      </c>
      <c r="C945" s="24">
        <v>6121.4</v>
      </c>
      <c r="D945" s="24">
        <v>5993.6</v>
      </c>
      <c r="E945" s="24">
        <v>6121.4</v>
      </c>
      <c r="F945" s="25">
        <v>2.818948E9</v>
      </c>
      <c r="G945" s="25">
        <v>2.253021E10</v>
      </c>
      <c r="H945" s="3">
        <f t="shared" si="1"/>
        <v>202467.4208</v>
      </c>
    </row>
    <row r="946" ht="15.75" customHeight="1">
      <c r="A946" s="23">
        <v>43140.0</v>
      </c>
      <c r="B946" s="24">
        <v>6121.4</v>
      </c>
      <c r="C946" s="24">
        <v>6121.4</v>
      </c>
      <c r="D946" s="24">
        <v>5786.8</v>
      </c>
      <c r="E946" s="24">
        <v>5838.0</v>
      </c>
      <c r="F946" s="25">
        <v>3.558862E9</v>
      </c>
      <c r="G946" s="25">
        <v>2.897158E10</v>
      </c>
      <c r="H946" s="3">
        <f t="shared" si="1"/>
        <v>193093.8678</v>
      </c>
    </row>
    <row r="947" ht="15.75" customHeight="1">
      <c r="A947" s="23">
        <v>43147.0</v>
      </c>
      <c r="B947" s="24">
        <v>5838.0</v>
      </c>
      <c r="C947" s="24">
        <v>5938.1</v>
      </c>
      <c r="D947" s="24">
        <v>5791.3</v>
      </c>
      <c r="E947" s="24">
        <v>5904.0</v>
      </c>
      <c r="F947" s="25">
        <v>2.988575E9</v>
      </c>
      <c r="G947" s="25">
        <v>2.291519E10</v>
      </c>
      <c r="H947" s="3">
        <f t="shared" si="1"/>
        <v>195276.8406</v>
      </c>
    </row>
    <row r="948" ht="15.75" customHeight="1">
      <c r="A948" s="23">
        <v>43154.0</v>
      </c>
      <c r="B948" s="24">
        <v>5904.4</v>
      </c>
      <c r="C948" s="24">
        <v>6003.4</v>
      </c>
      <c r="D948" s="24">
        <v>5890.2</v>
      </c>
      <c r="E948" s="24">
        <v>5999.8</v>
      </c>
      <c r="F948" s="25">
        <v>3.199269E9</v>
      </c>
      <c r="G948" s="25">
        <v>2.575792E10</v>
      </c>
      <c r="H948" s="3">
        <f t="shared" si="1"/>
        <v>198445.4588</v>
      </c>
    </row>
    <row r="949" ht="15.75" customHeight="1">
      <c r="A949" s="23">
        <v>43161.0</v>
      </c>
      <c r="B949" s="24">
        <v>5999.8</v>
      </c>
      <c r="C949" s="24">
        <v>6083.0</v>
      </c>
      <c r="D949" s="24">
        <v>5902.2</v>
      </c>
      <c r="E949" s="24">
        <v>5928.9</v>
      </c>
      <c r="F949" s="25">
        <v>3.316271E9</v>
      </c>
      <c r="G949" s="25">
        <v>2.671523E10</v>
      </c>
      <c r="H949" s="3">
        <f t="shared" si="1"/>
        <v>196100.4167</v>
      </c>
    </row>
    <row r="950" ht="15.75" customHeight="1">
      <c r="A950" s="23">
        <v>43168.0</v>
      </c>
      <c r="B950" s="24">
        <v>5928.9</v>
      </c>
      <c r="C950" s="24">
        <v>5979.5</v>
      </c>
      <c r="D950" s="24">
        <v>5886.5</v>
      </c>
      <c r="E950" s="24">
        <v>5963.2</v>
      </c>
      <c r="F950" s="25">
        <v>2.80241E9</v>
      </c>
      <c r="G950" s="25">
        <v>2.187423E10</v>
      </c>
      <c r="H950" s="3">
        <f t="shared" si="1"/>
        <v>197234.9011</v>
      </c>
    </row>
    <row r="951" ht="15.75" customHeight="1">
      <c r="A951" s="23">
        <v>43175.0</v>
      </c>
      <c r="B951" s="24">
        <v>5971.3</v>
      </c>
      <c r="C951" s="24">
        <v>6026.1</v>
      </c>
      <c r="D951" s="24">
        <v>5906.1</v>
      </c>
      <c r="E951" s="24">
        <v>5949.4</v>
      </c>
      <c r="F951" s="25">
        <v>3.333648E9</v>
      </c>
      <c r="G951" s="25">
        <v>2.600279E10</v>
      </c>
      <c r="H951" s="3">
        <f t="shared" si="1"/>
        <v>196778.4613</v>
      </c>
    </row>
    <row r="952" ht="15.75" customHeight="1">
      <c r="A952" s="23">
        <v>43182.0</v>
      </c>
      <c r="B952" s="24">
        <v>5949.4</v>
      </c>
      <c r="C952" s="24">
        <v>5982.5</v>
      </c>
      <c r="D952" s="24">
        <v>5808.1</v>
      </c>
      <c r="E952" s="24">
        <v>5820.7</v>
      </c>
      <c r="F952" s="25">
        <v>2.742764E9</v>
      </c>
      <c r="G952" s="25">
        <v>2.107437E10</v>
      </c>
      <c r="H952" s="3">
        <f t="shared" si="1"/>
        <v>192521.6644</v>
      </c>
    </row>
    <row r="953" ht="15.75" customHeight="1">
      <c r="A953" s="23">
        <v>43188.0</v>
      </c>
      <c r="B953" s="24">
        <v>5820.7</v>
      </c>
      <c r="C953" s="24">
        <v>5837.5</v>
      </c>
      <c r="D953" s="24">
        <v>5752.7</v>
      </c>
      <c r="E953" s="24">
        <v>5759.4</v>
      </c>
      <c r="F953" s="25">
        <v>2.336686E9</v>
      </c>
      <c r="G953" s="25">
        <v>1.986305E10</v>
      </c>
      <c r="H953" s="3">
        <f t="shared" si="1"/>
        <v>190494.1457</v>
      </c>
    </row>
    <row r="954" ht="15.75" customHeight="1">
      <c r="A954" s="23">
        <v>43196.0</v>
      </c>
      <c r="B954" s="24">
        <v>5759.4</v>
      </c>
      <c r="C954" s="24">
        <v>5806.0</v>
      </c>
      <c r="D954" s="24">
        <v>5724.8</v>
      </c>
      <c r="E954" s="24">
        <v>5788.7</v>
      </c>
      <c r="F954" s="25">
        <v>2.006425E9</v>
      </c>
      <c r="G954" s="25">
        <v>1.623321E10</v>
      </c>
      <c r="H954" s="3">
        <f t="shared" si="1"/>
        <v>191463.2533</v>
      </c>
    </row>
    <row r="955" ht="15.75" customHeight="1">
      <c r="A955" s="23">
        <v>43203.0</v>
      </c>
      <c r="B955" s="24">
        <v>5788.7</v>
      </c>
      <c r="C955" s="24">
        <v>5864.0</v>
      </c>
      <c r="D955" s="24">
        <v>5771.1</v>
      </c>
      <c r="E955" s="24">
        <v>5829.1</v>
      </c>
      <c r="F955" s="25">
        <v>2.378918E9</v>
      </c>
      <c r="G955" s="25">
        <v>1.823047E10</v>
      </c>
      <c r="H955" s="3">
        <f t="shared" si="1"/>
        <v>192799.4973</v>
      </c>
    </row>
    <row r="956" ht="15.75" customHeight="1">
      <c r="A956" s="23">
        <v>43210.0</v>
      </c>
      <c r="B956" s="24">
        <v>5829.1</v>
      </c>
      <c r="C956" s="24">
        <v>5902.9</v>
      </c>
      <c r="D956" s="24">
        <v>5829.1</v>
      </c>
      <c r="E956" s="24">
        <v>5868.8</v>
      </c>
      <c r="F956" s="25">
        <v>2.492938E9</v>
      </c>
      <c r="G956" s="25">
        <v>1.873647E10</v>
      </c>
      <c r="H956" s="3">
        <f t="shared" si="1"/>
        <v>194112.5885</v>
      </c>
    </row>
    <row r="957" ht="15.75" customHeight="1">
      <c r="A957" s="23">
        <v>43217.0</v>
      </c>
      <c r="B957" s="24">
        <v>5868.8</v>
      </c>
      <c r="C957" s="24">
        <v>5953.6</v>
      </c>
      <c r="D957" s="24">
        <v>5868.8</v>
      </c>
      <c r="E957" s="24">
        <v>5953.6</v>
      </c>
      <c r="F957" s="25">
        <v>2.499638E9</v>
      </c>
      <c r="G957" s="25">
        <v>2.076368E10</v>
      </c>
      <c r="H957" s="3">
        <f t="shared" si="1"/>
        <v>196917.3778</v>
      </c>
    </row>
    <row r="958" ht="15.75" customHeight="1">
      <c r="A958" s="23">
        <v>43224.0</v>
      </c>
      <c r="B958" s="24">
        <v>5953.6</v>
      </c>
      <c r="C958" s="24">
        <v>6109.7</v>
      </c>
      <c r="D958" s="24">
        <v>5945.6</v>
      </c>
      <c r="E958" s="24">
        <v>6062.9</v>
      </c>
      <c r="F958" s="25">
        <v>3.116735E9</v>
      </c>
      <c r="G958" s="25">
        <v>2.467021E10</v>
      </c>
      <c r="H958" s="3">
        <f t="shared" si="1"/>
        <v>200532.5131</v>
      </c>
    </row>
    <row r="959" ht="15.75" customHeight="1">
      <c r="A959" s="23">
        <v>43231.0</v>
      </c>
      <c r="B959" s="24">
        <v>6063.2</v>
      </c>
      <c r="C959" s="24">
        <v>6145.2</v>
      </c>
      <c r="D959" s="24">
        <v>6063.2</v>
      </c>
      <c r="E959" s="24">
        <v>6116.2</v>
      </c>
      <c r="F959" s="25">
        <v>2.634829E9</v>
      </c>
      <c r="G959" s="25">
        <v>2.314345E10</v>
      </c>
      <c r="H959" s="3">
        <f t="shared" si="1"/>
        <v>202295.429</v>
      </c>
    </row>
    <row r="960" ht="15.75" customHeight="1">
      <c r="A960" s="23">
        <v>43238.0</v>
      </c>
      <c r="B960" s="24">
        <v>6116.2</v>
      </c>
      <c r="C960" s="24">
        <v>6146.8</v>
      </c>
      <c r="D960" s="24">
        <v>6077.6</v>
      </c>
      <c r="E960" s="24">
        <v>6087.4</v>
      </c>
      <c r="F960" s="25">
        <v>2.966533E9</v>
      </c>
      <c r="G960" s="25">
        <v>2.525929E10</v>
      </c>
      <c r="H960" s="3">
        <f t="shared" si="1"/>
        <v>201342.859</v>
      </c>
    </row>
    <row r="961" ht="15.75" customHeight="1">
      <c r="A961" s="23">
        <v>43245.0</v>
      </c>
      <c r="B961" s="24">
        <v>6087.4</v>
      </c>
      <c r="C961" s="24">
        <v>6094.9</v>
      </c>
      <c r="D961" s="24">
        <v>6011.9</v>
      </c>
      <c r="E961" s="24">
        <v>6032.8</v>
      </c>
      <c r="F961" s="25">
        <v>2.608796E9</v>
      </c>
      <c r="G961" s="25">
        <v>2.221067E10</v>
      </c>
      <c r="H961" s="3">
        <f t="shared" si="1"/>
        <v>199536.9452</v>
      </c>
    </row>
    <row r="962" ht="15.75" customHeight="1">
      <c r="A962" s="23">
        <v>43252.0</v>
      </c>
      <c r="B962" s="24">
        <v>6032.8</v>
      </c>
      <c r="C962" s="24">
        <v>6032.8</v>
      </c>
      <c r="D962" s="24">
        <v>5964.1</v>
      </c>
      <c r="E962" s="24">
        <v>5990.4</v>
      </c>
      <c r="F962" s="25">
        <v>3.117594E9</v>
      </c>
      <c r="G962" s="25">
        <v>2.573103E10</v>
      </c>
      <c r="H962" s="3">
        <f t="shared" si="1"/>
        <v>198134.5505</v>
      </c>
    </row>
    <row r="963" ht="15.75" customHeight="1">
      <c r="A963" s="23">
        <v>43259.0</v>
      </c>
      <c r="B963" s="24">
        <v>5990.4</v>
      </c>
      <c r="C963" s="24">
        <v>6070.7</v>
      </c>
      <c r="D963" s="24">
        <v>5982.2</v>
      </c>
      <c r="E963" s="24">
        <v>6045.2</v>
      </c>
      <c r="F963" s="25">
        <v>2.707246E9</v>
      </c>
      <c r="G963" s="25">
        <v>2.117456E10</v>
      </c>
      <c r="H963" s="3">
        <f t="shared" si="1"/>
        <v>199947.0794</v>
      </c>
    </row>
    <row r="964" ht="15.75" customHeight="1">
      <c r="A964" s="23">
        <v>43266.0</v>
      </c>
      <c r="B964" s="24">
        <v>6045.2</v>
      </c>
      <c r="C964" s="24">
        <v>6100.1</v>
      </c>
      <c r="D964" s="24">
        <v>6007.5</v>
      </c>
      <c r="E964" s="24">
        <v>6094.0</v>
      </c>
      <c r="F964" s="25">
        <v>2.866714E9</v>
      </c>
      <c r="G964" s="25">
        <v>2.324304E10</v>
      </c>
      <c r="H964" s="3">
        <f t="shared" si="1"/>
        <v>201561.1563</v>
      </c>
    </row>
    <row r="965" ht="15.75" customHeight="1">
      <c r="A965" s="23">
        <v>43273.0</v>
      </c>
      <c r="B965" s="24">
        <v>6094.0</v>
      </c>
      <c r="C965" s="24">
        <v>6249.3</v>
      </c>
      <c r="D965" s="24">
        <v>6085.2</v>
      </c>
      <c r="E965" s="24">
        <v>6225.2</v>
      </c>
      <c r="F965" s="25">
        <v>3.201329E9</v>
      </c>
      <c r="G965" s="25">
        <v>2.792738E10</v>
      </c>
      <c r="H965" s="3">
        <f t="shared" si="1"/>
        <v>205900.6417</v>
      </c>
    </row>
    <row r="966" ht="15.75" customHeight="1">
      <c r="A966" s="23">
        <v>43280.0</v>
      </c>
      <c r="B966" s="24">
        <v>6225.7</v>
      </c>
      <c r="C966" s="24">
        <v>6250.8</v>
      </c>
      <c r="D966" s="24">
        <v>6161.1</v>
      </c>
      <c r="E966" s="24">
        <v>6194.6</v>
      </c>
      <c r="F966" s="25">
        <v>3.027047E9</v>
      </c>
      <c r="G966" s="25">
        <v>2.64084E10</v>
      </c>
      <c r="H966" s="3">
        <f t="shared" si="1"/>
        <v>204888.5361</v>
      </c>
    </row>
    <row r="967" ht="15.75" customHeight="1">
      <c r="A967" s="23">
        <v>43287.0</v>
      </c>
      <c r="B967" s="24">
        <v>6194.6</v>
      </c>
      <c r="C967" s="24">
        <v>6273.5</v>
      </c>
      <c r="D967" s="24">
        <v>6174.4</v>
      </c>
      <c r="E967" s="24">
        <v>6272.3</v>
      </c>
      <c r="F967" s="25">
        <v>2.562525E9</v>
      </c>
      <c r="G967" s="25">
        <v>2.129473E10</v>
      </c>
      <c r="H967" s="3">
        <f t="shared" si="1"/>
        <v>207458.4904</v>
      </c>
    </row>
    <row r="968" ht="15.75" customHeight="1">
      <c r="A968" s="23">
        <v>43294.0</v>
      </c>
      <c r="B968" s="24">
        <v>6272.3</v>
      </c>
      <c r="C968" s="24">
        <v>6306.1</v>
      </c>
      <c r="D968" s="24">
        <v>6209.6</v>
      </c>
      <c r="E968" s="24">
        <v>6268.4</v>
      </c>
      <c r="F968" s="25">
        <v>2.404457E9</v>
      </c>
      <c r="G968" s="25">
        <v>2.148776E10</v>
      </c>
      <c r="H968" s="3">
        <f t="shared" si="1"/>
        <v>207329.4966</v>
      </c>
    </row>
    <row r="969" ht="15.75" customHeight="1">
      <c r="A969" s="23">
        <v>43301.0</v>
      </c>
      <c r="B969" s="24">
        <v>6267.6</v>
      </c>
      <c r="C969" s="24">
        <v>6297.9</v>
      </c>
      <c r="D969" s="24">
        <v>6199.9</v>
      </c>
      <c r="E969" s="24">
        <v>6285.9</v>
      </c>
      <c r="F969" s="25">
        <v>2.346526E9</v>
      </c>
      <c r="G969" s="25">
        <v>1.942457E10</v>
      </c>
      <c r="H969" s="3">
        <f t="shared" si="1"/>
        <v>207908.3151</v>
      </c>
    </row>
    <row r="970" ht="15.75" customHeight="1">
      <c r="A970" s="23">
        <v>43308.0</v>
      </c>
      <c r="B970" s="24">
        <v>6285.9</v>
      </c>
      <c r="C970" s="24">
        <v>6302.3</v>
      </c>
      <c r="D970" s="24">
        <v>6214.5</v>
      </c>
      <c r="E970" s="24">
        <v>6300.2</v>
      </c>
      <c r="F970" s="25">
        <v>2.861114E9</v>
      </c>
      <c r="G970" s="25">
        <v>2.308706E10</v>
      </c>
      <c r="H970" s="3">
        <f t="shared" si="1"/>
        <v>208381.2926</v>
      </c>
    </row>
    <row r="971" ht="15.75" customHeight="1">
      <c r="A971" s="23">
        <v>43315.0</v>
      </c>
      <c r="B971" s="24">
        <v>6297.0</v>
      </c>
      <c r="C971" s="24">
        <v>6300.2</v>
      </c>
      <c r="D971" s="24">
        <v>6231.2</v>
      </c>
      <c r="E971" s="24">
        <v>6234.8</v>
      </c>
      <c r="F971" s="25">
        <v>2.49121E9</v>
      </c>
      <c r="G971" s="25">
        <v>2.112676E10</v>
      </c>
      <c r="H971" s="3">
        <f t="shared" si="1"/>
        <v>206218.165</v>
      </c>
    </row>
    <row r="972" ht="15.75" customHeight="1">
      <c r="A972" s="23">
        <v>43322.0</v>
      </c>
      <c r="B972" s="24">
        <v>6234.8</v>
      </c>
      <c r="C972" s="24">
        <v>6313.6</v>
      </c>
      <c r="D972" s="24">
        <v>6234.8</v>
      </c>
      <c r="E972" s="24">
        <v>6278.4</v>
      </c>
      <c r="F972" s="25">
        <v>2.497179E9</v>
      </c>
      <c r="G972" s="25">
        <v>2.142374E10</v>
      </c>
      <c r="H972" s="3">
        <f t="shared" si="1"/>
        <v>207660.25</v>
      </c>
    </row>
    <row r="973" ht="15.75" customHeight="1">
      <c r="A973" s="23">
        <v>43329.0</v>
      </c>
      <c r="B973" s="24">
        <v>6278.1</v>
      </c>
      <c r="C973" s="24">
        <v>6348.1</v>
      </c>
      <c r="D973" s="24">
        <v>6239.6</v>
      </c>
      <c r="E973" s="24">
        <v>6339.2</v>
      </c>
      <c r="F973" s="25">
        <v>2.893839E9</v>
      </c>
      <c r="G973" s="25">
        <v>2.665285E10</v>
      </c>
      <c r="H973" s="3">
        <f t="shared" si="1"/>
        <v>209671.2311</v>
      </c>
    </row>
    <row r="974" ht="15.75" customHeight="1">
      <c r="A974" s="23">
        <v>43336.0</v>
      </c>
      <c r="B974" s="24">
        <v>6338.4</v>
      </c>
      <c r="C974" s="24">
        <v>6358.0</v>
      </c>
      <c r="D974" s="24">
        <v>6238.0</v>
      </c>
      <c r="E974" s="24">
        <v>6247.3</v>
      </c>
      <c r="F974" s="25">
        <v>3.528387E9</v>
      </c>
      <c r="G974" s="25">
        <v>2.879444E10</v>
      </c>
      <c r="H974" s="3">
        <f t="shared" si="1"/>
        <v>206631.6068</v>
      </c>
    </row>
    <row r="975" ht="15.75" customHeight="1">
      <c r="A975" s="23">
        <v>43343.0</v>
      </c>
      <c r="B975" s="24">
        <v>6247.5</v>
      </c>
      <c r="C975" s="24">
        <v>6373.5</v>
      </c>
      <c r="D975" s="24">
        <v>6230.9</v>
      </c>
      <c r="E975" s="24">
        <v>6319.5</v>
      </c>
      <c r="F975" s="25">
        <v>3.484883E9</v>
      </c>
      <c r="G975" s="25">
        <v>2.98217E10</v>
      </c>
      <c r="H975" s="3">
        <f t="shared" si="1"/>
        <v>209019.6468</v>
      </c>
    </row>
    <row r="976" ht="15.75" customHeight="1">
      <c r="A976" s="23">
        <v>43350.0</v>
      </c>
      <c r="B976" s="24">
        <v>6319.5</v>
      </c>
      <c r="C976" s="24">
        <v>6333.7</v>
      </c>
      <c r="D976" s="24">
        <v>6102.0</v>
      </c>
      <c r="E976" s="24">
        <v>6143.8</v>
      </c>
      <c r="F976" s="25">
        <v>2.811572E9</v>
      </c>
      <c r="G976" s="25">
        <v>2.29202E10</v>
      </c>
      <c r="H976" s="3">
        <f t="shared" si="1"/>
        <v>203208.3085</v>
      </c>
    </row>
    <row r="977" ht="15.75" customHeight="1">
      <c r="A977" s="23">
        <v>43357.0</v>
      </c>
      <c r="B977" s="24">
        <v>6143.8</v>
      </c>
      <c r="C977" s="24">
        <v>6181.5</v>
      </c>
      <c r="D977" s="24">
        <v>6123.8</v>
      </c>
      <c r="E977" s="24">
        <v>6165.3</v>
      </c>
      <c r="F977" s="25">
        <v>2.662308E9</v>
      </c>
      <c r="G977" s="25">
        <v>2.195354E10</v>
      </c>
      <c r="H977" s="3">
        <f t="shared" si="1"/>
        <v>203919.4285</v>
      </c>
    </row>
    <row r="978" ht="15.75" customHeight="1">
      <c r="A978" s="23">
        <v>43364.0</v>
      </c>
      <c r="B978" s="24">
        <v>6165.3</v>
      </c>
      <c r="C978" s="24">
        <v>6209.6</v>
      </c>
      <c r="D978" s="24">
        <v>6142.3</v>
      </c>
      <c r="E978" s="24">
        <v>6194.6</v>
      </c>
      <c r="F978" s="25">
        <v>3.690516E9</v>
      </c>
      <c r="G978" s="25">
        <v>2.917123E10</v>
      </c>
      <c r="H978" s="3">
        <f t="shared" si="1"/>
        <v>204888.5361</v>
      </c>
    </row>
    <row r="979" ht="15.75" customHeight="1">
      <c r="A979" s="23">
        <v>43371.0</v>
      </c>
      <c r="B979" s="24">
        <v>6194.6</v>
      </c>
      <c r="C979" s="24">
        <v>6234.4</v>
      </c>
      <c r="D979" s="24">
        <v>6166.8</v>
      </c>
      <c r="E979" s="24">
        <v>6207.6</v>
      </c>
      <c r="F979" s="25">
        <v>2.915688E9</v>
      </c>
      <c r="G979" s="25">
        <v>2.559146E10</v>
      </c>
      <c r="H979" s="3">
        <f t="shared" si="1"/>
        <v>205318.5156</v>
      </c>
    </row>
    <row r="980" ht="15.75" customHeight="1">
      <c r="A980" s="23">
        <v>43378.0</v>
      </c>
      <c r="B980" s="24">
        <v>6207.6</v>
      </c>
      <c r="C980" s="24">
        <v>6207.6</v>
      </c>
      <c r="D980" s="24">
        <v>6118.4</v>
      </c>
      <c r="E980" s="24">
        <v>6185.5</v>
      </c>
      <c r="F980" s="25">
        <v>2.448748E9</v>
      </c>
      <c r="G980" s="25">
        <v>2.006474E10</v>
      </c>
      <c r="H980" s="3">
        <f t="shared" si="1"/>
        <v>204587.5504</v>
      </c>
    </row>
    <row r="981" ht="15.75" customHeight="1">
      <c r="A981" s="23">
        <v>43385.0</v>
      </c>
      <c r="B981" s="24">
        <v>6177.4</v>
      </c>
      <c r="C981" s="24">
        <v>6177.4</v>
      </c>
      <c r="D981" s="24">
        <v>5846.7</v>
      </c>
      <c r="E981" s="24">
        <v>5895.7</v>
      </c>
      <c r="F981" s="25">
        <v>3.284928E9</v>
      </c>
      <c r="G981" s="25">
        <v>2.702367E10</v>
      </c>
      <c r="H981" s="3">
        <f t="shared" si="1"/>
        <v>195002.3153</v>
      </c>
    </row>
    <row r="982" ht="15.75" customHeight="1">
      <c r="A982" s="23">
        <v>43392.0</v>
      </c>
      <c r="B982" s="24">
        <v>5895.7</v>
      </c>
      <c r="C982" s="24">
        <v>5942.8</v>
      </c>
      <c r="D982" s="24">
        <v>5796.0</v>
      </c>
      <c r="E982" s="24">
        <v>5939.5</v>
      </c>
      <c r="F982" s="25">
        <v>2.863586E9</v>
      </c>
      <c r="G982" s="25">
        <v>2.222084E10</v>
      </c>
      <c r="H982" s="3">
        <f t="shared" si="1"/>
        <v>196451.0154</v>
      </c>
    </row>
    <row r="983" ht="15.75" customHeight="1">
      <c r="A983" s="23">
        <v>43399.0</v>
      </c>
      <c r="B983" s="24">
        <v>5939.5</v>
      </c>
      <c r="C983" s="24">
        <v>5939.5</v>
      </c>
      <c r="D983" s="24">
        <v>5624.6</v>
      </c>
      <c r="E983" s="24">
        <v>5665.2</v>
      </c>
      <c r="F983" s="25">
        <v>3.443419E9</v>
      </c>
      <c r="G983" s="25">
        <v>2.697784E10</v>
      </c>
      <c r="H983" s="3">
        <f t="shared" si="1"/>
        <v>187378.4481</v>
      </c>
    </row>
    <row r="984" ht="15.75" customHeight="1">
      <c r="A984" s="23">
        <v>43406.0</v>
      </c>
      <c r="B984" s="24">
        <v>5665.2</v>
      </c>
      <c r="C984" s="24">
        <v>5877.2</v>
      </c>
      <c r="D984" s="24">
        <v>5665.2</v>
      </c>
      <c r="E984" s="24">
        <v>5849.2</v>
      </c>
      <c r="F984" s="25">
        <v>3.320405E9</v>
      </c>
      <c r="G984" s="25">
        <v>2.602554E10</v>
      </c>
      <c r="H984" s="3">
        <f t="shared" si="1"/>
        <v>193464.3117</v>
      </c>
    </row>
    <row r="985" ht="15.75" customHeight="1">
      <c r="A985" s="23">
        <v>43413.0</v>
      </c>
      <c r="B985" s="24">
        <v>5849.2</v>
      </c>
      <c r="C985" s="24">
        <v>5935.5</v>
      </c>
      <c r="D985" s="24">
        <v>5817.7</v>
      </c>
      <c r="E985" s="24">
        <v>5921.8</v>
      </c>
      <c r="F985" s="25">
        <v>2.564024E9</v>
      </c>
      <c r="G985" s="25">
        <v>2.179968E10</v>
      </c>
      <c r="H985" s="3">
        <f t="shared" si="1"/>
        <v>195865.5818</v>
      </c>
    </row>
    <row r="986" ht="15.75" customHeight="1">
      <c r="A986" s="23">
        <v>43420.0</v>
      </c>
      <c r="B986" s="24">
        <v>5921.8</v>
      </c>
      <c r="C986" s="24">
        <v>5941.3</v>
      </c>
      <c r="D986" s="24">
        <v>5686.8</v>
      </c>
      <c r="E986" s="24">
        <v>5730.6</v>
      </c>
      <c r="F986" s="25">
        <v>3.119025E9</v>
      </c>
      <c r="G986" s="25">
        <v>2.552333E10</v>
      </c>
      <c r="H986" s="3">
        <f t="shared" si="1"/>
        <v>189541.5757</v>
      </c>
    </row>
    <row r="987" ht="15.75" customHeight="1">
      <c r="A987" s="23">
        <v>43427.0</v>
      </c>
      <c r="B987" s="24">
        <v>5730.6</v>
      </c>
      <c r="C987" s="24">
        <v>5731.3</v>
      </c>
      <c r="D987" s="24">
        <v>5594.0</v>
      </c>
      <c r="E987" s="24">
        <v>5716.2</v>
      </c>
      <c r="F987" s="25">
        <v>2.99788E9</v>
      </c>
      <c r="G987" s="25">
        <v>2.30833E10</v>
      </c>
      <c r="H987" s="3">
        <f t="shared" si="1"/>
        <v>189065.2907</v>
      </c>
    </row>
    <row r="988" ht="15.75" customHeight="1">
      <c r="A988" s="23">
        <v>43434.0</v>
      </c>
      <c r="B988" s="24">
        <v>5716.2</v>
      </c>
      <c r="C988" s="24">
        <v>5778.7</v>
      </c>
      <c r="D988" s="24">
        <v>5655.6</v>
      </c>
      <c r="E988" s="24">
        <v>5667.2</v>
      </c>
      <c r="F988" s="25">
        <v>3.81863E9</v>
      </c>
      <c r="G988" s="25">
        <v>3.117061E10</v>
      </c>
      <c r="H988" s="3">
        <f t="shared" si="1"/>
        <v>187444.5988</v>
      </c>
    </row>
    <row r="989" ht="15.75" customHeight="1">
      <c r="A989" s="23">
        <v>43441.0</v>
      </c>
      <c r="B989" s="24">
        <v>5667.2</v>
      </c>
      <c r="C989" s="24">
        <v>5771.2</v>
      </c>
      <c r="D989" s="24">
        <v>5610.0</v>
      </c>
      <c r="E989" s="24">
        <v>5681.5</v>
      </c>
      <c r="F989" s="25">
        <v>3.167176E9</v>
      </c>
      <c r="G989" s="25">
        <v>2.462188E10</v>
      </c>
      <c r="H989" s="3">
        <f t="shared" si="1"/>
        <v>187917.5762</v>
      </c>
    </row>
    <row r="990" ht="15.75" customHeight="1">
      <c r="A990" s="23">
        <v>43448.0</v>
      </c>
      <c r="B990" s="24">
        <v>5681.5</v>
      </c>
      <c r="C990" s="24">
        <v>5682.1</v>
      </c>
      <c r="D990" s="24">
        <v>5549.3</v>
      </c>
      <c r="E990" s="24">
        <v>5602.0</v>
      </c>
      <c r="F990" s="25">
        <v>3.460482E9</v>
      </c>
      <c r="G990" s="25">
        <v>2.640481E10</v>
      </c>
      <c r="H990" s="3">
        <f t="shared" si="1"/>
        <v>185288.0863</v>
      </c>
    </row>
    <row r="991" ht="15.75" customHeight="1">
      <c r="A991" s="23">
        <v>43455.0</v>
      </c>
      <c r="B991" s="24">
        <v>5602.0</v>
      </c>
      <c r="C991" s="24">
        <v>5665.6</v>
      </c>
      <c r="D991" s="24">
        <v>5426.6</v>
      </c>
      <c r="E991" s="24">
        <v>5467.6</v>
      </c>
      <c r="F991" s="25">
        <v>4.479512E9</v>
      </c>
      <c r="G991" s="25">
        <v>3.705351E10</v>
      </c>
      <c r="H991" s="3">
        <f t="shared" si="1"/>
        <v>180842.7598</v>
      </c>
    </row>
    <row r="992" ht="15.75" customHeight="1">
      <c r="A992" s="23">
        <v>43462.0</v>
      </c>
      <c r="B992" s="24">
        <v>5467.6</v>
      </c>
      <c r="C992" s="24">
        <v>5654.3</v>
      </c>
      <c r="D992" s="24">
        <v>5410.2</v>
      </c>
      <c r="E992" s="24">
        <v>5654.3</v>
      </c>
      <c r="F992" s="25">
        <v>1.082852E9</v>
      </c>
      <c r="G992" s="25">
        <v>9.276226E9</v>
      </c>
      <c r="H992" s="3">
        <f t="shared" si="1"/>
        <v>187017.9268</v>
      </c>
    </row>
    <row r="993" ht="15.75" customHeight="1">
      <c r="A993" s="23">
        <v>43469.0</v>
      </c>
      <c r="B993" s="24">
        <v>5654.3</v>
      </c>
      <c r="C993" s="24">
        <v>5700.6</v>
      </c>
      <c r="D993" s="24">
        <v>5552.0</v>
      </c>
      <c r="E993" s="24">
        <v>5619.4</v>
      </c>
      <c r="F993" s="25">
        <v>1.537469E9</v>
      </c>
      <c r="G993" s="25">
        <v>1.255878E10</v>
      </c>
      <c r="H993" s="3">
        <f t="shared" si="1"/>
        <v>185863.5973</v>
      </c>
    </row>
    <row r="994" ht="15.75" customHeight="1">
      <c r="A994" s="23">
        <v>43476.0</v>
      </c>
      <c r="B994" s="24">
        <v>5619.4</v>
      </c>
      <c r="C994" s="24">
        <v>5808.6</v>
      </c>
      <c r="D994" s="24">
        <v>5619.4</v>
      </c>
      <c r="E994" s="24">
        <v>5774.6</v>
      </c>
      <c r="F994" s="25">
        <v>2.469413E9</v>
      </c>
      <c r="G994" s="25">
        <v>1.915361E10</v>
      </c>
      <c r="H994" s="3">
        <f t="shared" si="1"/>
        <v>190996.8909</v>
      </c>
    </row>
    <row r="995" ht="15.75" customHeight="1">
      <c r="A995" s="23">
        <v>43483.0</v>
      </c>
      <c r="B995" s="24">
        <v>5774.6</v>
      </c>
      <c r="C995" s="24">
        <v>5888.1</v>
      </c>
      <c r="D995" s="24">
        <v>5756.9</v>
      </c>
      <c r="E995" s="24">
        <v>5879.6</v>
      </c>
      <c r="F995" s="25">
        <v>2.295388E9</v>
      </c>
      <c r="G995" s="25">
        <v>1.773604E10</v>
      </c>
      <c r="H995" s="3">
        <f t="shared" si="1"/>
        <v>194469.8022</v>
      </c>
    </row>
    <row r="996" ht="15.75" customHeight="1">
      <c r="A996" s="23">
        <v>43490.0</v>
      </c>
      <c r="B996" s="24">
        <v>5879.6</v>
      </c>
      <c r="C996" s="24">
        <v>5915.2</v>
      </c>
      <c r="D996" s="24">
        <v>5831.4</v>
      </c>
      <c r="E996" s="24">
        <v>5905.6</v>
      </c>
      <c r="F996" s="25">
        <v>2.45472E9</v>
      </c>
      <c r="G996" s="25">
        <v>2.011867E10</v>
      </c>
      <c r="H996" s="3">
        <f t="shared" si="1"/>
        <v>195329.7612</v>
      </c>
    </row>
    <row r="997" ht="15.75" customHeight="1">
      <c r="A997" s="23">
        <v>43497.0</v>
      </c>
      <c r="B997" s="24">
        <v>5905.6</v>
      </c>
      <c r="C997" s="24">
        <v>5912.6</v>
      </c>
      <c r="D997" s="24">
        <v>5857.4</v>
      </c>
      <c r="E997" s="24">
        <v>5862.8</v>
      </c>
      <c r="F997" s="25">
        <v>3.066243E9</v>
      </c>
      <c r="G997" s="25">
        <v>2.37568E10</v>
      </c>
      <c r="H997" s="3">
        <f t="shared" si="1"/>
        <v>193914.1364</v>
      </c>
    </row>
    <row r="998" ht="15.75" customHeight="1">
      <c r="A998" s="23">
        <v>43504.0</v>
      </c>
      <c r="B998" s="24">
        <v>5862.8</v>
      </c>
      <c r="C998" s="24">
        <v>6105.9</v>
      </c>
      <c r="D998" s="24">
        <v>5848.9</v>
      </c>
      <c r="E998" s="24">
        <v>6071.5</v>
      </c>
      <c r="F998" s="25">
        <v>3.178371E9</v>
      </c>
      <c r="G998" s="25">
        <v>2.668315E10</v>
      </c>
      <c r="H998" s="3">
        <f t="shared" si="1"/>
        <v>200816.961</v>
      </c>
    </row>
    <row r="999" ht="15.75" customHeight="1">
      <c r="A999" s="23">
        <v>43511.0</v>
      </c>
      <c r="B999" s="24">
        <v>6071.5</v>
      </c>
      <c r="C999" s="24">
        <v>6094.0</v>
      </c>
      <c r="D999" s="24">
        <v>6028.6</v>
      </c>
      <c r="E999" s="24">
        <v>6066.1</v>
      </c>
      <c r="F999" s="25">
        <v>3.248995E9</v>
      </c>
      <c r="G999" s="25">
        <v>2.609205E10</v>
      </c>
      <c r="H999" s="3">
        <f t="shared" si="1"/>
        <v>200638.3542</v>
      </c>
    </row>
    <row r="1000" ht="15.75" customHeight="1">
      <c r="A1000" s="23">
        <v>43518.0</v>
      </c>
      <c r="B1000" s="24">
        <v>6066.1</v>
      </c>
      <c r="C1000" s="24">
        <v>6176.2</v>
      </c>
      <c r="D1000" s="24">
        <v>6066.1</v>
      </c>
      <c r="E1000" s="24">
        <v>6167.3</v>
      </c>
      <c r="F1000" s="25">
        <v>3.56967E9</v>
      </c>
      <c r="G1000" s="25">
        <v>3.016472E10</v>
      </c>
      <c r="H1000" s="3">
        <f t="shared" si="1"/>
        <v>203985.5791</v>
      </c>
    </row>
    <row r="1001" ht="15.75" customHeight="1">
      <c r="A1001" s="23">
        <v>43525.0</v>
      </c>
      <c r="B1001" s="24">
        <v>6167.3</v>
      </c>
      <c r="C1001" s="24">
        <v>6209.9</v>
      </c>
      <c r="D1001" s="24">
        <v>6106.0</v>
      </c>
      <c r="E1001" s="24">
        <v>6192.7</v>
      </c>
      <c r="F1001" s="25">
        <v>3.703121E9</v>
      </c>
      <c r="G1001" s="25">
        <v>2.987978E10</v>
      </c>
      <c r="H1001" s="3">
        <f t="shared" si="1"/>
        <v>204825.6929</v>
      </c>
    </row>
    <row r="1002" ht="15.75" customHeight="1">
      <c r="A1002" s="23">
        <v>43532.0</v>
      </c>
      <c r="B1002" s="24">
        <v>6192.7</v>
      </c>
      <c r="C1002" s="24">
        <v>6270.9</v>
      </c>
      <c r="D1002" s="24">
        <v>6175.7</v>
      </c>
      <c r="E1002" s="24">
        <v>6203.8</v>
      </c>
      <c r="F1002" s="25">
        <v>3.558536E9</v>
      </c>
      <c r="G1002" s="25">
        <v>2.886851E10</v>
      </c>
      <c r="H1002" s="3">
        <f t="shared" si="1"/>
        <v>205192.8293</v>
      </c>
    </row>
    <row r="1003" ht="15.75" customHeight="1">
      <c r="A1003" s="23">
        <v>43539.0</v>
      </c>
      <c r="B1003" s="24">
        <v>6203.8</v>
      </c>
      <c r="C1003" s="24">
        <v>6222.9</v>
      </c>
      <c r="D1003" s="24">
        <v>6127.3</v>
      </c>
      <c r="E1003" s="24">
        <v>6175.2</v>
      </c>
      <c r="F1003" s="25">
        <v>3.556582E9</v>
      </c>
      <c r="G1003" s="25">
        <v>2.853159E10</v>
      </c>
      <c r="H1003" s="3">
        <f t="shared" si="1"/>
        <v>204246.8744</v>
      </c>
    </row>
    <row r="1004" ht="15.75" customHeight="1">
      <c r="A1004" s="23">
        <v>43546.0</v>
      </c>
      <c r="B1004" s="24">
        <v>6175.2</v>
      </c>
      <c r="C1004" s="24">
        <v>6227.1</v>
      </c>
      <c r="D1004" s="24">
        <v>6134.0</v>
      </c>
      <c r="E1004" s="24">
        <v>6195.2</v>
      </c>
      <c r="F1004" s="25">
        <v>3.248666E9</v>
      </c>
      <c r="G1004" s="25">
        <v>2.551596E10</v>
      </c>
      <c r="H1004" s="3">
        <f t="shared" si="1"/>
        <v>204908.3813</v>
      </c>
    </row>
    <row r="1005" ht="15.75" customHeight="1">
      <c r="A1005" s="23">
        <v>43553.0</v>
      </c>
      <c r="B1005" s="24">
        <v>6195.2</v>
      </c>
      <c r="C1005" s="24">
        <v>6213.4</v>
      </c>
      <c r="D1005" s="24">
        <v>6096.8</v>
      </c>
      <c r="E1005" s="24">
        <v>6180.7</v>
      </c>
      <c r="F1005" s="25">
        <v>3.345787E9</v>
      </c>
      <c r="G1005" s="25">
        <v>2.721214E10</v>
      </c>
      <c r="H1005" s="3">
        <f t="shared" si="1"/>
        <v>204428.7888</v>
      </c>
    </row>
    <row r="1006" ht="15.75" customHeight="1">
      <c r="A1006" s="23">
        <v>43560.0</v>
      </c>
      <c r="B1006" s="24">
        <v>6180.7</v>
      </c>
      <c r="C1006" s="24">
        <v>6287.9</v>
      </c>
      <c r="D1006" s="24">
        <v>6169.8</v>
      </c>
      <c r="E1006" s="24">
        <v>6181.3</v>
      </c>
      <c r="F1006" s="25">
        <v>2.9856E9</v>
      </c>
      <c r="G1006" s="25">
        <v>2.380521E10</v>
      </c>
      <c r="H1006" s="3">
        <f t="shared" si="1"/>
        <v>204448.634</v>
      </c>
    </row>
    <row r="1007" ht="15.75" customHeight="1">
      <c r="A1007" s="23">
        <v>43567.0</v>
      </c>
      <c r="B1007" s="24">
        <v>6181.3</v>
      </c>
      <c r="C1007" s="24">
        <v>6251.3</v>
      </c>
      <c r="D1007" s="24">
        <v>6181.3</v>
      </c>
      <c r="E1007" s="24">
        <v>6251.3</v>
      </c>
      <c r="F1007" s="25">
        <v>2.512905E9</v>
      </c>
      <c r="G1007" s="25">
        <v>2.041296E10</v>
      </c>
      <c r="H1007" s="3">
        <f t="shared" si="1"/>
        <v>206763.9082</v>
      </c>
    </row>
    <row r="1008" ht="15.75" customHeight="1">
      <c r="A1008" s="23">
        <v>43573.0</v>
      </c>
      <c r="B1008" s="24">
        <v>6251.3</v>
      </c>
      <c r="C1008" s="24">
        <v>6286.0</v>
      </c>
      <c r="D1008" s="24">
        <v>6237.6</v>
      </c>
      <c r="E1008" s="24">
        <v>6259.8</v>
      </c>
      <c r="F1008" s="25">
        <v>2.1396E9</v>
      </c>
      <c r="G1008" s="25">
        <v>1.754251E10</v>
      </c>
      <c r="H1008" s="3">
        <f t="shared" si="1"/>
        <v>207045.0486</v>
      </c>
    </row>
    <row r="1009" ht="15.75" customHeight="1">
      <c r="A1009" s="23">
        <v>43581.0</v>
      </c>
      <c r="B1009" s="24">
        <v>6259.8</v>
      </c>
      <c r="C1009" s="24">
        <v>6390.5</v>
      </c>
      <c r="D1009" s="24">
        <v>6259.8</v>
      </c>
      <c r="E1009" s="24">
        <v>6385.6</v>
      </c>
      <c r="F1009" s="25">
        <v>1.753445E9</v>
      </c>
      <c r="G1009" s="25">
        <v>1.659434E10</v>
      </c>
      <c r="H1009" s="3">
        <f t="shared" si="1"/>
        <v>211205.9271</v>
      </c>
    </row>
    <row r="1010" ht="15.75" customHeight="1">
      <c r="A1010" s="23">
        <v>43588.0</v>
      </c>
      <c r="B1010" s="24">
        <v>6385.6</v>
      </c>
      <c r="C1010" s="24">
        <v>6385.6</v>
      </c>
      <c r="D1010" s="24">
        <v>6316.3</v>
      </c>
      <c r="E1010" s="24">
        <v>6335.8</v>
      </c>
      <c r="F1010" s="25">
        <v>2.841526E9</v>
      </c>
      <c r="G1010" s="25">
        <v>2.224908E10</v>
      </c>
      <c r="H1010" s="3">
        <f t="shared" si="1"/>
        <v>209558.7749</v>
      </c>
    </row>
    <row r="1011" ht="15.75" customHeight="1">
      <c r="A1011" s="23">
        <v>43595.0</v>
      </c>
      <c r="B1011" s="24">
        <v>6335.8</v>
      </c>
      <c r="C1011" s="24">
        <v>6341.9</v>
      </c>
      <c r="D1011" s="24">
        <v>6241.5</v>
      </c>
      <c r="E1011" s="24">
        <v>6310.9</v>
      </c>
      <c r="F1011" s="25">
        <v>2.696804E9</v>
      </c>
      <c r="G1011" s="25">
        <v>2.287508E10</v>
      </c>
      <c r="H1011" s="3">
        <f t="shared" si="1"/>
        <v>208735.1988</v>
      </c>
    </row>
    <row r="1012" ht="15.75" customHeight="1">
      <c r="A1012" s="23">
        <v>43602.0</v>
      </c>
      <c r="B1012" s="24">
        <v>6310.9</v>
      </c>
      <c r="C1012" s="24">
        <v>6398.3</v>
      </c>
      <c r="D1012" s="24">
        <v>6203.1</v>
      </c>
      <c r="E1012" s="24">
        <v>6365.3</v>
      </c>
      <c r="F1012" s="25">
        <v>2.986235E9</v>
      </c>
      <c r="G1012" s="25">
        <v>2.529818E10</v>
      </c>
      <c r="H1012" s="3">
        <f t="shared" si="1"/>
        <v>210534.4976</v>
      </c>
    </row>
    <row r="1013" ht="15.75" customHeight="1">
      <c r="A1013" s="23">
        <v>43609.0</v>
      </c>
      <c r="B1013" s="24">
        <v>6365.3</v>
      </c>
      <c r="C1013" s="24">
        <v>6510.9</v>
      </c>
      <c r="D1013" s="24">
        <v>6365.3</v>
      </c>
      <c r="E1013" s="24">
        <v>6456.0</v>
      </c>
      <c r="F1013" s="25">
        <v>3.181239E9</v>
      </c>
      <c r="G1013" s="25">
        <v>2.926337E10</v>
      </c>
      <c r="H1013" s="3">
        <f t="shared" si="1"/>
        <v>213534.4314</v>
      </c>
    </row>
    <row r="1014" ht="15.75" customHeight="1">
      <c r="A1014" s="23">
        <v>43616.0</v>
      </c>
      <c r="B1014" s="24">
        <v>6455.8</v>
      </c>
      <c r="C1014" s="24">
        <v>6491.7</v>
      </c>
      <c r="D1014" s="24">
        <v>6362.2</v>
      </c>
      <c r="E1014" s="24">
        <v>6396.9</v>
      </c>
      <c r="F1014" s="25">
        <v>3.253973E9</v>
      </c>
      <c r="G1014" s="25">
        <v>2.926309E10</v>
      </c>
      <c r="H1014" s="3">
        <f t="shared" si="1"/>
        <v>211579.6785</v>
      </c>
    </row>
    <row r="1015" ht="15.75" customHeight="1">
      <c r="A1015" s="23">
        <v>43623.0</v>
      </c>
      <c r="B1015" s="24">
        <v>6396.9</v>
      </c>
      <c r="C1015" s="24">
        <v>6443.9</v>
      </c>
      <c r="D1015" s="24">
        <v>6315.6</v>
      </c>
      <c r="E1015" s="24">
        <v>6443.9</v>
      </c>
      <c r="F1015" s="25">
        <v>3.212106E9</v>
      </c>
      <c r="G1015" s="25">
        <v>2.764182E10</v>
      </c>
      <c r="H1015" s="3">
        <f t="shared" si="1"/>
        <v>213134.2198</v>
      </c>
    </row>
    <row r="1016" ht="15.75" customHeight="1">
      <c r="A1016" s="23">
        <v>43630.0</v>
      </c>
      <c r="B1016" s="24">
        <v>6443.9</v>
      </c>
      <c r="C1016" s="24">
        <v>6587.3</v>
      </c>
      <c r="D1016" s="24">
        <v>6443.9</v>
      </c>
      <c r="E1016" s="24">
        <v>6554.0</v>
      </c>
      <c r="F1016" s="25">
        <v>2.632582E9</v>
      </c>
      <c r="G1016" s="25">
        <v>2.236039E10</v>
      </c>
      <c r="H1016" s="3">
        <f t="shared" si="1"/>
        <v>216775.8153</v>
      </c>
    </row>
    <row r="1017" ht="15.75" customHeight="1">
      <c r="A1017" s="23">
        <v>43637.0</v>
      </c>
      <c r="B1017" s="24">
        <v>6554.0</v>
      </c>
      <c r="C1017" s="24">
        <v>6691.5</v>
      </c>
      <c r="D1017" s="24">
        <v>6527.0</v>
      </c>
      <c r="E1017" s="24">
        <v>6650.8</v>
      </c>
      <c r="F1017" s="25">
        <v>4.33904E9</v>
      </c>
      <c r="G1017" s="25">
        <v>3.567656E10</v>
      </c>
      <c r="H1017" s="3">
        <f t="shared" si="1"/>
        <v>219977.5088</v>
      </c>
    </row>
    <row r="1018" ht="15.75" customHeight="1">
      <c r="A1018" s="23">
        <v>43644.0</v>
      </c>
      <c r="B1018" s="24">
        <v>6650.8</v>
      </c>
      <c r="C1018" s="24">
        <v>6680.3</v>
      </c>
      <c r="D1018" s="24">
        <v>6606.3</v>
      </c>
      <c r="E1018" s="24">
        <v>6618.8</v>
      </c>
      <c r="F1018" s="25">
        <v>3.400891E9</v>
      </c>
      <c r="G1018" s="25">
        <v>2.847548E10</v>
      </c>
      <c r="H1018" s="3">
        <f t="shared" si="1"/>
        <v>218919.0977</v>
      </c>
    </row>
    <row r="1019" ht="15.75" customHeight="1">
      <c r="A1019" s="23">
        <v>43651.0</v>
      </c>
      <c r="B1019" s="24">
        <v>6618.8</v>
      </c>
      <c r="C1019" s="24">
        <v>6769.6</v>
      </c>
      <c r="D1019" s="24">
        <v>6618.8</v>
      </c>
      <c r="E1019" s="24">
        <v>6751.3</v>
      </c>
      <c r="F1019" s="25">
        <v>2.944302E9</v>
      </c>
      <c r="G1019" s="25">
        <v>2.423892E10</v>
      </c>
      <c r="H1019" s="3">
        <f t="shared" si="1"/>
        <v>223301.581</v>
      </c>
    </row>
    <row r="1020" ht="15.75" customHeight="1">
      <c r="A1020" s="23">
        <v>43658.0</v>
      </c>
      <c r="B1020" s="24">
        <v>6740.0</v>
      </c>
      <c r="C1020" s="24">
        <v>6751.3</v>
      </c>
      <c r="D1020" s="24">
        <v>6641.4</v>
      </c>
      <c r="E1020" s="24">
        <v>6696.5</v>
      </c>
      <c r="F1020" s="25">
        <v>2.850533E9</v>
      </c>
      <c r="G1020" s="25">
        <v>2.3388E10</v>
      </c>
      <c r="H1020" s="3">
        <f t="shared" si="1"/>
        <v>221489.0521</v>
      </c>
    </row>
    <row r="1021" ht="15.75" customHeight="1">
      <c r="A1021" s="23">
        <v>43665.0</v>
      </c>
      <c r="B1021" s="24">
        <v>6694.9</v>
      </c>
      <c r="C1021" s="24">
        <v>6705.4</v>
      </c>
      <c r="D1021" s="24">
        <v>6626.6</v>
      </c>
      <c r="E1021" s="24">
        <v>6700.3</v>
      </c>
      <c r="F1021" s="25">
        <v>2.550978E9</v>
      </c>
      <c r="G1021" s="25">
        <v>2.035029E10</v>
      </c>
      <c r="H1021" s="3">
        <f t="shared" si="1"/>
        <v>221614.7384</v>
      </c>
    </row>
    <row r="1022" ht="15.75" customHeight="1">
      <c r="A1022" s="23">
        <v>43672.0</v>
      </c>
      <c r="B1022" s="24">
        <v>6700.3</v>
      </c>
      <c r="C1022" s="24">
        <v>6818.0</v>
      </c>
      <c r="D1022" s="24">
        <v>6673.2</v>
      </c>
      <c r="E1022" s="24">
        <v>6793.4</v>
      </c>
      <c r="F1022" s="25">
        <v>3.099395E9</v>
      </c>
      <c r="G1022" s="25">
        <v>2.868808E10</v>
      </c>
      <c r="H1022" s="3">
        <f t="shared" si="1"/>
        <v>224694.0531</v>
      </c>
    </row>
    <row r="1023" ht="15.75" customHeight="1">
      <c r="A1023" s="23">
        <v>43679.0</v>
      </c>
      <c r="B1023" s="24">
        <v>6793.4</v>
      </c>
      <c r="C1023" s="24">
        <v>6875.5</v>
      </c>
      <c r="D1023" s="24">
        <v>6747.8</v>
      </c>
      <c r="E1023" s="24">
        <v>6768.6</v>
      </c>
      <c r="F1023" s="25">
        <v>3.087725E9</v>
      </c>
      <c r="G1023" s="25">
        <v>2.758898E10</v>
      </c>
      <c r="H1023" s="3">
        <f t="shared" si="1"/>
        <v>223873.7845</v>
      </c>
    </row>
    <row r="1024" ht="15.75" customHeight="1">
      <c r="A1024" s="23">
        <v>43686.0</v>
      </c>
      <c r="B1024" s="24">
        <v>6768.6</v>
      </c>
      <c r="C1024" s="24">
        <v>6768.6</v>
      </c>
      <c r="D1024" s="24">
        <v>6444.4</v>
      </c>
      <c r="E1024" s="24">
        <v>6584.4</v>
      </c>
      <c r="F1024" s="25">
        <v>3.476405E9</v>
      </c>
      <c r="G1024" s="25">
        <v>3.012393E10</v>
      </c>
      <c r="H1024" s="3">
        <f t="shared" si="1"/>
        <v>217781.3058</v>
      </c>
    </row>
    <row r="1025" ht="15.75" customHeight="1">
      <c r="A1025" s="23">
        <v>43693.0</v>
      </c>
      <c r="B1025" s="24">
        <v>6584.4</v>
      </c>
      <c r="C1025" s="24">
        <v>6600.7</v>
      </c>
      <c r="D1025" s="24">
        <v>6396.0</v>
      </c>
      <c r="E1025" s="24">
        <v>6405.5</v>
      </c>
      <c r="F1025" s="25">
        <v>3.594935E9</v>
      </c>
      <c r="G1025" s="25">
        <v>2.950973E10</v>
      </c>
      <c r="H1025" s="3">
        <f t="shared" si="1"/>
        <v>211864.1265</v>
      </c>
    </row>
    <row r="1026" ht="15.75" customHeight="1">
      <c r="A1026" s="23">
        <v>43700.0</v>
      </c>
      <c r="B1026" s="24">
        <v>6405.5</v>
      </c>
      <c r="C1026" s="24">
        <v>6545.0</v>
      </c>
      <c r="D1026" s="24">
        <v>6405.5</v>
      </c>
      <c r="E1026" s="24">
        <v>6523.1</v>
      </c>
      <c r="F1026" s="25">
        <v>3.253257E9</v>
      </c>
      <c r="G1026" s="25">
        <v>2.71784E10</v>
      </c>
      <c r="H1026" s="3">
        <f t="shared" si="1"/>
        <v>215753.7871</v>
      </c>
    </row>
    <row r="1027" ht="15.75" customHeight="1">
      <c r="A1027" s="23">
        <v>43707.0</v>
      </c>
      <c r="B1027" s="24">
        <v>6523.1</v>
      </c>
      <c r="C1027" s="24">
        <v>6612.1</v>
      </c>
      <c r="D1027" s="24">
        <v>6409.8</v>
      </c>
      <c r="E1027" s="24">
        <v>6604.2</v>
      </c>
      <c r="F1027" s="25">
        <v>3.959812E9</v>
      </c>
      <c r="G1027" s="25">
        <v>3.2544E10</v>
      </c>
      <c r="H1027" s="3">
        <f t="shared" si="1"/>
        <v>218436.1977</v>
      </c>
    </row>
    <row r="1028" ht="15.75" customHeight="1">
      <c r="A1028" s="23">
        <v>43714.0</v>
      </c>
      <c r="B1028" s="24">
        <v>6604.2</v>
      </c>
      <c r="C1028" s="24">
        <v>6656.1</v>
      </c>
      <c r="D1028" s="24">
        <v>6503.9</v>
      </c>
      <c r="E1028" s="24">
        <v>6647.3</v>
      </c>
      <c r="F1028" s="25">
        <v>3.19928E9</v>
      </c>
      <c r="G1028" s="25">
        <v>2.442336E10</v>
      </c>
      <c r="H1028" s="3">
        <f t="shared" si="1"/>
        <v>219861.7451</v>
      </c>
    </row>
    <row r="1029" ht="15.75" customHeight="1">
      <c r="A1029" s="23">
        <v>43721.0</v>
      </c>
      <c r="B1029" s="24">
        <v>6647.3</v>
      </c>
      <c r="C1029" s="24">
        <v>6687.4</v>
      </c>
      <c r="D1029" s="24">
        <v>6595.7</v>
      </c>
      <c r="E1029" s="24">
        <v>6669.2</v>
      </c>
      <c r="F1029" s="25">
        <v>3.43723E9</v>
      </c>
      <c r="G1029" s="25">
        <v>2.827931E10</v>
      </c>
      <c r="H1029" s="3">
        <f t="shared" si="1"/>
        <v>220586.0951</v>
      </c>
    </row>
    <row r="1030" ht="15.75" customHeight="1">
      <c r="A1030" s="23">
        <v>43728.0</v>
      </c>
      <c r="B1030" s="24">
        <v>6669.2</v>
      </c>
      <c r="C1030" s="24">
        <v>6775.6</v>
      </c>
      <c r="D1030" s="24">
        <v>6646.6</v>
      </c>
      <c r="E1030" s="24">
        <v>6730.8</v>
      </c>
      <c r="F1030" s="25">
        <v>4.501365E9</v>
      </c>
      <c r="G1030" s="25">
        <v>4.085618E10</v>
      </c>
      <c r="H1030" s="3">
        <f t="shared" si="1"/>
        <v>222623.5364</v>
      </c>
    </row>
    <row r="1031" ht="15.75" customHeight="1">
      <c r="A1031" s="23">
        <v>43735.0</v>
      </c>
      <c r="B1031" s="24">
        <v>6730.8</v>
      </c>
      <c r="C1031" s="24">
        <v>6770.0</v>
      </c>
      <c r="D1031" s="24">
        <v>6667.1</v>
      </c>
      <c r="E1031" s="24">
        <v>6716.1</v>
      </c>
      <c r="F1031" s="25">
        <v>2.955242E9</v>
      </c>
      <c r="G1031" s="25">
        <v>2.713371E10</v>
      </c>
      <c r="H1031" s="3">
        <f t="shared" si="1"/>
        <v>222137.3288</v>
      </c>
    </row>
    <row r="1032" ht="15.75" customHeight="1">
      <c r="A1032" s="23">
        <v>43742.0</v>
      </c>
      <c r="B1032" s="24">
        <v>6715.9</v>
      </c>
      <c r="C1032" s="24">
        <v>6743.7</v>
      </c>
      <c r="D1032" s="24">
        <v>6475.4</v>
      </c>
      <c r="E1032" s="24">
        <v>6517.1</v>
      </c>
      <c r="F1032" s="25">
        <v>3.018939E9</v>
      </c>
      <c r="G1032" s="25">
        <v>2.582514E10</v>
      </c>
      <c r="H1032" s="3">
        <f t="shared" si="1"/>
        <v>215555.3351</v>
      </c>
    </row>
    <row r="1033" ht="15.75" customHeight="1">
      <c r="A1033" s="23">
        <v>43749.0</v>
      </c>
      <c r="B1033" s="24">
        <v>6517.1</v>
      </c>
      <c r="C1033" s="24">
        <v>6614.6</v>
      </c>
      <c r="D1033" s="24">
        <v>6517.1</v>
      </c>
      <c r="E1033" s="24">
        <v>6606.8</v>
      </c>
      <c r="F1033" s="25">
        <v>2.329895E9</v>
      </c>
      <c r="G1033" s="25">
        <v>1.936477E10</v>
      </c>
      <c r="H1033" s="3">
        <f t="shared" si="1"/>
        <v>218522.1936</v>
      </c>
    </row>
    <row r="1034" ht="15.75" customHeight="1">
      <c r="A1034" s="23">
        <v>43756.0</v>
      </c>
      <c r="B1034" s="24">
        <v>6606.8</v>
      </c>
      <c r="C1034" s="24">
        <v>6737.8</v>
      </c>
      <c r="D1034" s="24">
        <v>6606.8</v>
      </c>
      <c r="E1034" s="24">
        <v>6649.7</v>
      </c>
      <c r="F1034" s="25">
        <v>3.175113E9</v>
      </c>
      <c r="G1034" s="25">
        <v>2.584697E10</v>
      </c>
      <c r="H1034" s="3">
        <f t="shared" si="1"/>
        <v>219941.1259</v>
      </c>
    </row>
    <row r="1035" ht="15.75" customHeight="1">
      <c r="A1035" s="23">
        <v>43763.0</v>
      </c>
      <c r="B1035" s="24">
        <v>6649.7</v>
      </c>
      <c r="C1035" s="24">
        <v>6741.5</v>
      </c>
      <c r="D1035" s="24">
        <v>6612.4</v>
      </c>
      <c r="E1035" s="24">
        <v>6739.2</v>
      </c>
      <c r="F1035" s="25">
        <v>2.82775E9</v>
      </c>
      <c r="G1035" s="25">
        <v>2.303004E10</v>
      </c>
      <c r="H1035" s="3">
        <f t="shared" si="1"/>
        <v>222901.3693</v>
      </c>
    </row>
    <row r="1036" ht="15.75" customHeight="1">
      <c r="A1036" s="23">
        <v>43770.0</v>
      </c>
      <c r="B1036" s="24">
        <v>6739.9</v>
      </c>
      <c r="C1036" s="24">
        <v>6766.2</v>
      </c>
      <c r="D1036" s="24">
        <v>6634.7</v>
      </c>
      <c r="E1036" s="24">
        <v>6669.1</v>
      </c>
      <c r="F1036" s="25">
        <v>2.857761E9</v>
      </c>
      <c r="G1036" s="25">
        <v>2.333615E10</v>
      </c>
      <c r="H1036" s="3">
        <f t="shared" si="1"/>
        <v>220582.7876</v>
      </c>
    </row>
    <row r="1037" ht="15.75" customHeight="1">
      <c r="A1037" s="23">
        <v>43777.0</v>
      </c>
      <c r="B1037" s="24">
        <v>6669.1</v>
      </c>
      <c r="C1037" s="24">
        <v>6742.2</v>
      </c>
      <c r="D1037" s="24">
        <v>6658.2</v>
      </c>
      <c r="E1037" s="24">
        <v>6724.1</v>
      </c>
      <c r="F1037" s="25">
        <v>2.918432E9</v>
      </c>
      <c r="G1037" s="25">
        <v>2.683023E10</v>
      </c>
      <c r="H1037" s="3">
        <f t="shared" si="1"/>
        <v>222401.9316</v>
      </c>
    </row>
    <row r="1038" ht="15.75" customHeight="1">
      <c r="A1038" s="23">
        <v>43784.0</v>
      </c>
      <c r="B1038" s="24">
        <v>6724.1</v>
      </c>
      <c r="C1038" s="24">
        <v>6798.7</v>
      </c>
      <c r="D1038" s="24">
        <v>6687.7</v>
      </c>
      <c r="E1038" s="24">
        <v>6793.7</v>
      </c>
      <c r="F1038" s="25">
        <v>3.023791E9</v>
      </c>
      <c r="G1038" s="25">
        <v>2.72015E10</v>
      </c>
      <c r="H1038" s="3">
        <f t="shared" si="1"/>
        <v>224703.9757</v>
      </c>
    </row>
    <row r="1039" ht="15.75" customHeight="1">
      <c r="A1039" s="23">
        <v>43791.0</v>
      </c>
      <c r="B1039" s="24">
        <v>6793.7</v>
      </c>
      <c r="C1039" s="24">
        <v>6814.2</v>
      </c>
      <c r="D1039" s="24">
        <v>6637.3</v>
      </c>
      <c r="E1039" s="24">
        <v>6709.8</v>
      </c>
      <c r="F1039" s="25">
        <v>2.899644E9</v>
      </c>
      <c r="G1039" s="25">
        <v>2.583113E10</v>
      </c>
      <c r="H1039" s="3">
        <f t="shared" si="1"/>
        <v>221928.9542</v>
      </c>
    </row>
    <row r="1040" ht="15.75" customHeight="1">
      <c r="A1040" s="23">
        <v>43798.0</v>
      </c>
      <c r="B1040" s="24">
        <v>6712.0</v>
      </c>
      <c r="C1040" s="24">
        <v>6893.7</v>
      </c>
      <c r="D1040" s="24">
        <v>6712.0</v>
      </c>
      <c r="E1040" s="24">
        <v>6846.0</v>
      </c>
      <c r="F1040" s="25">
        <v>3.269527E9</v>
      </c>
      <c r="G1040" s="25">
        <v>3.016825E10</v>
      </c>
      <c r="H1040" s="3">
        <f t="shared" si="1"/>
        <v>226433.8162</v>
      </c>
    </row>
    <row r="1041" ht="15.75" customHeight="1">
      <c r="A1041" s="23">
        <v>43805.0</v>
      </c>
      <c r="B1041" s="24">
        <v>6846.0</v>
      </c>
      <c r="C1041" s="24">
        <v>6890.0</v>
      </c>
      <c r="D1041" s="24">
        <v>6590.1</v>
      </c>
      <c r="E1041" s="24">
        <v>6707.0</v>
      </c>
      <c r="F1041" s="25">
        <v>3.025099E9</v>
      </c>
      <c r="G1041" s="25">
        <v>2.73601E10</v>
      </c>
      <c r="H1041" s="3">
        <f t="shared" si="1"/>
        <v>221836.3432</v>
      </c>
    </row>
    <row r="1042" ht="15.75" customHeight="1">
      <c r="A1042" s="23">
        <v>43812.0</v>
      </c>
      <c r="B1042" s="24">
        <v>6707.0</v>
      </c>
      <c r="C1042" s="24">
        <v>6753.1</v>
      </c>
      <c r="D1042" s="24">
        <v>6701.2</v>
      </c>
      <c r="E1042" s="24">
        <v>6739.7</v>
      </c>
      <c r="F1042" s="25">
        <v>2.893419E9</v>
      </c>
      <c r="G1042" s="25">
        <v>2.43659E10</v>
      </c>
      <c r="H1042" s="3">
        <f t="shared" si="1"/>
        <v>222917.907</v>
      </c>
    </row>
    <row r="1043" ht="15.75" customHeight="1">
      <c r="A1043" s="23">
        <v>43819.0</v>
      </c>
      <c r="B1043" s="24">
        <v>6741.6</v>
      </c>
      <c r="C1043" s="24">
        <v>6872.8</v>
      </c>
      <c r="D1043" s="24">
        <v>6741.6</v>
      </c>
      <c r="E1043" s="24">
        <v>6816.3</v>
      </c>
      <c r="F1043" s="25">
        <v>3.705434E9</v>
      </c>
      <c r="G1043" s="25">
        <v>3.408938E10</v>
      </c>
      <c r="H1043" s="3">
        <f t="shared" si="1"/>
        <v>225451.4785</v>
      </c>
    </row>
    <row r="1044" ht="15.75" customHeight="1">
      <c r="A1044" s="23">
        <v>43826.0</v>
      </c>
      <c r="B1044" s="24">
        <v>6816.3</v>
      </c>
      <c r="C1044" s="24">
        <v>6822.1</v>
      </c>
      <c r="D1044" s="24">
        <v>6776.2</v>
      </c>
      <c r="E1044" s="24">
        <v>6821.7</v>
      </c>
      <c r="F1044" s="25">
        <v>8.566161E8</v>
      </c>
      <c r="G1044" s="25">
        <v>6.985754E9</v>
      </c>
      <c r="H1044" s="3">
        <f t="shared" si="1"/>
        <v>225630.0853</v>
      </c>
    </row>
    <row r="1045" ht="15.75" customHeight="1">
      <c r="A1045" s="23">
        <v>43833.0</v>
      </c>
      <c r="B1045" s="24">
        <v>6821.7</v>
      </c>
      <c r="C1045" s="24">
        <v>6824.7</v>
      </c>
      <c r="D1045" s="24">
        <v>6669.2</v>
      </c>
      <c r="E1045" s="24">
        <v>6733.5</v>
      </c>
      <c r="F1045" s="25">
        <v>1.279047E9</v>
      </c>
      <c r="G1045" s="25">
        <v>1.049373E10</v>
      </c>
      <c r="H1045" s="3">
        <f t="shared" si="1"/>
        <v>222712.8398</v>
      </c>
    </row>
    <row r="1046" ht="15.75" customHeight="1">
      <c r="A1046" s="23">
        <v>43840.0</v>
      </c>
      <c r="B1046" s="24">
        <v>6733.1</v>
      </c>
      <c r="C1046" s="24">
        <v>6933.2</v>
      </c>
      <c r="D1046" s="24">
        <v>6671.7</v>
      </c>
      <c r="E1046" s="24">
        <v>6929.0</v>
      </c>
      <c r="F1046" s="25">
        <v>2.505965E9</v>
      </c>
      <c r="G1046" s="25">
        <v>2.114986E10</v>
      </c>
      <c r="H1046" s="3">
        <f t="shared" si="1"/>
        <v>229179.0699</v>
      </c>
    </row>
    <row r="1047" ht="15.75" customHeight="1">
      <c r="A1047" s="23">
        <v>43847.0</v>
      </c>
      <c r="B1047" s="24">
        <v>6929.0</v>
      </c>
      <c r="C1047" s="24">
        <v>7088.1</v>
      </c>
      <c r="D1047" s="24">
        <v>6880.7</v>
      </c>
      <c r="E1047" s="24">
        <v>7064.1</v>
      </c>
      <c r="F1047" s="25">
        <v>2.529704E9</v>
      </c>
      <c r="G1047" s="25">
        <v>2.125108E10</v>
      </c>
      <c r="H1047" s="3">
        <f t="shared" si="1"/>
        <v>233647.5491</v>
      </c>
    </row>
    <row r="1048" ht="15.75" customHeight="1">
      <c r="A1048" s="23">
        <v>43854.0</v>
      </c>
      <c r="B1048" s="24">
        <v>7064.1</v>
      </c>
      <c r="C1048" s="24">
        <v>7144.9</v>
      </c>
      <c r="D1048" s="24">
        <v>7040.7</v>
      </c>
      <c r="E1048" s="24">
        <v>7090.5</v>
      </c>
      <c r="F1048" s="25">
        <v>2.523519E9</v>
      </c>
      <c r="G1048" s="25">
        <v>2.398608E10</v>
      </c>
      <c r="H1048" s="3">
        <f t="shared" si="1"/>
        <v>234520.7382</v>
      </c>
    </row>
    <row r="1049" ht="15.75" customHeight="1">
      <c r="A1049" s="23">
        <v>43861.0</v>
      </c>
      <c r="B1049" s="24">
        <v>7051.2</v>
      </c>
      <c r="C1049" s="24">
        <v>7090.5</v>
      </c>
      <c r="D1049" s="24">
        <v>6964.7</v>
      </c>
      <c r="E1049" s="24">
        <v>7017.2</v>
      </c>
      <c r="F1049" s="25">
        <v>2.651992E9</v>
      </c>
      <c r="G1049" s="25">
        <v>2.494224E10</v>
      </c>
      <c r="H1049" s="3">
        <f t="shared" si="1"/>
        <v>232096.3154</v>
      </c>
    </row>
    <row r="1050" ht="15.75" customHeight="1">
      <c r="A1050" s="23">
        <v>43868.0</v>
      </c>
      <c r="B1050" s="24">
        <v>7017.2</v>
      </c>
      <c r="C1050" s="24">
        <v>7051.6</v>
      </c>
      <c r="D1050" s="24">
        <v>6897.0</v>
      </c>
      <c r="E1050" s="24">
        <v>7022.6</v>
      </c>
      <c r="F1050" s="25">
        <v>3.198891E9</v>
      </c>
      <c r="G1050" s="25">
        <v>2.814455E10</v>
      </c>
      <c r="H1050" s="3">
        <f t="shared" si="1"/>
        <v>232274.9223</v>
      </c>
    </row>
    <row r="1051" ht="15.75" customHeight="1">
      <c r="A1051" s="23">
        <v>43875.0</v>
      </c>
      <c r="B1051" s="24">
        <v>7022.6</v>
      </c>
      <c r="C1051" s="24">
        <v>7145.8</v>
      </c>
      <c r="D1051" s="24">
        <v>6982.6</v>
      </c>
      <c r="E1051" s="24">
        <v>7130.2</v>
      </c>
      <c r="F1051" s="25">
        <v>3.329474E9</v>
      </c>
      <c r="G1051" s="25">
        <v>3.004025E10</v>
      </c>
      <c r="H1051" s="3">
        <f t="shared" si="1"/>
        <v>235833.8295</v>
      </c>
    </row>
    <row r="1052" ht="15.75" customHeight="1">
      <c r="A1052" s="23">
        <v>43882.0</v>
      </c>
      <c r="B1052" s="24">
        <v>7130.2</v>
      </c>
      <c r="C1052" s="24">
        <v>7197.2</v>
      </c>
      <c r="D1052" s="24">
        <v>7096.8</v>
      </c>
      <c r="E1052" s="24">
        <v>7139.0</v>
      </c>
      <c r="F1052" s="25">
        <v>3.901446E9</v>
      </c>
      <c r="G1052" s="25">
        <v>3.172768E10</v>
      </c>
      <c r="H1052" s="3">
        <f t="shared" si="1"/>
        <v>236124.8925</v>
      </c>
    </row>
    <row r="1053" ht="15.75" customHeight="1">
      <c r="A1053" s="23">
        <v>43889.0</v>
      </c>
      <c r="B1053" s="24">
        <v>7139.0</v>
      </c>
      <c r="C1053" s="24">
        <v>7139.0</v>
      </c>
      <c r="D1053" s="24">
        <v>6426.8</v>
      </c>
      <c r="E1053" s="24">
        <v>6441.2</v>
      </c>
      <c r="F1053" s="25">
        <v>5.404887E9</v>
      </c>
      <c r="G1053" s="25">
        <v>4.539804E10</v>
      </c>
      <c r="H1053" s="3">
        <f t="shared" si="1"/>
        <v>213044.9163</v>
      </c>
    </row>
    <row r="1054" ht="15.75" customHeight="1">
      <c r="A1054" s="23">
        <v>43896.0</v>
      </c>
      <c r="B1054" s="24">
        <v>6438.9</v>
      </c>
      <c r="C1054" s="24">
        <v>6524.3</v>
      </c>
      <c r="D1054" s="24">
        <v>6216.2</v>
      </c>
      <c r="E1054" s="24">
        <v>6216.2</v>
      </c>
      <c r="F1054" s="25">
        <v>5.204254E9</v>
      </c>
      <c r="G1054" s="25">
        <v>4.215024E10</v>
      </c>
      <c r="H1054" s="3">
        <f t="shared" si="1"/>
        <v>205602.9636</v>
      </c>
    </row>
    <row r="1055" ht="15.75" customHeight="1">
      <c r="A1055" s="23">
        <v>43903.0</v>
      </c>
      <c r="B1055" s="24">
        <v>6216.2</v>
      </c>
      <c r="C1055" s="24">
        <v>6216.2</v>
      </c>
      <c r="D1055" s="24">
        <v>4873.7</v>
      </c>
      <c r="E1055" s="24">
        <v>5539.3</v>
      </c>
      <c r="F1055" s="25">
        <v>8.733643E9</v>
      </c>
      <c r="G1055" s="25">
        <v>6.338836E10</v>
      </c>
      <c r="H1055" s="3">
        <f t="shared" si="1"/>
        <v>183214.2621</v>
      </c>
    </row>
    <row r="1056" ht="15.75" customHeight="1">
      <c r="A1056" s="23">
        <v>43910.0</v>
      </c>
      <c r="B1056" s="24">
        <v>5539.3</v>
      </c>
      <c r="C1056" s="24">
        <v>5539.3</v>
      </c>
      <c r="D1056" s="24">
        <v>4741.0</v>
      </c>
      <c r="E1056" s="24">
        <v>4816.6</v>
      </c>
      <c r="F1056" s="25">
        <v>9.160127E9</v>
      </c>
      <c r="G1056" s="25">
        <v>6.240966E10</v>
      </c>
      <c r="H1056" s="3">
        <f t="shared" si="1"/>
        <v>159310.7098</v>
      </c>
    </row>
    <row r="1057" ht="15.75" customHeight="1">
      <c r="A1057" s="23">
        <v>43917.0</v>
      </c>
      <c r="B1057" s="24">
        <v>4816.6</v>
      </c>
      <c r="C1057" s="24">
        <v>5236.7</v>
      </c>
      <c r="D1057" s="24">
        <v>4402.5</v>
      </c>
      <c r="E1057" s="24">
        <v>4842.4</v>
      </c>
      <c r="F1057" s="25">
        <v>6.918853E9</v>
      </c>
      <c r="G1057" s="25">
        <v>4.722011E10</v>
      </c>
      <c r="H1057" s="3">
        <f t="shared" si="1"/>
        <v>160164.0537</v>
      </c>
    </row>
    <row r="1058" ht="15.75" customHeight="1">
      <c r="A1058" s="23">
        <v>43924.0</v>
      </c>
      <c r="B1058" s="24">
        <v>4842.4</v>
      </c>
      <c r="C1058" s="24">
        <v>5366.4</v>
      </c>
      <c r="D1058" s="24">
        <v>4833.1</v>
      </c>
      <c r="E1058" s="24">
        <v>5067.5</v>
      </c>
      <c r="F1058" s="25">
        <v>5.713155E9</v>
      </c>
      <c r="G1058" s="25">
        <v>4.061383E10</v>
      </c>
      <c r="H1058" s="3">
        <f t="shared" si="1"/>
        <v>167609.314</v>
      </c>
    </row>
    <row r="1059" ht="15.75" customHeight="1">
      <c r="A1059" s="23">
        <v>43930.0</v>
      </c>
      <c r="B1059" s="24">
        <v>5067.5</v>
      </c>
      <c r="C1059" s="24">
        <v>5423.1</v>
      </c>
      <c r="D1059" s="24">
        <v>5067.5</v>
      </c>
      <c r="E1059" s="24">
        <v>5387.3</v>
      </c>
      <c r="F1059" s="25">
        <v>4.098575E9</v>
      </c>
      <c r="G1059" s="25">
        <v>2.794075E10</v>
      </c>
      <c r="H1059" s="3">
        <f t="shared" si="1"/>
        <v>178186.8096</v>
      </c>
    </row>
    <row r="1060" ht="15.75" customHeight="1">
      <c r="A1060" s="23">
        <v>43938.0</v>
      </c>
      <c r="B1060" s="24">
        <v>5387.3</v>
      </c>
      <c r="C1060" s="24">
        <v>5563.6</v>
      </c>
      <c r="D1060" s="24">
        <v>5345.0</v>
      </c>
      <c r="E1060" s="24">
        <v>5487.5</v>
      </c>
      <c r="F1060" s="25">
        <v>4.415913E9</v>
      </c>
      <c r="G1060" s="25">
        <v>2.886196E10</v>
      </c>
      <c r="H1060" s="3">
        <f t="shared" si="1"/>
        <v>181500.9592</v>
      </c>
    </row>
    <row r="1061" ht="15.75" customHeight="1">
      <c r="A1061" s="23">
        <v>43945.0</v>
      </c>
      <c r="B1061" s="24">
        <v>5486.3</v>
      </c>
      <c r="C1061" s="24">
        <v>5490.6</v>
      </c>
      <c r="D1061" s="24">
        <v>5100.7</v>
      </c>
      <c r="E1061" s="24">
        <v>5242.6</v>
      </c>
      <c r="F1061" s="25">
        <v>4.4636E9</v>
      </c>
      <c r="G1061" s="25">
        <v>2.949773E10</v>
      </c>
      <c r="H1061" s="3">
        <f t="shared" si="1"/>
        <v>173400.807</v>
      </c>
    </row>
    <row r="1062" ht="15.75" customHeight="1">
      <c r="A1062" s="23">
        <v>43952.0</v>
      </c>
      <c r="B1062" s="24">
        <v>5242.6</v>
      </c>
      <c r="C1062" s="24">
        <v>5549.1</v>
      </c>
      <c r="D1062" s="24">
        <v>5214.8</v>
      </c>
      <c r="E1062" s="24">
        <v>5245.9</v>
      </c>
      <c r="F1062" s="25">
        <v>4.631251E9</v>
      </c>
      <c r="G1062" s="25">
        <v>3.263418E10</v>
      </c>
      <c r="H1062" s="3">
        <f t="shared" si="1"/>
        <v>173509.9557</v>
      </c>
    </row>
    <row r="1063" ht="15.75" customHeight="1">
      <c r="A1063" s="23">
        <v>43959.0</v>
      </c>
      <c r="B1063" s="24">
        <v>5245.9</v>
      </c>
      <c r="C1063" s="24">
        <v>5428.0</v>
      </c>
      <c r="D1063" s="24">
        <v>5169.6</v>
      </c>
      <c r="E1063" s="24">
        <v>5391.1</v>
      </c>
      <c r="F1063" s="25">
        <v>3.901394E9</v>
      </c>
      <c r="G1063" s="25">
        <v>2.753344E10</v>
      </c>
      <c r="H1063" s="3">
        <f t="shared" si="1"/>
        <v>178312.4959</v>
      </c>
    </row>
    <row r="1064" ht="15.75" customHeight="1">
      <c r="A1064" s="23">
        <v>43966.0</v>
      </c>
      <c r="B1064" s="24">
        <v>5391.1</v>
      </c>
      <c r="C1064" s="24">
        <v>5489.5</v>
      </c>
      <c r="D1064" s="24">
        <v>5301.9</v>
      </c>
      <c r="E1064" s="24">
        <v>5404.8</v>
      </c>
      <c r="F1064" s="25">
        <v>4.137562E9</v>
      </c>
      <c r="G1064" s="25">
        <v>2.65277E10</v>
      </c>
      <c r="H1064" s="3">
        <f t="shared" si="1"/>
        <v>178765.6281</v>
      </c>
    </row>
    <row r="1065" ht="15.75" customHeight="1">
      <c r="A1065" s="23">
        <v>43973.0</v>
      </c>
      <c r="B1065" s="24">
        <v>5404.8</v>
      </c>
      <c r="C1065" s="24">
        <v>5610.8</v>
      </c>
      <c r="D1065" s="24">
        <v>5404.8</v>
      </c>
      <c r="E1065" s="24">
        <v>5497.0</v>
      </c>
      <c r="F1065" s="25">
        <v>4.086961E9</v>
      </c>
      <c r="G1065" s="25">
        <v>2.728667E10</v>
      </c>
      <c r="H1065" s="3">
        <f t="shared" si="1"/>
        <v>181815.175</v>
      </c>
    </row>
    <row r="1066" ht="15.75" customHeight="1">
      <c r="A1066" s="23">
        <v>43980.0</v>
      </c>
      <c r="B1066" s="24">
        <v>5497.0</v>
      </c>
      <c r="C1066" s="24">
        <v>5922.0</v>
      </c>
      <c r="D1066" s="24">
        <v>5497.0</v>
      </c>
      <c r="E1066" s="24">
        <v>5755.7</v>
      </c>
      <c r="F1066" s="25">
        <v>6.721227E9</v>
      </c>
      <c r="G1066" s="25">
        <v>4.74948E10</v>
      </c>
      <c r="H1066" s="3">
        <f t="shared" si="1"/>
        <v>190371.7669</v>
      </c>
    </row>
    <row r="1067" ht="15.75" customHeight="1">
      <c r="A1067" s="23">
        <v>43987.0</v>
      </c>
      <c r="B1067" s="24">
        <v>5755.7</v>
      </c>
      <c r="C1067" s="24">
        <v>6040.2</v>
      </c>
      <c r="D1067" s="24">
        <v>5705.4</v>
      </c>
      <c r="E1067" s="24">
        <v>5998.7</v>
      </c>
      <c r="F1067" s="25">
        <v>5.106819E9</v>
      </c>
      <c r="G1067" s="25">
        <v>3.466279E10</v>
      </c>
      <c r="H1067" s="3">
        <f t="shared" si="1"/>
        <v>198409.0759</v>
      </c>
    </row>
    <row r="1068" ht="15.75" customHeight="1">
      <c r="A1068" s="23">
        <v>43994.0</v>
      </c>
      <c r="B1068" s="24">
        <v>5998.7</v>
      </c>
      <c r="C1068" s="24">
        <v>6198.6</v>
      </c>
      <c r="D1068" s="24">
        <v>5756.5</v>
      </c>
      <c r="E1068" s="24">
        <v>5847.8</v>
      </c>
      <c r="F1068" s="25">
        <v>4.907468E9</v>
      </c>
      <c r="G1068" s="25">
        <v>3.415019E10</v>
      </c>
      <c r="H1068" s="3">
        <f t="shared" si="1"/>
        <v>193418.0062</v>
      </c>
    </row>
    <row r="1069" ht="15.75" customHeight="1">
      <c r="A1069" s="23">
        <v>44001.0</v>
      </c>
      <c r="B1069" s="24">
        <v>5847.8</v>
      </c>
      <c r="C1069" s="24">
        <v>6006.3</v>
      </c>
      <c r="D1069" s="24">
        <v>5719.8</v>
      </c>
      <c r="E1069" s="24">
        <v>5942.6</v>
      </c>
      <c r="F1069" s="25">
        <v>6.196036E9</v>
      </c>
      <c r="G1069" s="25">
        <v>4.401605E10</v>
      </c>
      <c r="H1069" s="3">
        <f t="shared" si="1"/>
        <v>196553.549</v>
      </c>
    </row>
    <row r="1070" ht="15.75" customHeight="1">
      <c r="A1070" s="23">
        <v>44008.0</v>
      </c>
      <c r="B1070" s="24">
        <v>5942.6</v>
      </c>
      <c r="C1070" s="24">
        <v>5999.2</v>
      </c>
      <c r="D1070" s="24">
        <v>5817.7</v>
      </c>
      <c r="E1070" s="24">
        <v>5904.1</v>
      </c>
      <c r="F1070" s="25">
        <v>4.279813E9</v>
      </c>
      <c r="G1070" s="25">
        <v>3.024213E10</v>
      </c>
      <c r="H1070" s="3">
        <f t="shared" si="1"/>
        <v>195280.1482</v>
      </c>
    </row>
    <row r="1071" ht="15.75" customHeight="1">
      <c r="A1071" s="23">
        <v>44015.0</v>
      </c>
      <c r="B1071" s="24">
        <v>5904.1</v>
      </c>
      <c r="C1071" s="24">
        <v>6101.4</v>
      </c>
      <c r="D1071" s="24">
        <v>5773.2</v>
      </c>
      <c r="E1071" s="24">
        <v>6057.9</v>
      </c>
      <c r="F1071" s="25">
        <v>3.926256E9</v>
      </c>
      <c r="G1071" s="25">
        <v>2.797125E10</v>
      </c>
      <c r="H1071" s="3">
        <f t="shared" si="1"/>
        <v>200367.1363</v>
      </c>
    </row>
    <row r="1072" ht="15.75" customHeight="1">
      <c r="A1072" s="23">
        <v>44022.0</v>
      </c>
      <c r="B1072" s="24">
        <v>6057.9</v>
      </c>
      <c r="C1072" s="24">
        <v>6078.3</v>
      </c>
      <c r="D1072" s="24">
        <v>5899.5</v>
      </c>
      <c r="E1072" s="24">
        <v>5919.2</v>
      </c>
      <c r="F1072" s="25">
        <v>3.365418E9</v>
      </c>
      <c r="G1072" s="25">
        <v>2.547313E10</v>
      </c>
      <c r="H1072" s="3">
        <f t="shared" si="1"/>
        <v>195779.5859</v>
      </c>
    </row>
    <row r="1073" ht="15.75" customHeight="1">
      <c r="A1073" s="23">
        <v>44029.0</v>
      </c>
      <c r="B1073" s="24">
        <v>5998.4</v>
      </c>
      <c r="C1073" s="24">
        <v>6078.0</v>
      </c>
      <c r="D1073" s="24">
        <v>5918.8</v>
      </c>
      <c r="E1073" s="24">
        <v>6033.6</v>
      </c>
      <c r="F1073" s="25">
        <v>3.235487E9</v>
      </c>
      <c r="G1073" s="25">
        <v>2.574214E10</v>
      </c>
      <c r="H1073" s="3">
        <f t="shared" si="1"/>
        <v>199563.4054</v>
      </c>
    </row>
    <row r="1074" ht="15.75" customHeight="1">
      <c r="A1074" s="23">
        <v>44036.0</v>
      </c>
      <c r="B1074" s="24">
        <v>6033.6</v>
      </c>
      <c r="C1074" s="24">
        <v>6160.6</v>
      </c>
      <c r="D1074" s="24">
        <v>5991.9</v>
      </c>
      <c r="E1074" s="24">
        <v>6024.0</v>
      </c>
      <c r="F1074" s="25">
        <v>2.962388E9</v>
      </c>
      <c r="G1074" s="25">
        <v>2.202831E10</v>
      </c>
      <c r="H1074" s="3">
        <f t="shared" si="1"/>
        <v>199245.8821</v>
      </c>
    </row>
    <row r="1075" ht="15.75" customHeight="1">
      <c r="A1075" s="23">
        <v>44043.0</v>
      </c>
      <c r="B1075" s="24">
        <v>6024.0</v>
      </c>
      <c r="C1075" s="24">
        <v>6113.8</v>
      </c>
      <c r="D1075" s="24">
        <v>5893.2</v>
      </c>
      <c r="E1075" s="24">
        <v>5927.8</v>
      </c>
      <c r="F1075" s="25">
        <v>3.533026E9</v>
      </c>
      <c r="G1075" s="25">
        <v>2.698636E10</v>
      </c>
      <c r="H1075" s="3">
        <f t="shared" si="1"/>
        <v>196064.0339</v>
      </c>
    </row>
    <row r="1076" ht="15.75" customHeight="1">
      <c r="A1076" s="23">
        <v>44050.0</v>
      </c>
      <c r="B1076" s="24">
        <v>5927.8</v>
      </c>
      <c r="C1076" s="24">
        <v>6059.5</v>
      </c>
      <c r="D1076" s="24">
        <v>5860.7</v>
      </c>
      <c r="E1076" s="24">
        <v>6004.8</v>
      </c>
      <c r="F1076" s="25">
        <v>3.414718E9</v>
      </c>
      <c r="G1076" s="25">
        <v>2.623812E10</v>
      </c>
      <c r="H1076" s="3">
        <f t="shared" si="1"/>
        <v>198610.8355</v>
      </c>
    </row>
    <row r="1077" ht="15.75" customHeight="1">
      <c r="A1077" s="23">
        <v>44057.0</v>
      </c>
      <c r="B1077" s="24">
        <v>6004.8</v>
      </c>
      <c r="C1077" s="24">
        <v>6186.1</v>
      </c>
      <c r="D1077" s="24">
        <v>6004.8</v>
      </c>
      <c r="E1077" s="24">
        <v>6126.2</v>
      </c>
      <c r="F1077" s="25">
        <v>3.752733E9</v>
      </c>
      <c r="G1077" s="25">
        <v>2.934788E10</v>
      </c>
      <c r="H1077" s="3">
        <f t="shared" si="1"/>
        <v>202626.1824</v>
      </c>
    </row>
    <row r="1078" ht="15.75" customHeight="1">
      <c r="A1078" s="23">
        <v>44064.0</v>
      </c>
      <c r="B1078" s="24">
        <v>6126.2</v>
      </c>
      <c r="C1078" s="24">
        <v>6196.6</v>
      </c>
      <c r="D1078" s="24">
        <v>6059.3</v>
      </c>
      <c r="E1078" s="24">
        <v>6111.2</v>
      </c>
      <c r="F1078" s="25">
        <v>4.090026E9</v>
      </c>
      <c r="G1078" s="25">
        <v>3.190879E10</v>
      </c>
      <c r="H1078" s="3">
        <f t="shared" si="1"/>
        <v>202130.0523</v>
      </c>
    </row>
    <row r="1079" ht="15.75" customHeight="1">
      <c r="A1079" s="23">
        <v>44071.0</v>
      </c>
      <c r="B1079" s="24">
        <v>6111.2</v>
      </c>
      <c r="C1079" s="24">
        <v>6199.2</v>
      </c>
      <c r="D1079" s="24">
        <v>6056.0</v>
      </c>
      <c r="E1079" s="24">
        <v>6073.8</v>
      </c>
      <c r="F1079" s="25">
        <v>4.236599E9</v>
      </c>
      <c r="G1079" s="25">
        <v>3.170144E10</v>
      </c>
      <c r="H1079" s="3">
        <f t="shared" si="1"/>
        <v>200893.0343</v>
      </c>
    </row>
    <row r="1080" ht="15.75" customHeight="1">
      <c r="A1080" s="23">
        <v>44078.0</v>
      </c>
      <c r="B1080" s="24">
        <v>6073.8</v>
      </c>
      <c r="C1080" s="24">
        <v>6130.8</v>
      </c>
      <c r="D1080" s="24">
        <v>5908.9</v>
      </c>
      <c r="E1080" s="24">
        <v>5925.5</v>
      </c>
      <c r="F1080" s="25">
        <v>3.998766E9</v>
      </c>
      <c r="G1080" s="25">
        <v>3.082694E10</v>
      </c>
      <c r="H1080" s="3">
        <f t="shared" si="1"/>
        <v>195987.9606</v>
      </c>
    </row>
    <row r="1081" ht="15.75" customHeight="1">
      <c r="A1081" s="23">
        <v>44085.0</v>
      </c>
      <c r="B1081" s="24">
        <v>5925.5</v>
      </c>
      <c r="C1081" s="24">
        <v>6025.5</v>
      </c>
      <c r="D1081" s="24">
        <v>5836.2</v>
      </c>
      <c r="E1081" s="24">
        <v>5859.4</v>
      </c>
      <c r="F1081" s="25">
        <v>3.390567E9</v>
      </c>
      <c r="G1081" s="25">
        <v>2.46615E10</v>
      </c>
      <c r="H1081" s="3">
        <f t="shared" si="1"/>
        <v>193801.6802</v>
      </c>
    </row>
    <row r="1082" ht="15.75" customHeight="1">
      <c r="A1082" s="23">
        <v>44092.0</v>
      </c>
      <c r="B1082" s="24">
        <v>5859.4</v>
      </c>
      <c r="C1082" s="24">
        <v>5958.5</v>
      </c>
      <c r="D1082" s="24">
        <v>5859.4</v>
      </c>
      <c r="E1082" s="24">
        <v>5864.5</v>
      </c>
      <c r="F1082" s="25">
        <v>4.691381E9</v>
      </c>
      <c r="G1082" s="25">
        <v>3.58643E10</v>
      </c>
      <c r="H1082" s="3">
        <f t="shared" si="1"/>
        <v>193970.3645</v>
      </c>
    </row>
    <row r="1083" ht="15.75" customHeight="1">
      <c r="A1083" s="23">
        <v>44099.0</v>
      </c>
      <c r="B1083" s="24">
        <v>5864.5</v>
      </c>
      <c r="C1083" s="24">
        <v>5973.7</v>
      </c>
      <c r="D1083" s="24">
        <v>5763.2</v>
      </c>
      <c r="E1083" s="24">
        <v>5964.9</v>
      </c>
      <c r="F1083" s="25">
        <v>3.701911E9</v>
      </c>
      <c r="G1083" s="25">
        <v>2.811747E10</v>
      </c>
      <c r="H1083" s="3">
        <f t="shared" si="1"/>
        <v>197291.1292</v>
      </c>
    </row>
    <row r="1084" ht="15.75" customHeight="1">
      <c r="A1084" s="23">
        <v>44106.0</v>
      </c>
      <c r="B1084" s="24">
        <v>5964.9</v>
      </c>
      <c r="C1084" s="24">
        <v>5995.4</v>
      </c>
      <c r="D1084" s="24">
        <v>5779.6</v>
      </c>
      <c r="E1084" s="24">
        <v>5791.5</v>
      </c>
      <c r="F1084" s="25">
        <v>3.524037E9</v>
      </c>
      <c r="G1084" s="25">
        <v>2.600054E10</v>
      </c>
      <c r="H1084" s="3">
        <f t="shared" si="1"/>
        <v>191555.8643</v>
      </c>
    </row>
    <row r="1085" ht="15.75" customHeight="1">
      <c r="A1085" s="23">
        <v>44113.0</v>
      </c>
      <c r="B1085" s="24">
        <v>5791.5</v>
      </c>
      <c r="C1085" s="24">
        <v>6127.4</v>
      </c>
      <c r="D1085" s="24">
        <v>5791.5</v>
      </c>
      <c r="E1085" s="24">
        <v>6102.2</v>
      </c>
      <c r="F1085" s="25">
        <v>2.884426E9</v>
      </c>
      <c r="G1085" s="25">
        <v>2.233942E10</v>
      </c>
      <c r="H1085" s="3">
        <f t="shared" si="1"/>
        <v>201832.3741</v>
      </c>
    </row>
    <row r="1086" ht="15.75" customHeight="1">
      <c r="A1086" s="23">
        <v>44120.0</v>
      </c>
      <c r="B1086" s="24">
        <v>6102.2</v>
      </c>
      <c r="C1086" s="24">
        <v>6233.4</v>
      </c>
      <c r="D1086" s="24">
        <v>6093.1</v>
      </c>
      <c r="E1086" s="24">
        <v>6176.8</v>
      </c>
      <c r="F1086" s="25">
        <v>3.091978E9</v>
      </c>
      <c r="G1086" s="25">
        <v>2.574259E10</v>
      </c>
      <c r="H1086" s="3">
        <f t="shared" si="1"/>
        <v>204299.7949</v>
      </c>
    </row>
    <row r="1087" ht="15.75" customHeight="1">
      <c r="A1087" s="23">
        <v>44127.0</v>
      </c>
      <c r="B1087" s="24">
        <v>6176.8</v>
      </c>
      <c r="C1087" s="24">
        <v>6248.3</v>
      </c>
      <c r="D1087" s="24">
        <v>6100.6</v>
      </c>
      <c r="E1087" s="24">
        <v>6167.0</v>
      </c>
      <c r="F1087" s="25">
        <v>2.982376E9</v>
      </c>
      <c r="G1087" s="25">
        <v>2.383421E10</v>
      </c>
      <c r="H1087" s="3">
        <f t="shared" si="1"/>
        <v>203975.6565</v>
      </c>
    </row>
    <row r="1088" ht="15.75" customHeight="1">
      <c r="A1088" s="23">
        <v>44134.0</v>
      </c>
      <c r="B1088" s="24">
        <v>6167.0</v>
      </c>
      <c r="C1088" s="24">
        <v>6206.5</v>
      </c>
      <c r="D1088" s="24">
        <v>5927.6</v>
      </c>
      <c r="E1088" s="24">
        <v>5927.6</v>
      </c>
      <c r="F1088" s="25">
        <v>3.522298E9</v>
      </c>
      <c r="G1088" s="25">
        <v>2.659686E10</v>
      </c>
      <c r="H1088" s="3">
        <f t="shared" si="1"/>
        <v>196057.4188</v>
      </c>
    </row>
    <row r="1089" ht="15.75" customHeight="1">
      <c r="A1089" s="23">
        <v>44141.0</v>
      </c>
      <c r="B1089" s="24">
        <v>5927.6</v>
      </c>
      <c r="C1089" s="24">
        <v>6202.3</v>
      </c>
      <c r="D1089" s="24">
        <v>5904.1</v>
      </c>
      <c r="E1089" s="24">
        <v>6190.2</v>
      </c>
      <c r="F1089" s="25">
        <v>3.251E9</v>
      </c>
      <c r="G1089" s="25">
        <v>2.630674E10</v>
      </c>
      <c r="H1089" s="3">
        <f t="shared" si="1"/>
        <v>204743.0046</v>
      </c>
    </row>
    <row r="1090" ht="15.75" customHeight="1">
      <c r="A1090" s="23">
        <v>44148.0</v>
      </c>
      <c r="B1090" s="24">
        <v>6190.2</v>
      </c>
      <c r="C1090" s="24">
        <v>6470.9</v>
      </c>
      <c r="D1090" s="24">
        <v>6190.2</v>
      </c>
      <c r="E1090" s="24">
        <v>6405.2</v>
      </c>
      <c r="F1090" s="25">
        <v>4.404154E9</v>
      </c>
      <c r="G1090" s="25">
        <v>3.731967E10</v>
      </c>
      <c r="H1090" s="3">
        <f t="shared" si="1"/>
        <v>211854.2039</v>
      </c>
    </row>
    <row r="1091" ht="15.75" customHeight="1">
      <c r="A1091" s="23">
        <v>44155.0</v>
      </c>
      <c r="B1091" s="24">
        <v>6405.2</v>
      </c>
      <c r="C1091" s="24">
        <v>6562.1</v>
      </c>
      <c r="D1091" s="24">
        <v>6405.2</v>
      </c>
      <c r="E1091" s="24">
        <v>6539.2</v>
      </c>
      <c r="F1091" s="25">
        <v>3.187019E9</v>
      </c>
      <c r="G1091" s="25">
        <v>2.872826E10</v>
      </c>
      <c r="H1091" s="3">
        <f t="shared" si="1"/>
        <v>216286.3002</v>
      </c>
    </row>
    <row r="1092" ht="15.75" customHeight="1">
      <c r="A1092" s="23">
        <v>44162.0</v>
      </c>
      <c r="B1092" s="24">
        <v>6539.2</v>
      </c>
      <c r="C1092" s="24">
        <v>6713.3</v>
      </c>
      <c r="D1092" s="24">
        <v>6539.2</v>
      </c>
      <c r="E1092" s="24">
        <v>6601.1</v>
      </c>
      <c r="F1092" s="25">
        <v>3.448874E9</v>
      </c>
      <c r="G1092" s="25">
        <v>2.985757E10</v>
      </c>
      <c r="H1092" s="3">
        <f t="shared" si="1"/>
        <v>218333.6641</v>
      </c>
    </row>
    <row r="1093" ht="15.75" customHeight="1">
      <c r="A1093" s="23">
        <v>44169.0</v>
      </c>
      <c r="B1093" s="24">
        <v>6601.1</v>
      </c>
      <c r="C1093" s="24">
        <v>6650.1</v>
      </c>
      <c r="D1093" s="24">
        <v>6511.4</v>
      </c>
      <c r="E1093" s="24">
        <v>6634.1</v>
      </c>
      <c r="F1093" s="25">
        <v>3.88194E9</v>
      </c>
      <c r="G1093" s="25">
        <v>3.628861E10</v>
      </c>
      <c r="H1093" s="3">
        <f t="shared" si="1"/>
        <v>219425.1505</v>
      </c>
    </row>
    <row r="1094" ht="15.75" customHeight="1">
      <c r="A1094" s="23">
        <v>44176.0</v>
      </c>
      <c r="B1094" s="24">
        <v>6634.3</v>
      </c>
      <c r="C1094" s="24">
        <v>6745.3</v>
      </c>
      <c r="D1094" s="24">
        <v>6632.3</v>
      </c>
      <c r="E1094" s="24">
        <v>6642.6</v>
      </c>
      <c r="F1094" s="25">
        <v>3.233633E9</v>
      </c>
      <c r="G1094" s="25">
        <v>2.966258E10</v>
      </c>
      <c r="H1094" s="3">
        <f t="shared" si="1"/>
        <v>219706.2909</v>
      </c>
    </row>
    <row r="1095" ht="15.75" customHeight="1">
      <c r="A1095" s="23">
        <v>44183.0</v>
      </c>
      <c r="B1095" s="24">
        <v>6642.6</v>
      </c>
      <c r="C1095" s="24">
        <v>6765.7</v>
      </c>
      <c r="D1095" s="24">
        <v>6625.7</v>
      </c>
      <c r="E1095" s="24">
        <v>6675.5</v>
      </c>
      <c r="F1095" s="25">
        <v>4.092623E9</v>
      </c>
      <c r="G1095" s="25">
        <v>3.719023E10</v>
      </c>
      <c r="H1095" s="3">
        <f t="shared" si="1"/>
        <v>220794.4698</v>
      </c>
    </row>
    <row r="1096" ht="15.75" customHeight="1">
      <c r="A1096" s="23">
        <v>44189.0</v>
      </c>
      <c r="B1096" s="24">
        <v>6675.5</v>
      </c>
      <c r="C1096" s="24">
        <v>6704.9</v>
      </c>
      <c r="D1096" s="24">
        <v>6585.0</v>
      </c>
      <c r="E1096" s="24">
        <v>6664.8</v>
      </c>
      <c r="F1096" s="25">
        <v>1.800196E9</v>
      </c>
      <c r="G1096" s="25">
        <v>1.570475E10</v>
      </c>
      <c r="H1096" s="3">
        <f t="shared" si="1"/>
        <v>220440.5636</v>
      </c>
    </row>
    <row r="1097" ht="15.75" customHeight="1">
      <c r="A1097" s="23">
        <v>44196.0</v>
      </c>
      <c r="B1097" s="24">
        <v>6664.8</v>
      </c>
      <c r="C1097" s="24">
        <v>6725.1</v>
      </c>
      <c r="D1097" s="24">
        <v>6587.1</v>
      </c>
      <c r="E1097" s="24">
        <v>6587.1</v>
      </c>
      <c r="F1097" s="25">
        <v>9.574372E8</v>
      </c>
      <c r="G1097" s="25">
        <v>7.779717E9</v>
      </c>
      <c r="H1097" s="3">
        <f t="shared" si="1"/>
        <v>217870.6092</v>
      </c>
    </row>
    <row r="1098" ht="15.75" customHeight="1">
      <c r="A1098" s="23">
        <v>44204.0</v>
      </c>
      <c r="B1098" s="24">
        <v>6587.1</v>
      </c>
      <c r="C1098" s="24">
        <v>6757.9</v>
      </c>
      <c r="D1098" s="24">
        <v>6587.1</v>
      </c>
      <c r="E1098" s="24">
        <v>6757.9</v>
      </c>
      <c r="F1098" s="25">
        <v>2.552646E9</v>
      </c>
      <c r="G1098" s="25">
        <v>2.302502E10</v>
      </c>
      <c r="H1098" s="3">
        <f t="shared" si="1"/>
        <v>223519.8783</v>
      </c>
    </row>
    <row r="1099" ht="15.75" customHeight="1">
      <c r="A1099" s="23">
        <v>44211.0</v>
      </c>
      <c r="B1099" s="24">
        <v>6757.9</v>
      </c>
      <c r="C1099" s="24">
        <v>6761.0</v>
      </c>
      <c r="D1099" s="24">
        <v>6657.1</v>
      </c>
      <c r="E1099" s="24">
        <v>6715.4</v>
      </c>
      <c r="F1099" s="25">
        <v>2.711402E9</v>
      </c>
      <c r="G1099" s="25">
        <v>2.344951E10</v>
      </c>
      <c r="H1099" s="3">
        <f t="shared" si="1"/>
        <v>222114.1761</v>
      </c>
    </row>
    <row r="1100" ht="15.75" customHeight="1">
      <c r="A1100" s="23">
        <v>44218.0</v>
      </c>
      <c r="B1100" s="24">
        <v>6715.4</v>
      </c>
      <c r="C1100" s="24">
        <v>6829.3</v>
      </c>
      <c r="D1100" s="24">
        <v>6651.6</v>
      </c>
      <c r="E1100" s="24">
        <v>6800.4</v>
      </c>
      <c r="F1100" s="25">
        <v>2.741573E9</v>
      </c>
      <c r="G1100" s="25">
        <v>2.586683E10</v>
      </c>
      <c r="H1100" s="3">
        <f t="shared" si="1"/>
        <v>224925.5805</v>
      </c>
    </row>
    <row r="1101" ht="15.75" customHeight="1">
      <c r="A1101" s="23">
        <v>44225.0</v>
      </c>
      <c r="B1101" s="24">
        <v>6800.4</v>
      </c>
      <c r="C1101" s="24">
        <v>6832.6</v>
      </c>
      <c r="D1101" s="24">
        <v>6585.3</v>
      </c>
      <c r="E1101" s="24">
        <v>6607.4</v>
      </c>
      <c r="F1101" s="25">
        <v>2.484589E9</v>
      </c>
      <c r="G1101" s="25">
        <v>2.339474E10</v>
      </c>
      <c r="H1101" s="3">
        <f t="shared" si="1"/>
        <v>218542.0388</v>
      </c>
    </row>
    <row r="1102" ht="15.75" customHeight="1">
      <c r="A1102" s="23">
        <v>44232.0</v>
      </c>
      <c r="B1102" s="24">
        <v>6607.4</v>
      </c>
      <c r="C1102" s="24">
        <v>6852.9</v>
      </c>
      <c r="D1102" s="24">
        <v>6517.2</v>
      </c>
      <c r="E1102" s="24">
        <v>6840.5</v>
      </c>
      <c r="F1102" s="25">
        <v>3.059102E9</v>
      </c>
      <c r="G1102" s="25">
        <v>2.682288E10</v>
      </c>
      <c r="H1102" s="3">
        <f t="shared" si="1"/>
        <v>226251.9018</v>
      </c>
    </row>
    <row r="1103" ht="15.75" customHeight="1">
      <c r="A1103" s="23">
        <v>44239.0</v>
      </c>
      <c r="B1103" s="24">
        <v>6840.5</v>
      </c>
      <c r="C1103" s="24">
        <v>6901.0</v>
      </c>
      <c r="D1103" s="24">
        <v>6802.4</v>
      </c>
      <c r="E1103" s="24">
        <v>6806.7</v>
      </c>
      <c r="F1103" s="25">
        <v>2.547057E9</v>
      </c>
      <c r="G1103" s="25">
        <v>2.341038E10</v>
      </c>
      <c r="H1103" s="3">
        <f t="shared" si="1"/>
        <v>225133.9551</v>
      </c>
    </row>
    <row r="1104" ht="15.75" customHeight="1">
      <c r="A1104" s="23">
        <v>44246.0</v>
      </c>
      <c r="B1104" s="24">
        <v>6806.7</v>
      </c>
      <c r="C1104" s="24">
        <v>6938.0</v>
      </c>
      <c r="D1104" s="24">
        <v>6769.9</v>
      </c>
      <c r="E1104" s="24">
        <v>6793.8</v>
      </c>
      <c r="F1104" s="25">
        <v>3.345438E9</v>
      </c>
      <c r="G1104" s="25">
        <v>3.267798E10</v>
      </c>
      <c r="H1104" s="3">
        <f t="shared" si="1"/>
        <v>224707.2832</v>
      </c>
    </row>
    <row r="1105" ht="15.75" customHeight="1">
      <c r="A1105" s="23">
        <v>44253.0</v>
      </c>
      <c r="B1105" s="24">
        <v>6793.8</v>
      </c>
      <c r="C1105" s="24">
        <v>6857.3</v>
      </c>
      <c r="D1105" s="24">
        <v>6658.9</v>
      </c>
      <c r="E1105" s="24">
        <v>6673.3</v>
      </c>
      <c r="F1105" s="25">
        <v>3.976485E9</v>
      </c>
      <c r="G1105" s="25">
        <v>3.510675E10</v>
      </c>
      <c r="H1105" s="3">
        <f t="shared" si="1"/>
        <v>220721.704</v>
      </c>
    </row>
    <row r="1106" ht="15.75" customHeight="1">
      <c r="A1106" s="23">
        <v>44260.0</v>
      </c>
      <c r="B1106" s="24">
        <v>6673.3</v>
      </c>
      <c r="C1106" s="24">
        <v>6860.7</v>
      </c>
      <c r="D1106" s="24">
        <v>6660.5</v>
      </c>
      <c r="E1106" s="24">
        <v>6710.8</v>
      </c>
      <c r="F1106" s="25">
        <v>3.504848E9</v>
      </c>
      <c r="G1106" s="25">
        <v>3.199749E10</v>
      </c>
      <c r="H1106" s="3">
        <f t="shared" si="1"/>
        <v>221962.0295</v>
      </c>
    </row>
    <row r="1107" ht="15.75" customHeight="1">
      <c r="A1107" s="23">
        <v>44267.0</v>
      </c>
      <c r="B1107" s="24">
        <v>6710.8</v>
      </c>
      <c r="C1107" s="24">
        <v>6835.6</v>
      </c>
      <c r="D1107" s="24">
        <v>6648.6</v>
      </c>
      <c r="E1107" s="24">
        <v>6766.8</v>
      </c>
      <c r="F1107" s="25">
        <v>3.097216E9</v>
      </c>
      <c r="G1107" s="25">
        <v>2.889057E10</v>
      </c>
      <c r="H1107" s="3">
        <f t="shared" si="1"/>
        <v>223814.2489</v>
      </c>
    </row>
    <row r="1108" ht="15.75" customHeight="1">
      <c r="A1108" s="23">
        <v>44274.0</v>
      </c>
      <c r="B1108" s="24">
        <v>6766.8</v>
      </c>
      <c r="C1108" s="24">
        <v>6858.9</v>
      </c>
      <c r="D1108" s="24">
        <v>6673.7</v>
      </c>
      <c r="E1108" s="24">
        <v>6708.2</v>
      </c>
      <c r="F1108" s="25">
        <v>3.636702E9</v>
      </c>
      <c r="G1108" s="25">
        <v>3.396564E10</v>
      </c>
      <c r="H1108" s="3">
        <f t="shared" si="1"/>
        <v>221876.0336</v>
      </c>
    </row>
    <row r="1109" ht="15.75" customHeight="1">
      <c r="A1109" s="23">
        <v>44281.0</v>
      </c>
      <c r="B1109" s="24">
        <v>6708.2</v>
      </c>
      <c r="C1109" s="24">
        <v>6835.0</v>
      </c>
      <c r="D1109" s="24">
        <v>6688.2</v>
      </c>
      <c r="E1109" s="24">
        <v>6824.2</v>
      </c>
      <c r="F1109" s="25">
        <v>2.624186E9</v>
      </c>
      <c r="G1109" s="25">
        <v>2.263934E10</v>
      </c>
      <c r="H1109" s="3">
        <f t="shared" si="1"/>
        <v>225712.7737</v>
      </c>
    </row>
    <row r="1110" ht="15.75" customHeight="1">
      <c r="A1110" s="23">
        <v>44287.0</v>
      </c>
      <c r="B1110" s="24">
        <v>6824.2</v>
      </c>
      <c r="C1110" s="24">
        <v>6862.6</v>
      </c>
      <c r="D1110" s="24">
        <v>6738.4</v>
      </c>
      <c r="E1110" s="24">
        <v>6828.7</v>
      </c>
      <c r="F1110" s="25">
        <v>2.206701E9</v>
      </c>
      <c r="G1110" s="25">
        <v>1.926923E10</v>
      </c>
      <c r="H1110" s="3">
        <f t="shared" si="1"/>
        <v>225861.6128</v>
      </c>
    </row>
    <row r="1111" ht="15.75" customHeight="1">
      <c r="A1111" s="23">
        <v>44295.0</v>
      </c>
      <c r="B1111" s="24">
        <v>6828.7</v>
      </c>
      <c r="C1111" s="24">
        <v>7012.4</v>
      </c>
      <c r="D1111" s="24">
        <v>6828.7</v>
      </c>
      <c r="E1111" s="24">
        <v>6995.2</v>
      </c>
      <c r="F1111" s="25">
        <v>2.101078E9</v>
      </c>
      <c r="G1111" s="25">
        <v>1.880271E10</v>
      </c>
      <c r="H1111" s="3">
        <f t="shared" si="1"/>
        <v>231368.6578</v>
      </c>
    </row>
    <row r="1112" ht="15.75" customHeight="1">
      <c r="A1112" s="23">
        <v>44302.0</v>
      </c>
      <c r="B1112" s="24">
        <v>6996.7</v>
      </c>
      <c r="C1112" s="24">
        <v>7071.5</v>
      </c>
      <c r="D1112" s="24">
        <v>6957.4</v>
      </c>
      <c r="E1112" s="24">
        <v>7063.5</v>
      </c>
      <c r="F1112" s="25">
        <v>2.802662E9</v>
      </c>
      <c r="G1112" s="25">
        <v>2.462063E10</v>
      </c>
      <c r="H1112" s="3">
        <f t="shared" si="1"/>
        <v>233627.7039</v>
      </c>
    </row>
    <row r="1113" ht="15.75" customHeight="1">
      <c r="A1113" s="23">
        <v>44309.0</v>
      </c>
      <c r="B1113" s="24">
        <v>7063.5</v>
      </c>
      <c r="C1113" s="24">
        <v>7094.8</v>
      </c>
      <c r="D1113" s="24">
        <v>6905.4</v>
      </c>
      <c r="E1113" s="24">
        <v>7060.7</v>
      </c>
      <c r="F1113" s="25">
        <v>2.866637E9</v>
      </c>
      <c r="G1113" s="25">
        <v>2.383855E10</v>
      </c>
      <c r="H1113" s="3">
        <f t="shared" si="1"/>
        <v>233535.0929</v>
      </c>
    </row>
    <row r="1114" ht="15.75" customHeight="1">
      <c r="A1114" s="23">
        <v>44316.0</v>
      </c>
      <c r="B1114" s="24">
        <v>7060.7</v>
      </c>
      <c r="C1114" s="24">
        <v>7096.9</v>
      </c>
      <c r="D1114" s="24">
        <v>7005.9</v>
      </c>
      <c r="E1114" s="24">
        <v>7025.8</v>
      </c>
      <c r="F1114" s="25">
        <v>2.89494E9</v>
      </c>
      <c r="G1114" s="25">
        <v>2.447685E10</v>
      </c>
      <c r="H1114" s="3">
        <f t="shared" si="1"/>
        <v>232380.7634</v>
      </c>
    </row>
    <row r="1115" ht="15.75" customHeight="1">
      <c r="A1115" s="23">
        <v>44323.0</v>
      </c>
      <c r="B1115" s="24">
        <v>7025.8</v>
      </c>
      <c r="C1115" s="24">
        <v>7122.0</v>
      </c>
      <c r="D1115" s="24">
        <v>7022.0</v>
      </c>
      <c r="E1115" s="24">
        <v>7080.8</v>
      </c>
      <c r="F1115" s="25">
        <v>2.620289E9</v>
      </c>
      <c r="G1115" s="25">
        <v>2.452891E10</v>
      </c>
      <c r="H1115" s="3">
        <f t="shared" si="1"/>
        <v>234199.9074</v>
      </c>
    </row>
    <row r="1116" ht="15.75" customHeight="1">
      <c r="A1116" s="23">
        <v>44330.0</v>
      </c>
      <c r="B1116" s="24">
        <v>7080.8</v>
      </c>
      <c r="C1116" s="24">
        <v>7172.8</v>
      </c>
      <c r="D1116" s="24">
        <v>6966.5</v>
      </c>
      <c r="E1116" s="24">
        <v>7014.2</v>
      </c>
      <c r="F1116" s="25">
        <v>2.930089E9</v>
      </c>
      <c r="G1116" s="25">
        <v>2.64722E10</v>
      </c>
      <c r="H1116" s="3">
        <f t="shared" si="1"/>
        <v>231997.0894</v>
      </c>
    </row>
    <row r="1117" ht="15.75" customHeight="1">
      <c r="A1117" s="23">
        <v>44337.0</v>
      </c>
      <c r="B1117" s="24">
        <v>7014.2</v>
      </c>
      <c r="C1117" s="24">
        <v>7083.6</v>
      </c>
      <c r="D1117" s="24">
        <v>6917.3</v>
      </c>
      <c r="E1117" s="24">
        <v>7030.3</v>
      </c>
      <c r="F1117" s="25">
        <v>2.934607E9</v>
      </c>
      <c r="G1117" s="25">
        <v>2.629003E10</v>
      </c>
      <c r="H1117" s="3">
        <f t="shared" si="1"/>
        <v>232529.6024</v>
      </c>
    </row>
    <row r="1118" ht="15.75" customHeight="1">
      <c r="A1118" s="23">
        <v>44344.0</v>
      </c>
      <c r="B1118" s="24">
        <v>7030.3</v>
      </c>
      <c r="C1118" s="24">
        <v>7186.8</v>
      </c>
      <c r="D1118" s="24">
        <v>7015.5</v>
      </c>
      <c r="E1118" s="24">
        <v>7179.5</v>
      </c>
      <c r="F1118" s="25">
        <v>3.459779E9</v>
      </c>
      <c r="G1118" s="25">
        <v>3.029056E10</v>
      </c>
      <c r="H1118" s="3">
        <f t="shared" si="1"/>
        <v>237464.444</v>
      </c>
    </row>
    <row r="1119" ht="15.75" customHeight="1">
      <c r="A1119" s="23">
        <v>44351.0</v>
      </c>
      <c r="B1119" s="24">
        <v>7179.5</v>
      </c>
      <c r="C1119" s="24">
        <v>7300.5</v>
      </c>
      <c r="D1119" s="24">
        <v>7117.5</v>
      </c>
      <c r="E1119" s="24">
        <v>7295.4</v>
      </c>
      <c r="F1119" s="25">
        <v>2.727909E9</v>
      </c>
      <c r="G1119" s="25">
        <v>2.35103E10</v>
      </c>
      <c r="H1119" s="3">
        <f t="shared" si="1"/>
        <v>241297.8766</v>
      </c>
    </row>
    <row r="1120" ht="15.75" customHeight="1">
      <c r="A1120" s="23">
        <v>44358.0</v>
      </c>
      <c r="B1120" s="24">
        <v>7295.4</v>
      </c>
      <c r="C1120" s="24">
        <v>7334.9</v>
      </c>
      <c r="D1120" s="24">
        <v>7265.6</v>
      </c>
      <c r="E1120" s="24">
        <v>7312.3</v>
      </c>
      <c r="F1120" s="25">
        <v>2.730603E9</v>
      </c>
      <c r="G1120" s="25">
        <v>2.350044E10</v>
      </c>
      <c r="H1120" s="3">
        <f t="shared" si="1"/>
        <v>241856.8499</v>
      </c>
    </row>
    <row r="1121" ht="15.75" customHeight="1">
      <c r="A1121" s="23">
        <v>44365.0</v>
      </c>
      <c r="B1121" s="24">
        <v>7312.3</v>
      </c>
      <c r="C1121" s="24">
        <v>7406.2</v>
      </c>
      <c r="D1121" s="24">
        <v>7312.3</v>
      </c>
      <c r="E1121" s="24">
        <v>7368.9</v>
      </c>
      <c r="F1121" s="25">
        <v>3.273882E9</v>
      </c>
      <c r="G1121" s="25">
        <v>3.053482E10</v>
      </c>
      <c r="H1121" s="3">
        <f t="shared" si="1"/>
        <v>243728.9145</v>
      </c>
    </row>
    <row r="1122" ht="15.75" customHeight="1">
      <c r="A1122" s="23">
        <v>44372.0</v>
      </c>
      <c r="B1122" s="24">
        <v>7368.9</v>
      </c>
      <c r="C1122" s="24">
        <v>7368.9</v>
      </c>
      <c r="D1122" s="24">
        <v>7216.6</v>
      </c>
      <c r="E1122" s="24">
        <v>7308.0</v>
      </c>
      <c r="F1122" s="25">
        <v>3.129485E9</v>
      </c>
      <c r="G1122" s="25">
        <v>2.832964E10</v>
      </c>
      <c r="H1122" s="3">
        <f t="shared" si="1"/>
        <v>241714.6259</v>
      </c>
    </row>
    <row r="1123" ht="15.75" customHeight="1">
      <c r="A1123" s="23">
        <v>44379.0</v>
      </c>
      <c r="B1123" s="24">
        <v>7308.0</v>
      </c>
      <c r="C1123" s="24">
        <v>7370.1</v>
      </c>
      <c r="D1123" s="24">
        <v>7241.5</v>
      </c>
      <c r="E1123" s="24">
        <v>7308.6</v>
      </c>
      <c r="F1123" s="25">
        <v>2.779872E9</v>
      </c>
      <c r="G1123" s="25">
        <v>2.401135E10</v>
      </c>
      <c r="H1123" s="3">
        <f t="shared" si="1"/>
        <v>241734.4711</v>
      </c>
    </row>
    <row r="1124" ht="15.75" customHeight="1">
      <c r="A1124" s="23">
        <v>44386.0</v>
      </c>
      <c r="B1124" s="24">
        <v>7308.6</v>
      </c>
      <c r="C1124" s="24">
        <v>7381.9</v>
      </c>
      <c r="D1124" s="24">
        <v>7226.0</v>
      </c>
      <c r="E1124" s="24">
        <v>7273.3</v>
      </c>
      <c r="F1124" s="25">
        <v>3.003712E9</v>
      </c>
      <c r="G1124" s="25">
        <v>2.646979E10</v>
      </c>
      <c r="H1124" s="3">
        <f t="shared" si="1"/>
        <v>240566.9114</v>
      </c>
    </row>
    <row r="1125" ht="15.75" customHeight="1">
      <c r="A1125" s="23">
        <v>44393.0</v>
      </c>
      <c r="B1125" s="24">
        <v>7273.3</v>
      </c>
      <c r="C1125" s="24">
        <v>7382.2</v>
      </c>
      <c r="D1125" s="24">
        <v>7273.3</v>
      </c>
      <c r="E1125" s="24">
        <v>7348.1</v>
      </c>
      <c r="F1125" s="25">
        <v>2.885482E9</v>
      </c>
      <c r="G1125" s="25">
        <v>2.684278E10</v>
      </c>
      <c r="H1125" s="3">
        <f t="shared" si="1"/>
        <v>243040.9473</v>
      </c>
    </row>
    <row r="1126" ht="15.75" customHeight="1">
      <c r="A1126" s="23">
        <v>44400.0</v>
      </c>
      <c r="B1126" s="24">
        <v>7348.1</v>
      </c>
      <c r="C1126" s="24">
        <v>7398.7</v>
      </c>
      <c r="D1126" s="24">
        <v>7205.0</v>
      </c>
      <c r="E1126" s="24">
        <v>7394.4</v>
      </c>
      <c r="F1126" s="25">
        <v>2.775577E9</v>
      </c>
      <c r="G1126" s="25">
        <v>2.421155E10</v>
      </c>
      <c r="H1126" s="3">
        <f t="shared" si="1"/>
        <v>244572.3358</v>
      </c>
    </row>
    <row r="1127" ht="15.75" customHeight="1">
      <c r="A1127" s="23">
        <v>44407.0</v>
      </c>
      <c r="B1127" s="24">
        <v>7394.4</v>
      </c>
      <c r="C1127" s="24">
        <v>7447.9</v>
      </c>
      <c r="D1127" s="24">
        <v>7368.3</v>
      </c>
      <c r="E1127" s="24">
        <v>7392.6</v>
      </c>
      <c r="F1127" s="25">
        <v>2.841126E9</v>
      </c>
      <c r="G1127" s="25">
        <v>2.531556E10</v>
      </c>
      <c r="H1127" s="3">
        <f t="shared" si="1"/>
        <v>244512.8002</v>
      </c>
    </row>
    <row r="1128" ht="15.75" customHeight="1">
      <c r="A1128" s="23">
        <v>44414.0</v>
      </c>
      <c r="B1128" s="24">
        <v>7415.9</v>
      </c>
      <c r="C1128" s="24">
        <v>7538.4</v>
      </c>
      <c r="D1128" s="24">
        <v>7414.9</v>
      </c>
      <c r="E1128" s="24">
        <v>7538.4</v>
      </c>
      <c r="F1128" s="25">
        <v>2.748956E9</v>
      </c>
      <c r="G1128" s="25">
        <v>2.808451E10</v>
      </c>
      <c r="H1128" s="3">
        <f t="shared" si="1"/>
        <v>249335.1856</v>
      </c>
    </row>
    <row r="1129" ht="15.75" customHeight="1">
      <c r="A1129" s="23">
        <v>44421.0</v>
      </c>
      <c r="B1129" s="24">
        <v>7538.4</v>
      </c>
      <c r="C1129" s="24">
        <v>7632.8</v>
      </c>
      <c r="D1129" s="24">
        <v>7532.8</v>
      </c>
      <c r="E1129" s="24">
        <v>7628.9</v>
      </c>
      <c r="F1129" s="25">
        <v>2.928004E9</v>
      </c>
      <c r="G1129" s="25">
        <v>2.747222E10</v>
      </c>
      <c r="H1129" s="3">
        <f t="shared" si="1"/>
        <v>252328.5043</v>
      </c>
    </row>
    <row r="1130" ht="15.75" customHeight="1">
      <c r="A1130" s="23">
        <v>44428.0</v>
      </c>
      <c r="B1130" s="24">
        <v>7628.9</v>
      </c>
      <c r="C1130" s="24">
        <v>7629.0</v>
      </c>
      <c r="D1130" s="24">
        <v>7429.2</v>
      </c>
      <c r="E1130" s="24">
        <v>7460.9</v>
      </c>
      <c r="F1130" s="25">
        <v>3.319998E9</v>
      </c>
      <c r="G1130" s="25">
        <v>3.460588E10</v>
      </c>
      <c r="H1130" s="3">
        <f t="shared" si="1"/>
        <v>246771.8463</v>
      </c>
    </row>
    <row r="1131" ht="15.75" customHeight="1">
      <c r="A1131" s="23">
        <v>44435.0</v>
      </c>
      <c r="B1131" s="24">
        <v>7460.9</v>
      </c>
      <c r="C1131" s="24">
        <v>7542.4</v>
      </c>
      <c r="D1131" s="24">
        <v>7460.9</v>
      </c>
      <c r="E1131" s="24">
        <v>7488.3</v>
      </c>
      <c r="F1131" s="25">
        <v>3.548741E9</v>
      </c>
      <c r="G1131" s="25">
        <v>3.167982E10</v>
      </c>
      <c r="H1131" s="3">
        <f t="shared" si="1"/>
        <v>247678.1107</v>
      </c>
    </row>
    <row r="1132" ht="15.75" customHeight="1">
      <c r="A1132" s="23">
        <v>44442.0</v>
      </c>
      <c r="B1132" s="24">
        <v>7488.3</v>
      </c>
      <c r="C1132" s="24">
        <v>7555.9</v>
      </c>
      <c r="D1132" s="24">
        <v>7437.2</v>
      </c>
      <c r="E1132" s="24">
        <v>7522.9</v>
      </c>
      <c r="F1132" s="25">
        <v>3.29116E9</v>
      </c>
      <c r="G1132" s="25">
        <v>3.088441E10</v>
      </c>
      <c r="H1132" s="3">
        <f t="shared" si="1"/>
        <v>248822.5177</v>
      </c>
    </row>
    <row r="1133" ht="15.75" customHeight="1">
      <c r="A1133" s="23">
        <v>44449.0</v>
      </c>
      <c r="B1133" s="24">
        <v>7522.9</v>
      </c>
      <c r="C1133" s="24">
        <v>7536.9</v>
      </c>
      <c r="D1133" s="24">
        <v>7344.3</v>
      </c>
      <c r="E1133" s="24">
        <v>7406.6</v>
      </c>
      <c r="F1133" s="25">
        <v>3.427717E9</v>
      </c>
      <c r="G1133" s="25">
        <v>2.944301E10</v>
      </c>
      <c r="H1133" s="3">
        <f t="shared" si="1"/>
        <v>244975.855</v>
      </c>
    </row>
    <row r="1134" ht="15.75" customHeight="1">
      <c r="A1134" s="23">
        <v>44456.0</v>
      </c>
      <c r="B1134" s="24">
        <v>7406.6</v>
      </c>
      <c r="C1134" s="24">
        <v>7487.6</v>
      </c>
      <c r="D1134" s="24">
        <v>7376.1</v>
      </c>
      <c r="E1134" s="24">
        <v>7403.7</v>
      </c>
      <c r="F1134" s="25">
        <v>4.705844E9</v>
      </c>
      <c r="G1134" s="25">
        <v>4.023764E10</v>
      </c>
      <c r="H1134" s="3">
        <f t="shared" si="1"/>
        <v>244879.9365</v>
      </c>
    </row>
    <row r="1135" ht="15.75" customHeight="1">
      <c r="A1135" s="23">
        <v>44463.0</v>
      </c>
      <c r="B1135" s="24">
        <v>7390.4</v>
      </c>
      <c r="C1135" s="24">
        <v>7390.4</v>
      </c>
      <c r="D1135" s="24">
        <v>7191.7</v>
      </c>
      <c r="E1135" s="24">
        <v>7342.6</v>
      </c>
      <c r="F1135" s="25">
        <v>3.488233E9</v>
      </c>
      <c r="G1135" s="25">
        <v>3.074536E10</v>
      </c>
      <c r="H1135" s="3">
        <f t="shared" si="1"/>
        <v>242859.0329</v>
      </c>
    </row>
    <row r="1136" ht="15.75" customHeight="1">
      <c r="A1136" s="23">
        <v>44470.0</v>
      </c>
      <c r="B1136" s="24">
        <v>7342.6</v>
      </c>
      <c r="C1136" s="24">
        <v>7416.4</v>
      </c>
      <c r="D1136" s="24">
        <v>7145.7</v>
      </c>
      <c r="E1136" s="24">
        <v>7185.5</v>
      </c>
      <c r="F1136" s="25">
        <v>3.822158E9</v>
      </c>
      <c r="G1136" s="25">
        <v>3.47394E10</v>
      </c>
      <c r="H1136" s="3">
        <f t="shared" si="1"/>
        <v>237662.8961</v>
      </c>
    </row>
    <row r="1137" ht="15.75" customHeight="1">
      <c r="A1137" s="23">
        <v>44477.0</v>
      </c>
      <c r="B1137" s="24">
        <v>7185.5</v>
      </c>
      <c r="C1137" s="24">
        <v>7322.0</v>
      </c>
      <c r="D1137" s="24">
        <v>7183.5</v>
      </c>
      <c r="E1137" s="24">
        <v>7320.1</v>
      </c>
      <c r="F1137" s="25">
        <v>3.27619E9</v>
      </c>
      <c r="G1137" s="25">
        <v>3.042533E10</v>
      </c>
      <c r="H1137" s="3">
        <f t="shared" si="1"/>
        <v>242114.8376</v>
      </c>
    </row>
    <row r="1138" ht="15.75" customHeight="1">
      <c r="A1138" s="23">
        <v>44484.0</v>
      </c>
      <c r="B1138" s="24">
        <v>7320.1</v>
      </c>
      <c r="C1138" s="24">
        <v>7373.2</v>
      </c>
      <c r="D1138" s="24">
        <v>7250.0</v>
      </c>
      <c r="E1138" s="24">
        <v>7362.0</v>
      </c>
      <c r="F1138" s="25">
        <v>3.08584E9</v>
      </c>
      <c r="G1138" s="25">
        <v>2.77917E10</v>
      </c>
      <c r="H1138" s="3">
        <f t="shared" si="1"/>
        <v>243500.6946</v>
      </c>
    </row>
    <row r="1139" ht="15.75" customHeight="1">
      <c r="A1139" s="23">
        <v>44491.0</v>
      </c>
      <c r="B1139" s="24">
        <v>7362.0</v>
      </c>
      <c r="C1139" s="24">
        <v>7449.5</v>
      </c>
      <c r="D1139" s="24">
        <v>7354.1</v>
      </c>
      <c r="E1139" s="24">
        <v>7415.5</v>
      </c>
      <c r="F1139" s="25">
        <v>3.282618E9</v>
      </c>
      <c r="G1139" s="25">
        <v>3.131565E10</v>
      </c>
      <c r="H1139" s="3">
        <f t="shared" si="1"/>
        <v>245270.2256</v>
      </c>
    </row>
    <row r="1140" ht="15.75" customHeight="1">
      <c r="A1140" s="23">
        <v>44498.0</v>
      </c>
      <c r="B1140" s="24">
        <v>7415.5</v>
      </c>
      <c r="C1140" s="24">
        <v>7473.9</v>
      </c>
      <c r="D1140" s="24">
        <v>7318.8</v>
      </c>
      <c r="E1140" s="24">
        <v>7323.7</v>
      </c>
      <c r="F1140" s="25">
        <v>2.852675E9</v>
      </c>
      <c r="G1140" s="25">
        <v>2.681124E10</v>
      </c>
      <c r="H1140" s="3">
        <f t="shared" si="1"/>
        <v>242233.9088</v>
      </c>
    </row>
    <row r="1141" ht="15.75" customHeight="1">
      <c r="A1141" s="23">
        <v>44505.0</v>
      </c>
      <c r="B1141" s="24">
        <v>7323.7</v>
      </c>
      <c r="C1141" s="24">
        <v>7477.2</v>
      </c>
      <c r="D1141" s="24">
        <v>7311.6</v>
      </c>
      <c r="E1141" s="24">
        <v>7456.9</v>
      </c>
      <c r="F1141" s="25">
        <v>2.917453E9</v>
      </c>
      <c r="G1141" s="25">
        <v>2.843552E10</v>
      </c>
      <c r="H1141" s="3">
        <f t="shared" si="1"/>
        <v>246639.5449</v>
      </c>
    </row>
    <row r="1142" ht="15.75" customHeight="1">
      <c r="A1142" s="23">
        <v>44512.0</v>
      </c>
      <c r="B1142" s="24">
        <v>7456.9</v>
      </c>
      <c r="C1142" s="24">
        <v>7474.3</v>
      </c>
      <c r="D1142" s="24">
        <v>7329.5</v>
      </c>
      <c r="E1142" s="24">
        <v>7443.0</v>
      </c>
      <c r="F1142" s="25">
        <v>2.913619E9</v>
      </c>
      <c r="G1142" s="25">
        <v>2.767791E10</v>
      </c>
      <c r="H1142" s="3">
        <f t="shared" si="1"/>
        <v>246179.7976</v>
      </c>
    </row>
    <row r="1143" ht="15.75" customHeight="1">
      <c r="A1143" s="23">
        <v>44519.0</v>
      </c>
      <c r="B1143" s="24">
        <v>7443.0</v>
      </c>
      <c r="C1143" s="24">
        <v>7479.1</v>
      </c>
      <c r="D1143" s="24">
        <v>7342.9</v>
      </c>
      <c r="E1143" s="24">
        <v>7396.5</v>
      </c>
      <c r="F1143" s="25">
        <v>2.911138E9</v>
      </c>
      <c r="G1143" s="25">
        <v>2.910651E10</v>
      </c>
      <c r="H1143" s="3">
        <f t="shared" si="1"/>
        <v>244641.794</v>
      </c>
    </row>
    <row r="1144" ht="15.75" customHeight="1">
      <c r="A1144" s="23">
        <v>44526.0</v>
      </c>
      <c r="B1144" s="24">
        <v>7396.5</v>
      </c>
      <c r="C1144" s="24">
        <v>7425.0</v>
      </c>
      <c r="D1144" s="24">
        <v>7260.3</v>
      </c>
      <c r="E1144" s="24">
        <v>7279.3</v>
      </c>
      <c r="F1144" s="25">
        <v>2.862824E9</v>
      </c>
      <c r="G1144" s="25">
        <v>2.649818E10</v>
      </c>
      <c r="H1144" s="3">
        <f t="shared" si="1"/>
        <v>240765.3635</v>
      </c>
    </row>
    <row r="1145" ht="15.75" customHeight="1">
      <c r="A1145" s="23">
        <v>44533.0</v>
      </c>
      <c r="B1145" s="24">
        <v>7279.3</v>
      </c>
      <c r="C1145" s="24">
        <v>7332.6</v>
      </c>
      <c r="D1145" s="24">
        <v>7168.9</v>
      </c>
      <c r="E1145" s="24">
        <v>7241.2</v>
      </c>
      <c r="F1145" s="25">
        <v>3.875334E9</v>
      </c>
      <c r="G1145" s="25">
        <v>3.678746E10</v>
      </c>
      <c r="H1145" s="3">
        <f t="shared" si="1"/>
        <v>239505.1928</v>
      </c>
    </row>
    <row r="1146" ht="15.75" customHeight="1">
      <c r="A1146" s="23">
        <v>44540.0</v>
      </c>
      <c r="B1146" s="24">
        <v>7241.2</v>
      </c>
      <c r="C1146" s="24">
        <v>7443.4</v>
      </c>
      <c r="D1146" s="24">
        <v>7207.8</v>
      </c>
      <c r="E1146" s="24">
        <v>7353.5</v>
      </c>
      <c r="F1146" s="25">
        <v>3.072701E9</v>
      </c>
      <c r="G1146" s="25">
        <v>2.804374E10</v>
      </c>
      <c r="H1146" s="3">
        <f t="shared" si="1"/>
        <v>243219.5541</v>
      </c>
    </row>
    <row r="1147" ht="15.75" customHeight="1">
      <c r="A1147" s="23">
        <v>44547.0</v>
      </c>
      <c r="B1147" s="24">
        <v>7353.5</v>
      </c>
      <c r="C1147" s="24">
        <v>7417.7</v>
      </c>
      <c r="D1147" s="24">
        <v>7277.1</v>
      </c>
      <c r="E1147" s="24">
        <v>7304.0</v>
      </c>
      <c r="F1147" s="25">
        <v>3.556214E9</v>
      </c>
      <c r="G1147" s="25">
        <v>3.624249E10</v>
      </c>
      <c r="H1147" s="3">
        <f t="shared" si="1"/>
        <v>241582.3245</v>
      </c>
    </row>
    <row r="1148" ht="15.75" customHeight="1">
      <c r="A1148" s="23">
        <v>44554.0</v>
      </c>
      <c r="B1148" s="24">
        <v>7304.0</v>
      </c>
      <c r="C1148" s="24">
        <v>7435.9</v>
      </c>
      <c r="D1148" s="24">
        <v>7257.8</v>
      </c>
      <c r="E1148" s="24">
        <v>7420.3</v>
      </c>
      <c r="F1148" s="25">
        <v>2.274899E9</v>
      </c>
      <c r="G1148" s="25">
        <v>2.174802E10</v>
      </c>
      <c r="H1148" s="3">
        <f t="shared" si="1"/>
        <v>245428.9872</v>
      </c>
    </row>
    <row r="1149" ht="15.75" customHeight="1">
      <c r="A1149" s="23">
        <v>44561.0</v>
      </c>
      <c r="B1149" s="24">
        <v>7420.3</v>
      </c>
      <c r="C1149" s="24">
        <v>7520.6</v>
      </c>
      <c r="D1149" s="24">
        <v>7420.3</v>
      </c>
      <c r="E1149" s="24">
        <v>7444.6</v>
      </c>
      <c r="F1149" s="25">
        <v>1.06636E9</v>
      </c>
      <c r="G1149" s="25">
        <v>8.996238E9</v>
      </c>
      <c r="H1149" s="3">
        <f t="shared" si="1"/>
        <v>246232.7181</v>
      </c>
    </row>
    <row r="1150" ht="15.75" customHeight="1">
      <c r="A1150" s="23">
        <v>44568.0</v>
      </c>
      <c r="B1150" s="24">
        <v>7444.6</v>
      </c>
      <c r="C1150" s="24">
        <v>7620.2</v>
      </c>
      <c r="D1150" s="24">
        <v>7340.4</v>
      </c>
      <c r="E1150" s="24">
        <v>7453.3</v>
      </c>
      <c r="F1150" s="25">
        <v>2.069232E9</v>
      </c>
      <c r="G1150" s="25">
        <v>1.937769E10</v>
      </c>
      <c r="H1150" s="3">
        <f t="shared" si="1"/>
        <v>246520.4736</v>
      </c>
    </row>
    <row r="1151" ht="15.75" customHeight="1">
      <c r="A1151" s="23">
        <v>44575.0</v>
      </c>
      <c r="B1151" s="24">
        <v>7453.3</v>
      </c>
      <c r="C1151" s="24">
        <v>7487.3</v>
      </c>
      <c r="D1151" s="24">
        <v>7376.8</v>
      </c>
      <c r="E1151" s="24">
        <v>7393.9</v>
      </c>
      <c r="F1151" s="25">
        <v>2.754333E9</v>
      </c>
      <c r="G1151" s="25">
        <v>2.792382E10</v>
      </c>
      <c r="H1151" s="3">
        <f t="shared" si="1"/>
        <v>244555.7981</v>
      </c>
    </row>
    <row r="1152" ht="15.75" customHeight="1">
      <c r="A1152" s="23">
        <v>44582.0</v>
      </c>
      <c r="B1152" s="24">
        <v>7393.9</v>
      </c>
      <c r="C1152" s="24">
        <v>7445.1</v>
      </c>
      <c r="D1152" s="24">
        <v>7153.3</v>
      </c>
      <c r="E1152" s="24">
        <v>7175.8</v>
      </c>
      <c r="F1152" s="25">
        <v>3.315308E9</v>
      </c>
      <c r="G1152" s="25">
        <v>3.474215E10</v>
      </c>
      <c r="H1152" s="3">
        <f t="shared" si="1"/>
        <v>237342.0652</v>
      </c>
    </row>
    <row r="1153" ht="15.75" customHeight="1">
      <c r="A1153" s="23">
        <v>44589.0</v>
      </c>
      <c r="B1153" s="24">
        <v>7173.7</v>
      </c>
      <c r="C1153" s="24">
        <v>7173.7</v>
      </c>
      <c r="D1153" s="24">
        <v>6758.2</v>
      </c>
      <c r="E1153" s="24">
        <v>6988.1</v>
      </c>
      <c r="F1153" s="25">
        <v>5.131653E9</v>
      </c>
      <c r="G1153" s="25">
        <v>6.138834E10</v>
      </c>
      <c r="H1153" s="3">
        <f t="shared" si="1"/>
        <v>231133.8228</v>
      </c>
    </row>
    <row r="1154" ht="15.75" customHeight="1">
      <c r="A1154" s="23">
        <v>44596.0</v>
      </c>
      <c r="B1154" s="24">
        <v>6988.1</v>
      </c>
      <c r="C1154" s="24">
        <v>7120.2</v>
      </c>
      <c r="D1154" s="24">
        <v>6932.7</v>
      </c>
      <c r="E1154" s="24">
        <v>7120.2</v>
      </c>
      <c r="F1154" s="25">
        <v>3.55098E9</v>
      </c>
      <c r="G1154" s="25">
        <v>3.590583E10</v>
      </c>
      <c r="H1154" s="3">
        <f t="shared" si="1"/>
        <v>235503.076</v>
      </c>
    </row>
    <row r="1155" ht="15.75" customHeight="1">
      <c r="A1155" s="23">
        <v>44603.0</v>
      </c>
      <c r="B1155" s="24">
        <v>7120.2</v>
      </c>
      <c r="C1155" s="24">
        <v>7336.6</v>
      </c>
      <c r="D1155" s="24">
        <v>7046.5</v>
      </c>
      <c r="E1155" s="24">
        <v>7217.3</v>
      </c>
      <c r="F1155" s="25">
        <v>3.883726E9</v>
      </c>
      <c r="G1155" s="25">
        <v>4.166335E10</v>
      </c>
      <c r="H1155" s="3">
        <f t="shared" si="1"/>
        <v>238714.6921</v>
      </c>
    </row>
    <row r="1156" ht="15.75" customHeight="1">
      <c r="A1156" s="23">
        <v>44610.0</v>
      </c>
      <c r="B1156" s="24">
        <v>7217.3</v>
      </c>
      <c r="C1156" s="24">
        <v>7356.8</v>
      </c>
      <c r="D1156" s="24">
        <v>7181.7</v>
      </c>
      <c r="E1156" s="24">
        <v>7221.7</v>
      </c>
      <c r="F1156" s="25">
        <v>3.886255E9</v>
      </c>
      <c r="G1156" s="25">
        <v>3.895448E10</v>
      </c>
      <c r="H1156" s="3">
        <f t="shared" si="1"/>
        <v>238860.2236</v>
      </c>
    </row>
    <row r="1157" ht="15.75" customHeight="1">
      <c r="A1157" s="23">
        <v>44617.0</v>
      </c>
      <c r="B1157" s="24">
        <v>7220.4</v>
      </c>
      <c r="C1157" s="24">
        <v>7248.8</v>
      </c>
      <c r="D1157" s="24">
        <v>6959.3</v>
      </c>
      <c r="E1157" s="24">
        <v>6997.8</v>
      </c>
      <c r="F1157" s="25">
        <v>4.362401E9</v>
      </c>
      <c r="G1157" s="25">
        <v>3.776929E10</v>
      </c>
      <c r="H1157" s="3">
        <f t="shared" si="1"/>
        <v>231454.6537</v>
      </c>
    </row>
    <row r="1158" ht="15.75" customHeight="1">
      <c r="A1158" s="23">
        <v>44624.0</v>
      </c>
      <c r="B1158" s="24">
        <v>6997.8</v>
      </c>
      <c r="C1158" s="24">
        <v>7198.1</v>
      </c>
      <c r="D1158" s="24">
        <v>6979.4</v>
      </c>
      <c r="E1158" s="24">
        <v>7110.8</v>
      </c>
      <c r="F1158" s="25">
        <v>4.590142E9</v>
      </c>
      <c r="G1158" s="25">
        <v>4.310377E10</v>
      </c>
      <c r="H1158" s="3">
        <f t="shared" si="1"/>
        <v>235192.1678</v>
      </c>
    </row>
    <row r="1159" ht="15.75" customHeight="1">
      <c r="A1159" s="23">
        <v>44631.0</v>
      </c>
      <c r="B1159" s="24">
        <v>7110.8</v>
      </c>
      <c r="C1159" s="24">
        <v>7161.0</v>
      </c>
      <c r="D1159" s="24">
        <v>6968.9</v>
      </c>
      <c r="E1159" s="24">
        <v>7063.6</v>
      </c>
      <c r="F1159" s="25">
        <v>4.862151E9</v>
      </c>
      <c r="G1159" s="25">
        <v>4.027705E10</v>
      </c>
      <c r="H1159" s="3">
        <f t="shared" si="1"/>
        <v>233631.0114</v>
      </c>
    </row>
    <row r="1160" ht="15.75" customHeight="1">
      <c r="A1160" s="23">
        <v>44638.0</v>
      </c>
      <c r="B1160" s="24">
        <v>7063.6</v>
      </c>
      <c r="C1160" s="24">
        <v>7296.8</v>
      </c>
      <c r="D1160" s="24">
        <v>7063.6</v>
      </c>
      <c r="E1160" s="24">
        <v>7294.4</v>
      </c>
      <c r="F1160" s="25">
        <v>4.488579E9</v>
      </c>
      <c r="G1160" s="25">
        <v>4.078271E10</v>
      </c>
      <c r="H1160" s="3">
        <f t="shared" si="1"/>
        <v>241264.8012</v>
      </c>
    </row>
    <row r="1161" ht="15.75" customHeight="1">
      <c r="A1161" s="23">
        <v>44645.0</v>
      </c>
      <c r="B1161" s="24">
        <v>7294.4</v>
      </c>
      <c r="C1161" s="24">
        <v>7431.3</v>
      </c>
      <c r="D1161" s="24">
        <v>7278.5</v>
      </c>
      <c r="E1161" s="24">
        <v>7406.2</v>
      </c>
      <c r="F1161" s="25">
        <v>3.132639E9</v>
      </c>
      <c r="G1161" s="25">
        <v>2.674699E10</v>
      </c>
      <c r="H1161" s="3">
        <f t="shared" si="1"/>
        <v>244962.6249</v>
      </c>
    </row>
    <row r="1162" ht="15.75" customHeight="1">
      <c r="A1162" s="23">
        <v>44652.0</v>
      </c>
      <c r="B1162" s="24">
        <v>7406.2</v>
      </c>
      <c r="C1162" s="24">
        <v>7556.6</v>
      </c>
      <c r="D1162" s="24">
        <v>7406.2</v>
      </c>
      <c r="E1162" s="24">
        <v>7493.8</v>
      </c>
      <c r="F1162" s="25">
        <v>3.411024E9</v>
      </c>
      <c r="G1162" s="25">
        <v>3.121345E10</v>
      </c>
      <c r="H1162" s="3">
        <f t="shared" si="1"/>
        <v>247860.0251</v>
      </c>
    </row>
    <row r="1163" ht="15.75" customHeight="1">
      <c r="A1163" s="23">
        <v>44659.0</v>
      </c>
      <c r="B1163" s="24">
        <v>7493.8</v>
      </c>
      <c r="C1163" s="24">
        <v>7573.4</v>
      </c>
      <c r="D1163" s="24">
        <v>7437.5</v>
      </c>
      <c r="E1163" s="24">
        <v>7478.0</v>
      </c>
      <c r="F1163" s="25">
        <v>3.175003E9</v>
      </c>
      <c r="G1163" s="25">
        <v>2.700572E10</v>
      </c>
      <c r="H1163" s="3">
        <f t="shared" si="1"/>
        <v>247337.4347</v>
      </c>
    </row>
    <row r="1164" ht="15.75" customHeight="1">
      <c r="A1164" s="23">
        <v>44665.0</v>
      </c>
      <c r="B1164" s="24">
        <v>7478.0</v>
      </c>
      <c r="C1164" s="24">
        <v>7529.2</v>
      </c>
      <c r="D1164" s="24">
        <v>7430.8</v>
      </c>
      <c r="E1164" s="24">
        <v>7523.4</v>
      </c>
      <c r="F1164" s="25">
        <v>2.462082E9</v>
      </c>
      <c r="G1164" s="25">
        <v>1.973617E10</v>
      </c>
      <c r="H1164" s="3">
        <f t="shared" si="1"/>
        <v>248839.0554</v>
      </c>
    </row>
    <row r="1165" ht="15.75" customHeight="1">
      <c r="A1165" s="23">
        <v>44673.0</v>
      </c>
      <c r="B1165" s="24">
        <v>7523.5</v>
      </c>
      <c r="C1165" s="24">
        <v>7624.8</v>
      </c>
      <c r="D1165" s="24">
        <v>7455.0</v>
      </c>
      <c r="E1165" s="24">
        <v>7473.3</v>
      </c>
      <c r="F1165" s="25">
        <v>2.587969E9</v>
      </c>
      <c r="G1165" s="25">
        <v>2.513172E10</v>
      </c>
      <c r="H1165" s="3">
        <f t="shared" si="1"/>
        <v>247181.9806</v>
      </c>
    </row>
    <row r="1166" ht="15.75" customHeight="1">
      <c r="A1166" s="23">
        <v>44680.0</v>
      </c>
      <c r="B1166" s="24">
        <v>7473.3</v>
      </c>
      <c r="C1166" s="24">
        <v>7473.3</v>
      </c>
      <c r="D1166" s="24">
        <v>7233.3</v>
      </c>
      <c r="E1166" s="24">
        <v>7435.0</v>
      </c>
      <c r="F1166" s="25">
        <v>3.152068E9</v>
      </c>
      <c r="G1166" s="25">
        <v>2.680049E10</v>
      </c>
      <c r="H1166" s="3">
        <f t="shared" si="1"/>
        <v>245915.1948</v>
      </c>
    </row>
    <row r="1167" ht="15.75" customHeight="1">
      <c r="A1167" s="23">
        <v>44687.0</v>
      </c>
      <c r="B1167" s="24">
        <v>7435.0</v>
      </c>
      <c r="C1167" s="24">
        <v>7435.0</v>
      </c>
      <c r="D1167" s="24">
        <v>7161.4</v>
      </c>
      <c r="E1167" s="24">
        <v>7205.6</v>
      </c>
      <c r="F1167" s="25">
        <v>3.541493E9</v>
      </c>
      <c r="G1167" s="25">
        <v>2.888674E10</v>
      </c>
      <c r="H1167" s="3">
        <f t="shared" si="1"/>
        <v>238327.7105</v>
      </c>
    </row>
    <row r="1168" ht="15.75" customHeight="1">
      <c r="A1168" s="23">
        <v>44694.0</v>
      </c>
      <c r="B1168" s="24">
        <v>7205.6</v>
      </c>
      <c r="C1168" s="24">
        <v>7205.6</v>
      </c>
      <c r="D1168" s="24">
        <v>6930.2</v>
      </c>
      <c r="E1168" s="24">
        <v>7075.1</v>
      </c>
      <c r="F1168" s="25">
        <v>3.860966E9</v>
      </c>
      <c r="G1168" s="25">
        <v>3.3675E10</v>
      </c>
      <c r="H1168" s="3">
        <f t="shared" si="1"/>
        <v>234011.3779</v>
      </c>
    </row>
    <row r="1169" ht="15.75" customHeight="1">
      <c r="A1169" s="23">
        <v>44701.0</v>
      </c>
      <c r="B1169" s="24">
        <v>7075.1</v>
      </c>
      <c r="C1169" s="24">
        <v>7199.0</v>
      </c>
      <c r="D1169" s="24">
        <v>7037.6</v>
      </c>
      <c r="E1169" s="24">
        <v>7145.6</v>
      </c>
      <c r="F1169" s="25">
        <v>3.341418E9</v>
      </c>
      <c r="G1169" s="25">
        <v>3.098799E10</v>
      </c>
      <c r="H1169" s="3">
        <f t="shared" si="1"/>
        <v>236343.1898</v>
      </c>
    </row>
    <row r="1170" ht="15.75" customHeight="1">
      <c r="A1170" s="23">
        <v>44708.0</v>
      </c>
      <c r="B1170" s="24">
        <v>7145.6</v>
      </c>
      <c r="C1170" s="24">
        <v>7218.6</v>
      </c>
      <c r="D1170" s="24">
        <v>7105.9</v>
      </c>
      <c r="E1170" s="24">
        <v>7182.7</v>
      </c>
      <c r="F1170" s="25">
        <v>3.300388E9</v>
      </c>
      <c r="G1170" s="25">
        <v>2.682526E10</v>
      </c>
      <c r="H1170" s="3">
        <f t="shared" si="1"/>
        <v>237570.2851</v>
      </c>
    </row>
    <row r="1171" ht="15.75" customHeight="1">
      <c r="A1171" s="23">
        <v>44715.0</v>
      </c>
      <c r="B1171" s="24">
        <v>7182.7</v>
      </c>
      <c r="C1171" s="24">
        <v>7288.4</v>
      </c>
      <c r="D1171" s="24">
        <v>7150.5</v>
      </c>
      <c r="E1171" s="24">
        <v>7238.8</v>
      </c>
      <c r="F1171" s="25">
        <v>4.15692E9</v>
      </c>
      <c r="G1171" s="25">
        <v>3.818807E10</v>
      </c>
      <c r="H1171" s="3">
        <f t="shared" si="1"/>
        <v>239425.812</v>
      </c>
    </row>
    <row r="1172" ht="15.75" customHeight="1">
      <c r="A1172" s="23">
        <v>44722.0</v>
      </c>
      <c r="B1172" s="24">
        <v>7238.8</v>
      </c>
      <c r="C1172" s="24">
        <v>7238.8</v>
      </c>
      <c r="D1172" s="24">
        <v>6926.9</v>
      </c>
      <c r="E1172" s="24">
        <v>6932.0</v>
      </c>
      <c r="F1172" s="25">
        <v>3.383475E9</v>
      </c>
      <c r="G1172" s="25">
        <v>3.095207E10</v>
      </c>
      <c r="H1172" s="3">
        <f t="shared" si="1"/>
        <v>229278.296</v>
      </c>
    </row>
    <row r="1173" ht="15.75" customHeight="1">
      <c r="A1173" s="23">
        <v>44729.0</v>
      </c>
      <c r="B1173" s="24">
        <v>6932.0</v>
      </c>
      <c r="C1173" s="24">
        <v>6932.0</v>
      </c>
      <c r="D1173" s="24">
        <v>6410.4</v>
      </c>
      <c r="E1173" s="24">
        <v>6474.8</v>
      </c>
      <c r="F1173" s="25">
        <v>4.904579E9</v>
      </c>
      <c r="G1173" s="25">
        <v>4.22178E10</v>
      </c>
      <c r="H1173" s="3">
        <f t="shared" si="1"/>
        <v>214156.2479</v>
      </c>
    </row>
    <row r="1174" ht="15.75" customHeight="1">
      <c r="A1174" s="23">
        <v>44736.0</v>
      </c>
      <c r="B1174" s="24">
        <v>6474.8</v>
      </c>
      <c r="C1174" s="24">
        <v>6585.1</v>
      </c>
      <c r="D1174" s="24">
        <v>6407.0</v>
      </c>
      <c r="E1174" s="24">
        <v>6578.7</v>
      </c>
      <c r="F1174" s="25">
        <v>4.392835E9</v>
      </c>
      <c r="G1174" s="25">
        <v>2.917759E10</v>
      </c>
      <c r="H1174" s="3">
        <f t="shared" si="1"/>
        <v>217592.7763</v>
      </c>
    </row>
    <row r="1175" ht="15.75" customHeight="1">
      <c r="A1175" s="23">
        <v>44743.0</v>
      </c>
      <c r="B1175" s="24">
        <v>6578.7</v>
      </c>
      <c r="C1175" s="24">
        <v>6763.6</v>
      </c>
      <c r="D1175" s="24">
        <v>6539.9</v>
      </c>
      <c r="E1175" s="24">
        <v>6539.9</v>
      </c>
      <c r="F1175" s="25">
        <v>3.960433E9</v>
      </c>
      <c r="G1175" s="25">
        <v>2.874492E10</v>
      </c>
      <c r="H1175" s="3">
        <f t="shared" si="1"/>
        <v>216309.4529</v>
      </c>
    </row>
    <row r="1176" ht="15.75" customHeight="1">
      <c r="A1176" s="23">
        <v>44750.0</v>
      </c>
      <c r="B1176" s="24">
        <v>6539.9</v>
      </c>
      <c r="C1176" s="24">
        <v>6715.0</v>
      </c>
      <c r="D1176" s="24">
        <v>6539.9</v>
      </c>
      <c r="E1176" s="24">
        <v>6678.0</v>
      </c>
      <c r="F1176" s="25">
        <v>3.146683E9</v>
      </c>
      <c r="G1176" s="25">
        <v>2.499267E10</v>
      </c>
      <c r="H1176" s="3">
        <f t="shared" si="1"/>
        <v>220877.1582</v>
      </c>
    </row>
    <row r="1177" ht="15.75" customHeight="1">
      <c r="A1177" s="23">
        <v>44757.0</v>
      </c>
      <c r="B1177" s="24">
        <v>6678.0</v>
      </c>
      <c r="C1177" s="24">
        <v>6678.0</v>
      </c>
      <c r="D1177" s="24">
        <v>6537.2</v>
      </c>
      <c r="E1177" s="24">
        <v>6605.6</v>
      </c>
      <c r="F1177" s="25">
        <v>3.209454E9</v>
      </c>
      <c r="G1177" s="25">
        <v>2.520852E10</v>
      </c>
      <c r="H1177" s="3">
        <f t="shared" si="1"/>
        <v>218482.5031</v>
      </c>
    </row>
    <row r="1178" ht="15.75" customHeight="1">
      <c r="A1178" s="23">
        <v>44764.0</v>
      </c>
      <c r="B1178" s="24">
        <v>6605.6</v>
      </c>
      <c r="C1178" s="24">
        <v>6816.1</v>
      </c>
      <c r="D1178" s="24">
        <v>6605.6</v>
      </c>
      <c r="E1178" s="24">
        <v>6791.5</v>
      </c>
      <c r="F1178" s="25">
        <v>3.590223E9</v>
      </c>
      <c r="G1178" s="25">
        <v>2.716273E10</v>
      </c>
      <c r="H1178" s="3">
        <f t="shared" si="1"/>
        <v>224631.2099</v>
      </c>
    </row>
    <row r="1179" ht="15.75" customHeight="1">
      <c r="A1179" s="23">
        <v>44771.0</v>
      </c>
      <c r="B1179" s="24">
        <v>6791.5</v>
      </c>
      <c r="C1179" s="24">
        <v>6973.6</v>
      </c>
      <c r="D1179" s="24">
        <v>6775.7</v>
      </c>
      <c r="E1179" s="24">
        <v>6945.2</v>
      </c>
      <c r="F1179" s="25">
        <v>3.479533E9</v>
      </c>
      <c r="G1179" s="25">
        <v>2.602142E10</v>
      </c>
      <c r="H1179" s="3">
        <f t="shared" si="1"/>
        <v>229714.8905</v>
      </c>
    </row>
    <row r="1180" ht="15.75" customHeight="1">
      <c r="A1180" s="23">
        <v>44778.0</v>
      </c>
      <c r="B1180" s="24">
        <v>6945.2</v>
      </c>
      <c r="C1180" s="24">
        <v>7021.1</v>
      </c>
      <c r="D1180" s="24">
        <v>6918.2</v>
      </c>
      <c r="E1180" s="24">
        <v>7015.6</v>
      </c>
      <c r="F1180" s="25">
        <v>3.260179E9</v>
      </c>
      <c r="G1180" s="25">
        <v>2.461715E10</v>
      </c>
      <c r="H1180" s="3">
        <f t="shared" si="1"/>
        <v>232043.3949</v>
      </c>
    </row>
    <row r="1181" ht="15.75" customHeight="1">
      <c r="A1181" s="23">
        <v>44785.0</v>
      </c>
      <c r="B1181" s="24">
        <v>7015.6</v>
      </c>
      <c r="C1181" s="24">
        <v>7077.1</v>
      </c>
      <c r="D1181" s="24">
        <v>6985.7</v>
      </c>
      <c r="E1181" s="24">
        <v>7032.5</v>
      </c>
      <c r="F1181" s="25">
        <v>3.567774E9</v>
      </c>
      <c r="G1181" s="25">
        <v>2.565275E10</v>
      </c>
      <c r="H1181" s="3">
        <f t="shared" si="1"/>
        <v>232602.3682</v>
      </c>
    </row>
    <row r="1182" ht="15.75" customHeight="1">
      <c r="A1182" s="23">
        <v>44792.0</v>
      </c>
      <c r="B1182" s="24">
        <v>7032.5</v>
      </c>
      <c r="C1182" s="24">
        <v>7137.5</v>
      </c>
      <c r="D1182" s="24">
        <v>7032.5</v>
      </c>
      <c r="E1182" s="24">
        <v>7114.5</v>
      </c>
      <c r="F1182" s="25">
        <v>3.444227E9</v>
      </c>
      <c r="G1182" s="25">
        <v>2.829037E10</v>
      </c>
      <c r="H1182" s="3">
        <f t="shared" si="1"/>
        <v>235314.5465</v>
      </c>
    </row>
    <row r="1183" ht="15.75" customHeight="1">
      <c r="A1183" s="23">
        <v>44799.0</v>
      </c>
      <c r="B1183" s="24">
        <v>7114.5</v>
      </c>
      <c r="C1183" s="24">
        <v>7130.0</v>
      </c>
      <c r="D1183" s="24">
        <v>6961.8</v>
      </c>
      <c r="E1183" s="24">
        <v>7104.1</v>
      </c>
      <c r="F1183" s="25">
        <v>3.5747E9</v>
      </c>
      <c r="G1183" s="25">
        <v>2.844213E10</v>
      </c>
      <c r="H1183" s="3">
        <f t="shared" si="1"/>
        <v>234970.5629</v>
      </c>
    </row>
    <row r="1184" ht="15.75" customHeight="1">
      <c r="A1184" s="23">
        <v>44806.0</v>
      </c>
      <c r="B1184" s="24">
        <v>7104.1</v>
      </c>
      <c r="C1184" s="24">
        <v>7104.1</v>
      </c>
      <c r="D1184" s="24">
        <v>6820.5</v>
      </c>
      <c r="E1184" s="24">
        <v>6828.7</v>
      </c>
      <c r="F1184" s="25">
        <v>3.844035E9</v>
      </c>
      <c r="G1184" s="25">
        <v>3.174965E10</v>
      </c>
      <c r="H1184" s="3">
        <f t="shared" si="1"/>
        <v>225861.6128</v>
      </c>
    </row>
    <row r="1185" ht="15.75" customHeight="1">
      <c r="A1185" s="23">
        <v>44813.0</v>
      </c>
      <c r="B1185" s="24">
        <v>6828.7</v>
      </c>
      <c r="C1185" s="24">
        <v>6898.5</v>
      </c>
      <c r="D1185" s="24">
        <v>6719.6</v>
      </c>
      <c r="E1185" s="24">
        <v>6894.2</v>
      </c>
      <c r="F1185" s="25">
        <v>3.721787E9</v>
      </c>
      <c r="G1185" s="25">
        <v>2.876595E10</v>
      </c>
      <c r="H1185" s="3">
        <f t="shared" si="1"/>
        <v>228028.0479</v>
      </c>
    </row>
    <row r="1186" ht="15.75" customHeight="1">
      <c r="A1186" s="23">
        <v>44820.0</v>
      </c>
      <c r="B1186" s="24">
        <v>6894.2</v>
      </c>
      <c r="C1186" s="24">
        <v>7015.2</v>
      </c>
      <c r="D1186" s="24">
        <v>6736.3</v>
      </c>
      <c r="E1186" s="24">
        <v>6739.1</v>
      </c>
      <c r="F1186" s="25">
        <v>4.849587E9</v>
      </c>
      <c r="G1186" s="25">
        <v>3.647723E10</v>
      </c>
      <c r="H1186" s="3">
        <f t="shared" si="1"/>
        <v>222898.0618</v>
      </c>
    </row>
    <row r="1187" ht="15.75" customHeight="1">
      <c r="A1187" s="23">
        <v>44827.0</v>
      </c>
      <c r="B1187" s="24">
        <v>6739.1</v>
      </c>
      <c r="C1187" s="24">
        <v>6808.3</v>
      </c>
      <c r="D1187" s="24">
        <v>6544.9</v>
      </c>
      <c r="E1187" s="24">
        <v>6574.7</v>
      </c>
      <c r="F1187" s="25">
        <v>3.175678E9</v>
      </c>
      <c r="G1187" s="25">
        <v>2.081295E10</v>
      </c>
      <c r="H1187" s="3">
        <f t="shared" si="1"/>
        <v>217460.475</v>
      </c>
    </row>
    <row r="1188" ht="15.75" customHeight="1">
      <c r="A1188" s="23">
        <v>44834.0</v>
      </c>
      <c r="B1188" s="24">
        <v>6574.7</v>
      </c>
      <c r="C1188" s="24">
        <v>6594.7</v>
      </c>
      <c r="D1188" s="24">
        <v>6433.1</v>
      </c>
      <c r="E1188" s="24">
        <v>6474.2</v>
      </c>
      <c r="F1188" s="25">
        <v>4.928126E9</v>
      </c>
      <c r="G1188" s="25">
        <v>3.260039E10</v>
      </c>
      <c r="H1188" s="3">
        <f t="shared" si="1"/>
        <v>214136.4027</v>
      </c>
    </row>
    <row r="1189" ht="15.75" customHeight="1">
      <c r="A1189" s="23">
        <v>44841.0</v>
      </c>
      <c r="B1189" s="24">
        <v>6474.2</v>
      </c>
      <c r="C1189" s="24">
        <v>6828.3</v>
      </c>
      <c r="D1189" s="24">
        <v>6411.9</v>
      </c>
      <c r="E1189" s="24">
        <v>6762.8</v>
      </c>
      <c r="F1189" s="25">
        <v>4.220003E9</v>
      </c>
      <c r="G1189" s="25">
        <v>2.854676E10</v>
      </c>
      <c r="H1189" s="3">
        <f t="shared" si="1"/>
        <v>223681.9475</v>
      </c>
    </row>
    <row r="1190" ht="15.75" customHeight="1">
      <c r="A1190" s="23">
        <v>44848.0</v>
      </c>
      <c r="B1190" s="24">
        <v>6762.8</v>
      </c>
      <c r="C1190" s="24">
        <v>6772.6</v>
      </c>
      <c r="D1190" s="24">
        <v>6633.0</v>
      </c>
      <c r="E1190" s="24">
        <v>6758.8</v>
      </c>
      <c r="F1190" s="25">
        <v>3.449389E9</v>
      </c>
      <c r="G1190" s="25">
        <v>2.600527E10</v>
      </c>
      <c r="H1190" s="3">
        <f t="shared" si="1"/>
        <v>223549.6461</v>
      </c>
    </row>
    <row r="1191" ht="15.75" customHeight="1">
      <c r="A1191" s="23">
        <v>44855.0</v>
      </c>
      <c r="B1191" s="24">
        <v>6758.9</v>
      </c>
      <c r="C1191" s="24">
        <v>6822.2</v>
      </c>
      <c r="D1191" s="24">
        <v>6645.2</v>
      </c>
      <c r="E1191" s="24">
        <v>6676.8</v>
      </c>
      <c r="F1191" s="25">
        <v>3.934175E9</v>
      </c>
      <c r="G1191" s="25">
        <v>2.898517E10</v>
      </c>
      <c r="H1191" s="3">
        <f t="shared" si="1"/>
        <v>220837.4678</v>
      </c>
    </row>
    <row r="1192" ht="15.75" customHeight="1">
      <c r="A1192" s="23">
        <v>44862.0</v>
      </c>
      <c r="B1192" s="24">
        <v>6676.8</v>
      </c>
      <c r="C1192" s="24">
        <v>6873.8</v>
      </c>
      <c r="D1192" s="24">
        <v>6676.8</v>
      </c>
      <c r="E1192" s="24">
        <v>6785.7</v>
      </c>
      <c r="F1192" s="25">
        <v>3.821963E9</v>
      </c>
      <c r="G1192" s="25">
        <v>2.629467E10</v>
      </c>
      <c r="H1192" s="3">
        <f t="shared" si="1"/>
        <v>224439.3729</v>
      </c>
    </row>
    <row r="1193" ht="15.75" customHeight="1">
      <c r="A1193" s="23">
        <v>44869.0</v>
      </c>
      <c r="B1193" s="24">
        <v>6785.7</v>
      </c>
      <c r="C1193" s="24">
        <v>7011.7</v>
      </c>
      <c r="D1193" s="24">
        <v>6785.7</v>
      </c>
      <c r="E1193" s="24">
        <v>6892.5</v>
      </c>
      <c r="F1193" s="25">
        <v>3.914762E9</v>
      </c>
      <c r="G1193" s="25">
        <v>2.874814E10</v>
      </c>
      <c r="H1193" s="3">
        <f t="shared" si="1"/>
        <v>227971.8198</v>
      </c>
    </row>
    <row r="1194" ht="15.75" customHeight="1">
      <c r="A1194" s="23">
        <v>44876.0</v>
      </c>
      <c r="B1194" s="24">
        <v>6892.5</v>
      </c>
      <c r="C1194" s="24">
        <v>7170.6</v>
      </c>
      <c r="D1194" s="24">
        <v>6892.5</v>
      </c>
      <c r="E1194" s="24">
        <v>7158.0</v>
      </c>
      <c r="F1194" s="25">
        <v>4.073062E9</v>
      </c>
      <c r="G1194" s="25">
        <v>3.23916E10</v>
      </c>
      <c r="H1194" s="3">
        <f t="shared" si="1"/>
        <v>236753.3241</v>
      </c>
    </row>
    <row r="1195" ht="15.75" customHeight="1">
      <c r="A1195" s="23">
        <v>44883.0</v>
      </c>
      <c r="B1195" s="24">
        <v>7158.0</v>
      </c>
      <c r="C1195" s="24">
        <v>7196.5</v>
      </c>
      <c r="D1195" s="24">
        <v>7102.9</v>
      </c>
      <c r="E1195" s="24">
        <v>7151.8</v>
      </c>
      <c r="F1195" s="25">
        <v>4.166162E9</v>
      </c>
      <c r="G1195" s="25">
        <v>3.172922E10</v>
      </c>
      <c r="H1195" s="3">
        <f t="shared" si="1"/>
        <v>236548.2569</v>
      </c>
    </row>
    <row r="1196" ht="15.75" customHeight="1">
      <c r="A1196" s="23">
        <v>44890.0</v>
      </c>
      <c r="B1196" s="24">
        <v>7151.8</v>
      </c>
      <c r="C1196" s="24">
        <v>7268.5</v>
      </c>
      <c r="D1196" s="24">
        <v>7131.7</v>
      </c>
      <c r="E1196" s="24">
        <v>7259.5</v>
      </c>
      <c r="F1196" s="25">
        <v>2.99724E9</v>
      </c>
      <c r="G1196" s="25">
        <v>2.378261E10</v>
      </c>
      <c r="H1196" s="3">
        <f t="shared" si="1"/>
        <v>240110.4717</v>
      </c>
    </row>
    <row r="1197" ht="15.75" customHeight="1">
      <c r="A1197" s="23">
        <v>44897.0</v>
      </c>
      <c r="B1197" s="24">
        <v>7259.5</v>
      </c>
      <c r="C1197" s="24">
        <v>7375.2</v>
      </c>
      <c r="D1197" s="24">
        <v>7200.9</v>
      </c>
      <c r="E1197" s="24">
        <v>7301.5</v>
      </c>
      <c r="F1197" s="25">
        <v>4.658551E9</v>
      </c>
      <c r="G1197" s="25">
        <v>3.847691E10</v>
      </c>
      <c r="H1197" s="3">
        <f t="shared" si="1"/>
        <v>241499.6362</v>
      </c>
    </row>
    <row r="1198" ht="15.75" customHeight="1">
      <c r="A1198" s="23">
        <v>44904.0</v>
      </c>
      <c r="B1198" s="24">
        <v>7301.5</v>
      </c>
      <c r="C1198" s="24">
        <v>7351.0</v>
      </c>
      <c r="D1198" s="24">
        <v>7170.0</v>
      </c>
      <c r="E1198" s="24">
        <v>7213.2</v>
      </c>
      <c r="F1198" s="25">
        <v>3.717502E9</v>
      </c>
      <c r="G1198" s="25">
        <v>2.995296E10</v>
      </c>
      <c r="H1198" s="3">
        <f t="shared" si="1"/>
        <v>238579.0832</v>
      </c>
    </row>
    <row r="1199" ht="15.75" customHeight="1">
      <c r="A1199" s="23">
        <v>44911.0</v>
      </c>
      <c r="B1199" s="24">
        <v>7213.2</v>
      </c>
      <c r="C1199" s="24">
        <v>7253.5</v>
      </c>
      <c r="D1199" s="24">
        <v>7117.6</v>
      </c>
      <c r="E1199" s="24">
        <v>7148.7</v>
      </c>
      <c r="F1199" s="25">
        <v>4.387481E9</v>
      </c>
      <c r="G1199" s="25">
        <v>3.269173E10</v>
      </c>
      <c r="H1199" s="3">
        <f t="shared" si="1"/>
        <v>236445.7234</v>
      </c>
    </row>
    <row r="1200" ht="15.75" customHeight="1">
      <c r="A1200" s="23">
        <v>44918.0</v>
      </c>
      <c r="B1200" s="24">
        <v>7148.7</v>
      </c>
      <c r="C1200" s="24">
        <v>7167.2</v>
      </c>
      <c r="D1200" s="24">
        <v>7019.5</v>
      </c>
      <c r="E1200" s="24">
        <v>7107.7</v>
      </c>
      <c r="F1200" s="25">
        <v>2.827006E9</v>
      </c>
      <c r="G1200" s="25">
        <v>2.095458E10</v>
      </c>
      <c r="H1200" s="3">
        <f t="shared" si="1"/>
        <v>235089.6342</v>
      </c>
    </row>
    <row r="1201" ht="15.75" customHeight="1">
      <c r="A1201" s="23">
        <v>44925.0</v>
      </c>
      <c r="B1201" s="24">
        <v>7107.7</v>
      </c>
      <c r="C1201" s="24">
        <v>7124.0</v>
      </c>
      <c r="D1201" s="24">
        <v>6993.8</v>
      </c>
      <c r="E1201" s="24">
        <v>7038.7</v>
      </c>
      <c r="F1201" s="25">
        <v>1.350444E9</v>
      </c>
      <c r="G1201" s="25">
        <v>9.41173E9</v>
      </c>
      <c r="H1201" s="3">
        <f t="shared" si="1"/>
        <v>232807.4353</v>
      </c>
    </row>
    <row r="1202" ht="15.75" customHeight="1">
      <c r="A1202" s="23">
        <v>44932.0</v>
      </c>
      <c r="B1202" s="24">
        <v>7038.7</v>
      </c>
      <c r="C1202" s="24">
        <v>7116.8</v>
      </c>
      <c r="D1202" s="24">
        <v>6905.3</v>
      </c>
      <c r="E1202" s="24">
        <v>7109.6</v>
      </c>
      <c r="F1202" s="25">
        <v>2.11376E9</v>
      </c>
      <c r="G1202" s="25">
        <v>1.665993E10</v>
      </c>
      <c r="H1202" s="3">
        <f t="shared" si="1"/>
        <v>235152.4773</v>
      </c>
    </row>
    <row r="1203" ht="15.75" customHeight="1">
      <c r="A1203" s="23">
        <v>44939.0</v>
      </c>
      <c r="B1203" s="24">
        <v>7109.6</v>
      </c>
      <c r="C1203" s="24">
        <v>7357.8</v>
      </c>
      <c r="D1203" s="24">
        <v>7109.6</v>
      </c>
      <c r="E1203" s="24">
        <v>7328.1</v>
      </c>
      <c r="F1203" s="25">
        <v>2.645156E9</v>
      </c>
      <c r="G1203" s="25">
        <v>2.161061E10</v>
      </c>
      <c r="H1203" s="3">
        <f t="shared" si="1"/>
        <v>242379.4404</v>
      </c>
    </row>
    <row r="1204" ht="15.75" customHeight="1">
      <c r="A1204" s="23">
        <v>44946.0</v>
      </c>
      <c r="B1204" s="24">
        <v>7328.1</v>
      </c>
      <c r="C1204" s="24">
        <v>7457.8</v>
      </c>
      <c r="D1204" s="24">
        <v>7328.1</v>
      </c>
      <c r="E1204" s="24">
        <v>7452.2</v>
      </c>
      <c r="F1204" s="25">
        <v>3.066362E9</v>
      </c>
      <c r="G1204" s="25">
        <v>2.698394E10</v>
      </c>
      <c r="H1204" s="3">
        <f t="shared" si="1"/>
        <v>246484.0908</v>
      </c>
    </row>
    <row r="1205" ht="15.75" customHeight="1">
      <c r="A1205" s="23">
        <v>44953.0</v>
      </c>
      <c r="B1205" s="24">
        <v>7452.2</v>
      </c>
      <c r="C1205" s="24">
        <v>7508.5</v>
      </c>
      <c r="D1205" s="24">
        <v>7434.5</v>
      </c>
      <c r="E1205" s="24">
        <v>7493.8</v>
      </c>
      <c r="F1205" s="25">
        <v>2.553843E9</v>
      </c>
      <c r="G1205" s="25">
        <v>2.04286E10</v>
      </c>
      <c r="H1205" s="3">
        <f t="shared" si="1"/>
        <v>247860.0251</v>
      </c>
    </row>
    <row r="1206" ht="15.75" customHeight="1">
      <c r="A1206" s="23">
        <v>44960.0</v>
      </c>
      <c r="B1206" s="24">
        <v>7493.8</v>
      </c>
      <c r="C1206" s="24">
        <v>7565.0</v>
      </c>
      <c r="D1206" s="24">
        <v>7463.7</v>
      </c>
      <c r="E1206" s="24">
        <v>7558.1</v>
      </c>
      <c r="F1206" s="25">
        <v>3.926964E9</v>
      </c>
      <c r="G1206" s="25">
        <v>2.996263E10</v>
      </c>
      <c r="H1206" s="3">
        <f t="shared" si="1"/>
        <v>249986.7699</v>
      </c>
    </row>
    <row r="1207" ht="15.75" customHeight="1">
      <c r="A1207" s="23">
        <v>44967.0</v>
      </c>
      <c r="B1207" s="24">
        <v>7558.1</v>
      </c>
      <c r="C1207" s="24">
        <v>7567.7</v>
      </c>
      <c r="D1207" s="24">
        <v>7428.8</v>
      </c>
      <c r="E1207" s="24">
        <v>7433.7</v>
      </c>
      <c r="F1207" s="25">
        <v>3.051103E9</v>
      </c>
      <c r="G1207" s="25">
        <v>2.438776E10</v>
      </c>
      <c r="H1207" s="3">
        <f t="shared" si="1"/>
        <v>245872.1969</v>
      </c>
    </row>
    <row r="1208" ht="15.75" customHeight="1">
      <c r="A1208" s="23">
        <v>44974.0</v>
      </c>
      <c r="B1208" s="24">
        <v>7433.7</v>
      </c>
      <c r="C1208" s="24">
        <v>7476.6</v>
      </c>
      <c r="D1208" s="24">
        <v>7337.0</v>
      </c>
      <c r="E1208" s="24">
        <v>7346.8</v>
      </c>
      <c r="F1208" s="25">
        <v>3.770761E9</v>
      </c>
      <c r="G1208" s="25">
        <v>3.200702E10</v>
      </c>
      <c r="H1208" s="3">
        <f t="shared" si="1"/>
        <v>242997.9493</v>
      </c>
    </row>
    <row r="1209" ht="15.75" customHeight="1">
      <c r="A1209" s="23">
        <v>44981.0</v>
      </c>
      <c r="B1209" s="24">
        <v>7346.8</v>
      </c>
      <c r="C1209" s="24">
        <v>7357.5</v>
      </c>
      <c r="D1209" s="24">
        <v>7267.8</v>
      </c>
      <c r="E1209" s="24">
        <v>7307.0</v>
      </c>
      <c r="F1209" s="25">
        <v>3.386871E9</v>
      </c>
      <c r="G1209" s="25">
        <v>2.622113E10</v>
      </c>
      <c r="H1209" s="3">
        <f t="shared" si="1"/>
        <v>241681.5506</v>
      </c>
    </row>
    <row r="1210" ht="15.75" customHeight="1">
      <c r="A1210" s="23">
        <v>44988.0</v>
      </c>
      <c r="B1210" s="24">
        <v>7307.0</v>
      </c>
      <c r="C1210" s="24">
        <v>7307.0</v>
      </c>
      <c r="D1210" s="24">
        <v>7193.4</v>
      </c>
      <c r="E1210" s="24">
        <v>7283.6</v>
      </c>
      <c r="F1210" s="25">
        <v>3.889838E9</v>
      </c>
      <c r="G1210" s="25">
        <v>3.340186E10</v>
      </c>
      <c r="H1210" s="3">
        <f t="shared" si="1"/>
        <v>240907.5875</v>
      </c>
    </row>
    <row r="1211" ht="15.75" customHeight="1">
      <c r="A1211" s="23">
        <v>44995.0</v>
      </c>
      <c r="B1211" s="24">
        <v>7291.2</v>
      </c>
      <c r="C1211" s="24">
        <v>7370.3</v>
      </c>
      <c r="D1211" s="24">
        <v>7134.5</v>
      </c>
      <c r="E1211" s="24">
        <v>7144.7</v>
      </c>
      <c r="F1211" s="25">
        <v>3.415586E9</v>
      </c>
      <c r="G1211" s="25">
        <v>2.815339E10</v>
      </c>
      <c r="H1211" s="3">
        <f t="shared" si="1"/>
        <v>236313.422</v>
      </c>
    </row>
    <row r="1212" ht="15.75" customHeight="1">
      <c r="A1212" s="23">
        <v>45002.0</v>
      </c>
      <c r="B1212" s="24">
        <v>7144.7</v>
      </c>
      <c r="C1212" s="24">
        <v>7151.4</v>
      </c>
      <c r="D1212" s="24">
        <v>6911.1</v>
      </c>
      <c r="E1212" s="24">
        <v>6994.8</v>
      </c>
      <c r="F1212" s="25">
        <v>5.229192E9</v>
      </c>
      <c r="G1212" s="25">
        <v>4.357457E10</v>
      </c>
      <c r="H1212" s="3">
        <f t="shared" si="1"/>
        <v>231355.4277</v>
      </c>
    </row>
    <row r="1213" ht="15.75" customHeight="1">
      <c r="A1213" s="23">
        <v>45009.0</v>
      </c>
      <c r="B1213" s="24">
        <v>6994.3</v>
      </c>
      <c r="C1213" s="24">
        <v>7032.0</v>
      </c>
      <c r="D1213" s="24">
        <v>6895.0</v>
      </c>
      <c r="E1213" s="24">
        <v>6955.2</v>
      </c>
      <c r="F1213" s="25">
        <v>3.348767E9</v>
      </c>
      <c r="G1213" s="25">
        <v>2.507511E10</v>
      </c>
      <c r="H1213" s="3">
        <f t="shared" si="1"/>
        <v>230045.644</v>
      </c>
    </row>
    <row r="1214" ht="15.75" customHeight="1">
      <c r="A1214" s="23">
        <v>45016.0</v>
      </c>
      <c r="B1214" s="24">
        <v>6955.2</v>
      </c>
      <c r="C1214" s="24">
        <v>7183.1</v>
      </c>
      <c r="D1214" s="24">
        <v>6955.2</v>
      </c>
      <c r="E1214" s="24">
        <v>7177.8</v>
      </c>
      <c r="F1214" s="25">
        <v>3.883788E9</v>
      </c>
      <c r="G1214" s="25">
        <v>2.920187E10</v>
      </c>
      <c r="H1214" s="3">
        <f t="shared" si="1"/>
        <v>237408.2159</v>
      </c>
    </row>
    <row r="1215" ht="15.75" customHeight="1">
      <c r="A1215" s="23">
        <v>45022.0</v>
      </c>
      <c r="B1215" s="24">
        <v>7177.8</v>
      </c>
      <c r="C1215" s="24">
        <v>7262.1</v>
      </c>
      <c r="D1215" s="24">
        <v>7177.8</v>
      </c>
      <c r="E1215" s="24">
        <v>7219.0</v>
      </c>
      <c r="F1215" s="25">
        <v>2.806114E9</v>
      </c>
      <c r="G1215" s="25">
        <v>2.139201E10</v>
      </c>
      <c r="H1215" s="3">
        <f t="shared" si="1"/>
        <v>238770.9202</v>
      </c>
    </row>
    <row r="1216" ht="15.75" customHeight="1">
      <c r="A1216" s="23">
        <v>45030.0</v>
      </c>
      <c r="B1216" s="24">
        <v>7219.0</v>
      </c>
      <c r="C1216" s="24">
        <v>7370.1</v>
      </c>
      <c r="D1216" s="24">
        <v>7219.0</v>
      </c>
      <c r="E1216" s="24">
        <v>7361.6</v>
      </c>
      <c r="F1216" s="25">
        <v>2.607247E9</v>
      </c>
      <c r="G1216" s="25">
        <v>2.102846E10</v>
      </c>
      <c r="H1216" s="3">
        <f t="shared" si="1"/>
        <v>243487.4644</v>
      </c>
    </row>
    <row r="1217" ht="15.75" customHeight="1">
      <c r="A1217" s="23">
        <v>45037.0</v>
      </c>
      <c r="B1217" s="24">
        <v>7361.6</v>
      </c>
      <c r="C1217" s="24">
        <v>7391.2</v>
      </c>
      <c r="D1217" s="24">
        <v>7314.9</v>
      </c>
      <c r="E1217" s="24">
        <v>7330.4</v>
      </c>
      <c r="F1217" s="25">
        <v>3.400534E9</v>
      </c>
      <c r="G1217" s="25">
        <v>2.689332E10</v>
      </c>
      <c r="H1217" s="3">
        <f t="shared" si="1"/>
        <v>242455.5137</v>
      </c>
    </row>
    <row r="1218" ht="15.75" customHeight="1">
      <c r="A1218" s="23">
        <v>45044.0</v>
      </c>
      <c r="B1218" s="24">
        <v>7330.4</v>
      </c>
      <c r="C1218" s="24">
        <v>7332.6</v>
      </c>
      <c r="D1218" s="24">
        <v>7275.3</v>
      </c>
      <c r="E1218" s="24">
        <v>7309.2</v>
      </c>
      <c r="F1218" s="25">
        <v>2.617892E9</v>
      </c>
      <c r="G1218" s="25">
        <v>2.131906E10</v>
      </c>
      <c r="H1218" s="3">
        <f t="shared" si="1"/>
        <v>241754.3163</v>
      </c>
    </row>
    <row r="1219" ht="15.75" customHeight="1">
      <c r="A1219" s="23">
        <v>45051.0</v>
      </c>
      <c r="B1219" s="24">
        <v>7309.2</v>
      </c>
      <c r="C1219" s="24">
        <v>7368.0</v>
      </c>
      <c r="D1219" s="24">
        <v>7141.8</v>
      </c>
      <c r="E1219" s="24">
        <v>7220.0</v>
      </c>
      <c r="F1219" s="25">
        <v>3.244136E9</v>
      </c>
      <c r="G1219" s="25">
        <v>2.705723E10</v>
      </c>
      <c r="H1219" s="3">
        <f t="shared" si="1"/>
        <v>238803.9955</v>
      </c>
    </row>
    <row r="1220" ht="15.75" customHeight="1">
      <c r="A1220" s="23">
        <v>45058.0</v>
      </c>
      <c r="B1220" s="24">
        <v>7220.2</v>
      </c>
      <c r="C1220" s="24">
        <v>7292.4</v>
      </c>
      <c r="D1220" s="24">
        <v>7220.2</v>
      </c>
      <c r="E1220" s="24">
        <v>7256.7</v>
      </c>
      <c r="F1220" s="25">
        <v>3.240298E9</v>
      </c>
      <c r="G1220" s="25">
        <v>2.610359E10</v>
      </c>
      <c r="H1220" s="3">
        <f t="shared" si="1"/>
        <v>240017.8607</v>
      </c>
    </row>
    <row r="1221" ht="15.75" customHeight="1">
      <c r="A1221" s="23">
        <v>45065.0</v>
      </c>
      <c r="B1221" s="24">
        <v>7256.7</v>
      </c>
      <c r="C1221" s="24">
        <v>7292.6</v>
      </c>
      <c r="D1221" s="24">
        <v>7159.8</v>
      </c>
      <c r="E1221" s="24">
        <v>7279.5</v>
      </c>
      <c r="F1221" s="25">
        <v>3.148357E9</v>
      </c>
      <c r="G1221" s="25">
        <v>2.428114E10</v>
      </c>
      <c r="H1221" s="3">
        <f t="shared" si="1"/>
        <v>240771.9786</v>
      </c>
    </row>
    <row r="1222" ht="15.75" customHeight="1">
      <c r="A1222" s="23">
        <v>45072.0</v>
      </c>
      <c r="B1222" s="24">
        <v>7279.5</v>
      </c>
      <c r="C1222" s="24">
        <v>7288.1</v>
      </c>
      <c r="D1222" s="24">
        <v>7129.0</v>
      </c>
      <c r="E1222" s="24">
        <v>7154.8</v>
      </c>
      <c r="F1222" s="25">
        <v>2.912438E9</v>
      </c>
      <c r="G1222" s="25">
        <v>2.427186E10</v>
      </c>
      <c r="H1222" s="3">
        <f t="shared" si="1"/>
        <v>236647.483</v>
      </c>
    </row>
    <row r="1223" ht="15.75" customHeight="1">
      <c r="A1223" s="23">
        <v>45079.0</v>
      </c>
      <c r="B1223" s="24">
        <v>7154.8</v>
      </c>
      <c r="C1223" s="24">
        <v>7254.8</v>
      </c>
      <c r="D1223" s="24">
        <v>7077.9</v>
      </c>
      <c r="E1223" s="24">
        <v>7145.1</v>
      </c>
      <c r="F1223" s="25">
        <v>4.041506E9</v>
      </c>
      <c r="G1223" s="25">
        <v>3.360061E10</v>
      </c>
      <c r="H1223" s="3">
        <f t="shared" si="1"/>
        <v>236326.6521</v>
      </c>
    </row>
    <row r="1224" ht="15.75" customHeight="1">
      <c r="A1224" s="23">
        <v>45086.0</v>
      </c>
      <c r="B1224" s="24">
        <v>7145.1</v>
      </c>
      <c r="C1224" s="24">
        <v>7233.2</v>
      </c>
      <c r="D1224" s="24">
        <v>7093.5</v>
      </c>
      <c r="E1224" s="24">
        <v>7122.5</v>
      </c>
      <c r="F1224" s="25">
        <v>3.418987E9</v>
      </c>
      <c r="G1224" s="25">
        <v>2.672379E10</v>
      </c>
      <c r="H1224" s="3">
        <f t="shared" si="1"/>
        <v>235579.1493</v>
      </c>
    </row>
    <row r="1225" ht="15.75" customHeight="1">
      <c r="A1225" s="23">
        <v>45093.0</v>
      </c>
      <c r="B1225" s="24">
        <v>7122.5</v>
      </c>
      <c r="C1225" s="24">
        <v>7262.1</v>
      </c>
      <c r="D1225" s="24">
        <v>7101.3</v>
      </c>
      <c r="E1225" s="24">
        <v>7251.2</v>
      </c>
      <c r="F1225" s="25">
        <v>3.761908E9</v>
      </c>
      <c r="G1225" s="25">
        <v>3.395244E10</v>
      </c>
      <c r="H1225" s="3">
        <f t="shared" si="1"/>
        <v>239835.9463</v>
      </c>
    </row>
    <row r="1226" ht="15.75" customHeight="1">
      <c r="A1226" s="23">
        <v>45100.0</v>
      </c>
      <c r="B1226" s="24">
        <v>7251.2</v>
      </c>
      <c r="C1226" s="24">
        <v>7368.4</v>
      </c>
      <c r="D1226" s="24">
        <v>7087.9</v>
      </c>
      <c r="E1226" s="24">
        <v>7099.2</v>
      </c>
      <c r="F1226" s="25">
        <v>3.312264E9</v>
      </c>
      <c r="G1226" s="25">
        <v>2.645448E10</v>
      </c>
      <c r="H1226" s="3">
        <f t="shared" si="1"/>
        <v>234808.4937</v>
      </c>
    </row>
    <row r="1227" ht="15.75" customHeight="1">
      <c r="A1227" s="23">
        <v>45107.0</v>
      </c>
      <c r="B1227" s="24">
        <v>7099.2</v>
      </c>
      <c r="C1227" s="24">
        <v>7223.2</v>
      </c>
      <c r="D1227" s="24">
        <v>7054.8</v>
      </c>
      <c r="E1227" s="24">
        <v>7203.3</v>
      </c>
      <c r="F1227" s="25">
        <v>3.148526E9</v>
      </c>
      <c r="G1227" s="25">
        <v>2.503412E10</v>
      </c>
      <c r="H1227" s="3">
        <f t="shared" si="1"/>
        <v>238251.6372</v>
      </c>
    </row>
    <row r="1228" ht="15.75" customHeight="1">
      <c r="A1228" s="23">
        <v>45114.0</v>
      </c>
      <c r="B1228" s="24">
        <v>7203.3</v>
      </c>
      <c r="C1228" s="24">
        <v>7285.8</v>
      </c>
      <c r="D1228" s="24">
        <v>7023.6</v>
      </c>
      <c r="E1228" s="24">
        <v>7042.3</v>
      </c>
      <c r="F1228" s="25">
        <v>2.847109E9</v>
      </c>
      <c r="G1228" s="25">
        <v>2.335712E10</v>
      </c>
      <c r="H1228" s="3">
        <f t="shared" si="1"/>
        <v>232926.5066</v>
      </c>
    </row>
    <row r="1229" ht="15.75" customHeight="1">
      <c r="A1229" s="23">
        <v>45121.0</v>
      </c>
      <c r="B1229" s="24">
        <v>7042.3</v>
      </c>
      <c r="C1229" s="24">
        <v>7313.7</v>
      </c>
      <c r="D1229" s="24">
        <v>6998.1</v>
      </c>
      <c r="E1229" s="24">
        <v>7303.1</v>
      </c>
      <c r="F1229" s="25">
        <v>2.716256E9</v>
      </c>
      <c r="G1229" s="25">
        <v>2.332414E10</v>
      </c>
      <c r="H1229" s="3">
        <f t="shared" si="1"/>
        <v>241552.5567</v>
      </c>
    </row>
    <row r="1230" ht="15.75" customHeight="1">
      <c r="A1230" s="23">
        <v>45128.0</v>
      </c>
      <c r="B1230" s="24">
        <v>7303.1</v>
      </c>
      <c r="C1230" s="24">
        <v>7383.3</v>
      </c>
      <c r="D1230" s="24">
        <v>7261.1</v>
      </c>
      <c r="E1230" s="24">
        <v>7313.9</v>
      </c>
      <c r="F1230" s="25">
        <v>3.078286E9</v>
      </c>
      <c r="G1230" s="25">
        <v>2.743456E10</v>
      </c>
      <c r="H1230" s="3">
        <f t="shared" si="1"/>
        <v>241909.7705</v>
      </c>
    </row>
    <row r="1231" ht="15.75" customHeight="1">
      <c r="A1231" s="23">
        <v>45135.0</v>
      </c>
      <c r="B1231" s="24">
        <v>7313.9</v>
      </c>
      <c r="C1231" s="24">
        <v>7472.3</v>
      </c>
      <c r="D1231" s="24">
        <v>7306.4</v>
      </c>
      <c r="E1231" s="24">
        <v>7403.6</v>
      </c>
      <c r="F1231" s="25">
        <v>3.279632E9</v>
      </c>
      <c r="G1231" s="25">
        <v>2.587789E10</v>
      </c>
      <c r="H1231" s="3">
        <f t="shared" si="1"/>
        <v>244876.629</v>
      </c>
    </row>
    <row r="1232" ht="15.75" customHeight="1">
      <c r="A1232" s="23">
        <v>45142.0</v>
      </c>
      <c r="B1232" s="24">
        <v>7403.6</v>
      </c>
      <c r="C1232" s="24">
        <v>7470.1</v>
      </c>
      <c r="D1232" s="24">
        <v>7285.5</v>
      </c>
      <c r="E1232" s="24">
        <v>7325.3</v>
      </c>
      <c r="F1232" s="25">
        <v>2.840952E9</v>
      </c>
      <c r="G1232" s="25">
        <v>2.390546E10</v>
      </c>
      <c r="H1232" s="3">
        <f t="shared" si="1"/>
        <v>242286.8294</v>
      </c>
    </row>
    <row r="1233" ht="15.75" customHeight="1">
      <c r="A1233" s="23">
        <v>45149.0</v>
      </c>
      <c r="B1233" s="24">
        <v>7325.3</v>
      </c>
      <c r="C1233" s="24">
        <v>7361.2</v>
      </c>
      <c r="D1233" s="24">
        <v>7294.6</v>
      </c>
      <c r="E1233" s="24">
        <v>7340.1</v>
      </c>
      <c r="F1233" s="25">
        <v>2.910892E9</v>
      </c>
      <c r="G1233" s="25">
        <v>2.33277E10</v>
      </c>
      <c r="H1233" s="3">
        <f t="shared" si="1"/>
        <v>242776.3445</v>
      </c>
    </row>
    <row r="1234" ht="15.75" customHeight="1">
      <c r="A1234" s="23">
        <v>45156.0</v>
      </c>
      <c r="B1234" s="24">
        <v>7340.1</v>
      </c>
      <c r="C1234" s="24">
        <v>7340.1</v>
      </c>
      <c r="D1234" s="24">
        <v>7106.8</v>
      </c>
      <c r="E1234" s="24">
        <v>7148.1</v>
      </c>
      <c r="F1234" s="25">
        <v>3.6361E9</v>
      </c>
      <c r="G1234" s="25">
        <v>2.92399E10</v>
      </c>
      <c r="H1234" s="3">
        <f t="shared" si="1"/>
        <v>236425.8782</v>
      </c>
    </row>
    <row r="1235" ht="15.75" customHeight="1">
      <c r="A1235" s="23">
        <v>45163.0</v>
      </c>
      <c r="B1235" s="24">
        <v>7148.1</v>
      </c>
      <c r="C1235" s="24">
        <v>7194.4</v>
      </c>
      <c r="D1235" s="24">
        <v>7090.0</v>
      </c>
      <c r="E1235" s="24">
        <v>7115.2</v>
      </c>
      <c r="F1235" s="25">
        <v>3.713947E9</v>
      </c>
      <c r="G1235" s="25">
        <v>2.972554E10</v>
      </c>
      <c r="H1235" s="3">
        <f t="shared" si="1"/>
        <v>235337.6993</v>
      </c>
    </row>
    <row r="1236" ht="15.75" customHeight="1">
      <c r="A1236" s="23">
        <v>45170.0</v>
      </c>
      <c r="B1236" s="24">
        <v>7115.2</v>
      </c>
      <c r="C1236" s="24">
        <v>7317.9</v>
      </c>
      <c r="D1236" s="24">
        <v>7115.2</v>
      </c>
      <c r="E1236" s="24">
        <v>7278.3</v>
      </c>
      <c r="F1236" s="25">
        <v>4.2755E9</v>
      </c>
      <c r="G1236" s="25">
        <v>2.952971E10</v>
      </c>
      <c r="H1236" s="3">
        <f t="shared" si="1"/>
        <v>240732.2882</v>
      </c>
    </row>
    <row r="1237" ht="15.75" customHeight="1">
      <c r="A1237" s="23">
        <v>45177.0</v>
      </c>
      <c r="B1237" s="24">
        <v>7278.3</v>
      </c>
      <c r="C1237" s="24">
        <v>7340.9</v>
      </c>
      <c r="D1237" s="24">
        <v>7134.8</v>
      </c>
      <c r="E1237" s="24">
        <v>7156.7</v>
      </c>
      <c r="F1237" s="25">
        <v>3.140717E9</v>
      </c>
      <c r="G1237" s="25">
        <v>2.370181E10</v>
      </c>
      <c r="H1237" s="3">
        <f t="shared" si="1"/>
        <v>236710.3261</v>
      </c>
    </row>
    <row r="1238" ht="15.75" customHeight="1">
      <c r="A1238" s="23">
        <v>45184.0</v>
      </c>
      <c r="B1238" s="24">
        <v>7156.7</v>
      </c>
      <c r="C1238" s="24">
        <v>7319.8</v>
      </c>
      <c r="D1238" s="24">
        <v>7134.0</v>
      </c>
      <c r="E1238" s="24">
        <v>7279.0</v>
      </c>
      <c r="F1238" s="25">
        <v>4.959511E9</v>
      </c>
      <c r="G1238" s="25">
        <v>3.038728E10</v>
      </c>
      <c r="H1238" s="3">
        <f t="shared" si="1"/>
        <v>240755.4409</v>
      </c>
    </row>
    <row r="1239" ht="15.75" customHeight="1">
      <c r="A1239" s="23">
        <v>45191.0</v>
      </c>
      <c r="B1239" s="24">
        <v>7279.0</v>
      </c>
      <c r="C1239" s="24">
        <v>7279.0</v>
      </c>
      <c r="D1239" s="24">
        <v>6957.2</v>
      </c>
      <c r="E1239" s="24">
        <v>7068.8</v>
      </c>
      <c r="F1239" s="25">
        <v>3.584165E9</v>
      </c>
      <c r="G1239" s="25">
        <v>2.857904E10</v>
      </c>
      <c r="H1239" s="3">
        <f t="shared" si="1"/>
        <v>233803.0032</v>
      </c>
    </row>
    <row r="1240" ht="15.75" customHeight="1">
      <c r="A1240" s="23">
        <v>45198.0</v>
      </c>
      <c r="B1240" s="24">
        <v>7068.8</v>
      </c>
      <c r="C1240" s="24">
        <v>7076.5</v>
      </c>
      <c r="D1240" s="24">
        <v>7002.8</v>
      </c>
      <c r="E1240" s="24">
        <v>7048.6</v>
      </c>
      <c r="F1240" s="25">
        <v>3.426048E9</v>
      </c>
      <c r="G1240" s="25">
        <v>2.394074E10</v>
      </c>
      <c r="H1240" s="3">
        <f t="shared" si="1"/>
        <v>233134.8813</v>
      </c>
    </row>
    <row r="1241" ht="15.75" customHeight="1">
      <c r="A1241" s="23">
        <v>45205.0</v>
      </c>
      <c r="B1241" s="24">
        <v>7048.6</v>
      </c>
      <c r="C1241" s="24">
        <v>7051.5</v>
      </c>
      <c r="D1241" s="24">
        <v>6871.0</v>
      </c>
      <c r="E1241" s="24">
        <v>6954.2</v>
      </c>
      <c r="F1241" s="25">
        <v>3.402043E9</v>
      </c>
      <c r="G1241" s="25">
        <v>2.444145E10</v>
      </c>
      <c r="H1241" s="3">
        <f t="shared" si="1"/>
        <v>230012.5686</v>
      </c>
    </row>
    <row r="1242" ht="15.75" customHeight="1">
      <c r="A1242" s="23">
        <v>45212.0</v>
      </c>
      <c r="B1242" s="24">
        <v>6954.2</v>
      </c>
      <c r="C1242" s="24">
        <v>7112.7</v>
      </c>
      <c r="D1242" s="24">
        <v>6954.2</v>
      </c>
      <c r="E1242" s="24">
        <v>7051.0</v>
      </c>
      <c r="F1242" s="25">
        <v>3.506913E9</v>
      </c>
      <c r="G1242" s="25">
        <v>2.508886E10</v>
      </c>
      <c r="H1242" s="3">
        <f t="shared" si="1"/>
        <v>233214.2621</v>
      </c>
    </row>
    <row r="1243" ht="15.75" customHeight="1">
      <c r="A1243" s="23">
        <v>45219.0</v>
      </c>
      <c r="B1243" s="24">
        <v>7051.0</v>
      </c>
      <c r="C1243" s="24">
        <v>7100.3</v>
      </c>
      <c r="D1243" s="24">
        <v>6878.3</v>
      </c>
      <c r="E1243" s="24">
        <v>6900.7</v>
      </c>
      <c r="F1243" s="25">
        <v>3.276528E9</v>
      </c>
      <c r="G1243" s="25">
        <v>2.495049E10</v>
      </c>
      <c r="H1243" s="3">
        <f t="shared" si="1"/>
        <v>228243.0376</v>
      </c>
    </row>
    <row r="1244" ht="15.75" customHeight="1">
      <c r="A1244" s="23">
        <v>45226.0</v>
      </c>
      <c r="B1244" s="24">
        <v>6900.7</v>
      </c>
      <c r="C1244" s="24">
        <v>6900.7</v>
      </c>
      <c r="D1244" s="24">
        <v>6777.4</v>
      </c>
      <c r="E1244" s="24">
        <v>6826.9</v>
      </c>
      <c r="F1244" s="25">
        <v>3.452106E9</v>
      </c>
      <c r="G1244" s="25">
        <v>2.645707E10</v>
      </c>
      <c r="H1244" s="3">
        <f t="shared" si="1"/>
        <v>225802.0771</v>
      </c>
    </row>
    <row r="1245" ht="15.75" customHeight="1">
      <c r="A1245" s="23">
        <v>45233.0</v>
      </c>
      <c r="B1245" s="24">
        <v>6826.9</v>
      </c>
      <c r="C1245" s="24">
        <v>6989.4</v>
      </c>
      <c r="D1245" s="24">
        <v>6751.3</v>
      </c>
      <c r="E1245" s="24">
        <v>6978.2</v>
      </c>
      <c r="F1245" s="25">
        <v>3.769993E9</v>
      </c>
      <c r="G1245" s="25">
        <v>2.578462E10</v>
      </c>
      <c r="H1245" s="3">
        <f t="shared" si="1"/>
        <v>230806.3769</v>
      </c>
    </row>
    <row r="1246" ht="15.75" customHeight="1">
      <c r="A1246" s="23">
        <v>45240.0</v>
      </c>
      <c r="B1246" s="24">
        <v>6978.2</v>
      </c>
      <c r="C1246" s="24">
        <v>7045.5</v>
      </c>
      <c r="D1246" s="24">
        <v>6951.9</v>
      </c>
      <c r="E1246" s="24">
        <v>6976.5</v>
      </c>
      <c r="F1246" s="25">
        <v>3.272082E9</v>
      </c>
      <c r="G1246" s="25">
        <v>2.582383E10</v>
      </c>
      <c r="H1246" s="3">
        <f t="shared" si="1"/>
        <v>230750.1488</v>
      </c>
    </row>
    <row r="1247" ht="15.75" customHeight="1">
      <c r="A1247" s="23">
        <v>45247.0</v>
      </c>
      <c r="B1247" s="24">
        <v>6976.5</v>
      </c>
      <c r="C1247" s="24">
        <v>7125.6</v>
      </c>
      <c r="D1247" s="24">
        <v>6948.8</v>
      </c>
      <c r="E1247" s="24">
        <v>7049.4</v>
      </c>
      <c r="F1247" s="25">
        <v>3.207877E9</v>
      </c>
      <c r="G1247" s="25">
        <v>2.706602E10</v>
      </c>
      <c r="H1247" s="3">
        <f t="shared" si="1"/>
        <v>233161.3415</v>
      </c>
    </row>
    <row r="1248" ht="15.75" customHeight="1">
      <c r="A1248" s="23">
        <v>45254.0</v>
      </c>
      <c r="B1248" s="24">
        <v>7049.4</v>
      </c>
      <c r="C1248" s="24">
        <v>7090.4</v>
      </c>
      <c r="D1248" s="24">
        <v>7026.9</v>
      </c>
      <c r="E1248" s="24">
        <v>7040.8</v>
      </c>
      <c r="F1248" s="25">
        <v>2.639407E9</v>
      </c>
      <c r="G1248" s="25">
        <v>1.993486E10</v>
      </c>
      <c r="H1248" s="3">
        <f t="shared" si="1"/>
        <v>232876.8936</v>
      </c>
    </row>
    <row r="1249" ht="15.75" customHeight="1">
      <c r="A1249" s="23">
        <v>45261.0</v>
      </c>
      <c r="B1249" s="24">
        <v>7040.8</v>
      </c>
      <c r="C1249" s="24">
        <v>7087.3</v>
      </c>
      <c r="D1249" s="24">
        <v>6985.5</v>
      </c>
      <c r="E1249" s="24">
        <v>7073.2</v>
      </c>
      <c r="F1249" s="25">
        <v>3.68843E9</v>
      </c>
      <c r="G1249" s="25">
        <v>2.799693E10</v>
      </c>
      <c r="H1249" s="3">
        <f t="shared" si="1"/>
        <v>233948.5348</v>
      </c>
    </row>
    <row r="1250" ht="15.75" customHeight="1">
      <c r="A1250" s="23">
        <v>45268.0</v>
      </c>
      <c r="B1250" s="24">
        <v>7073.2</v>
      </c>
      <c r="C1250" s="24">
        <v>7194.9</v>
      </c>
      <c r="D1250" s="24">
        <v>7041.1</v>
      </c>
      <c r="E1250" s="24">
        <v>7194.9</v>
      </c>
      <c r="F1250" s="25">
        <v>4.185461E9</v>
      </c>
      <c r="G1250" s="25">
        <v>2.69308E10</v>
      </c>
      <c r="H1250" s="3">
        <f t="shared" si="1"/>
        <v>237973.8043</v>
      </c>
    </row>
    <row r="1251" ht="15.75" customHeight="1">
      <c r="A1251" s="23">
        <v>45275.0</v>
      </c>
      <c r="B1251" s="24">
        <v>7194.9</v>
      </c>
      <c r="C1251" s="24">
        <v>7462.2</v>
      </c>
      <c r="D1251" s="24">
        <v>7189.9</v>
      </c>
      <c r="E1251" s="24">
        <v>7442.7</v>
      </c>
      <c r="F1251" s="25">
        <v>4.923276E9</v>
      </c>
      <c r="G1251" s="25">
        <v>3.729417E10</v>
      </c>
      <c r="H1251" s="3">
        <f t="shared" si="1"/>
        <v>246169.875</v>
      </c>
    </row>
    <row r="1252" ht="15.75" customHeight="1">
      <c r="A1252" s="23">
        <v>45282.0</v>
      </c>
      <c r="B1252" s="24">
        <v>7442.7</v>
      </c>
      <c r="C1252" s="24">
        <v>7552.3</v>
      </c>
      <c r="D1252" s="24">
        <v>7406.4</v>
      </c>
      <c r="E1252" s="24">
        <v>7501.6</v>
      </c>
      <c r="F1252" s="25">
        <v>3.487124E9</v>
      </c>
      <c r="G1252" s="25">
        <v>2.707159E10</v>
      </c>
      <c r="H1252" s="3">
        <f t="shared" si="1"/>
        <v>248118.0128</v>
      </c>
    </row>
    <row r="1253" ht="15.75" customHeight="1">
      <c r="A1253" s="23">
        <v>45289.0</v>
      </c>
      <c r="B1253" s="24">
        <v>7501.6</v>
      </c>
      <c r="C1253" s="24">
        <v>7614.3</v>
      </c>
      <c r="D1253" s="24">
        <v>7501.6</v>
      </c>
      <c r="E1253" s="24">
        <v>7590.8</v>
      </c>
      <c r="F1253" s="25">
        <v>1.181727E9</v>
      </c>
      <c r="G1253" s="25">
        <v>8.933445E9</v>
      </c>
      <c r="H1253" s="3">
        <f t="shared" si="1"/>
        <v>251068.3337</v>
      </c>
    </row>
    <row r="1254" ht="15.75" customHeight="1">
      <c r="A1254" s="23">
        <v>45296.0</v>
      </c>
      <c r="B1254" s="24">
        <v>7590.8</v>
      </c>
      <c r="C1254" s="24">
        <v>7632.7</v>
      </c>
      <c r="D1254" s="24">
        <v>7481.1</v>
      </c>
      <c r="E1254" s="24">
        <v>7489.1</v>
      </c>
      <c r="F1254" s="25">
        <v>1.691965E9</v>
      </c>
      <c r="G1254" s="25">
        <v>1.346655E10</v>
      </c>
      <c r="H1254" s="3">
        <f t="shared" si="1"/>
        <v>247704.571</v>
      </c>
    </row>
    <row r="1255" ht="15.75" customHeight="1">
      <c r="A1255" s="23">
        <v>45303.0</v>
      </c>
      <c r="B1255" s="24">
        <v>7489.1</v>
      </c>
      <c r="C1255" s="24">
        <v>7541.9</v>
      </c>
      <c r="D1255" s="24">
        <v>7441.8</v>
      </c>
      <c r="E1255" s="24">
        <v>7498.3</v>
      </c>
      <c r="F1255" s="25">
        <v>2.803061E9</v>
      </c>
      <c r="G1255" s="25">
        <v>1.939825E10</v>
      </c>
      <c r="H1255" s="3">
        <f t="shared" si="1"/>
        <v>248008.8642</v>
      </c>
    </row>
    <row r="1256" ht="15.75" customHeight="1">
      <c r="A1256" s="23">
        <v>45310.0</v>
      </c>
      <c r="B1256" s="24">
        <v>7498.3</v>
      </c>
      <c r="C1256" s="24">
        <v>7505.1</v>
      </c>
      <c r="D1256" s="24">
        <v>7322.0</v>
      </c>
      <c r="E1256" s="24">
        <v>7421.2</v>
      </c>
      <c r="F1256" s="25">
        <v>3.199967E9</v>
      </c>
      <c r="G1256" s="25">
        <v>2.373172E10</v>
      </c>
      <c r="H1256" s="3">
        <f t="shared" si="1"/>
        <v>245458.755</v>
      </c>
    </row>
    <row r="1257" ht="15.75" customHeight="1">
      <c r="A1257" s="23">
        <v>45316.0</v>
      </c>
      <c r="B1257" s="24">
        <v>7421.2</v>
      </c>
      <c r="C1257" s="24">
        <v>7558.8</v>
      </c>
      <c r="D1257" s="24">
        <v>7421.2</v>
      </c>
      <c r="E1257" s="24">
        <v>7555.4</v>
      </c>
      <c r="F1257" s="25">
        <v>2.403871E9</v>
      </c>
      <c r="G1257" s="25">
        <v>1.816182E10</v>
      </c>
      <c r="H1257" s="3">
        <f t="shared" si="1"/>
        <v>249897.4664</v>
      </c>
    </row>
    <row r="1258" ht="15.75" customHeight="1">
      <c r="A1258" s="23">
        <v>45324.0</v>
      </c>
      <c r="B1258" s="24">
        <v>7555.4</v>
      </c>
      <c r="C1258" s="24">
        <v>7703.6</v>
      </c>
      <c r="D1258" s="24">
        <v>7544.3</v>
      </c>
      <c r="E1258" s="24">
        <v>7699.4</v>
      </c>
      <c r="F1258" s="25">
        <v>3.445047E9</v>
      </c>
      <c r="G1258" s="25">
        <v>2.767075E10</v>
      </c>
      <c r="H1258" s="3">
        <f t="shared" si="1"/>
        <v>254660.3162</v>
      </c>
    </row>
    <row r="1259" ht="15.75" customHeight="1">
      <c r="A1259" s="23">
        <v>45331.0</v>
      </c>
      <c r="B1259" s="24">
        <v>7699.4</v>
      </c>
      <c r="C1259" s="24">
        <v>7699.4</v>
      </c>
      <c r="D1259" s="24">
        <v>7542.0</v>
      </c>
      <c r="E1259" s="24">
        <v>7644.8</v>
      </c>
      <c r="F1259" s="25">
        <v>2.888982E9</v>
      </c>
      <c r="G1259" s="25">
        <v>2.414674E10</v>
      </c>
      <c r="H1259" s="3">
        <f t="shared" si="1"/>
        <v>252854.4023</v>
      </c>
    </row>
    <row r="1260" ht="15.75" customHeight="1">
      <c r="A1260" s="23">
        <v>45338.0</v>
      </c>
      <c r="B1260" s="24">
        <v>7644.8</v>
      </c>
      <c r="C1260" s="24">
        <v>7681.1</v>
      </c>
      <c r="D1260" s="24">
        <v>7489.4</v>
      </c>
      <c r="E1260" s="24">
        <v>7658.3</v>
      </c>
      <c r="F1260" s="25">
        <v>3.777022E9</v>
      </c>
      <c r="G1260" s="25">
        <v>2.834606E10</v>
      </c>
      <c r="H1260" s="3">
        <f t="shared" si="1"/>
        <v>253300.9195</v>
      </c>
    </row>
    <row r="1261" ht="15.75" customHeight="1">
      <c r="A1261" s="23">
        <v>45345.0</v>
      </c>
      <c r="B1261" s="24">
        <v>7658.3</v>
      </c>
      <c r="C1261" s="24">
        <v>7683.3</v>
      </c>
      <c r="D1261" s="24">
        <v>7584.7</v>
      </c>
      <c r="E1261" s="24">
        <v>7643.6</v>
      </c>
      <c r="F1261" s="25">
        <v>4.852742E9</v>
      </c>
      <c r="G1261" s="25">
        <v>3.009633E10</v>
      </c>
      <c r="H1261" s="3">
        <f t="shared" si="1"/>
        <v>252814.7119</v>
      </c>
    </row>
    <row r="1262" ht="15.75" customHeight="1">
      <c r="A1262" s="23">
        <v>45352.0</v>
      </c>
      <c r="B1262" s="24">
        <v>7643.6</v>
      </c>
      <c r="C1262" s="24">
        <v>7745.6</v>
      </c>
      <c r="D1262" s="24">
        <v>7610.8</v>
      </c>
      <c r="E1262" s="24">
        <v>7745.6</v>
      </c>
      <c r="F1262" s="25">
        <v>5.311381E9</v>
      </c>
      <c r="G1262" s="25">
        <v>3.556315E10</v>
      </c>
      <c r="H1262" s="3">
        <f t="shared" si="1"/>
        <v>256188.3972</v>
      </c>
    </row>
    <row r="1263" ht="15.75" customHeight="1">
      <c r="A1263" s="23">
        <v>45359.0</v>
      </c>
      <c r="B1263" s="24">
        <v>7745.6</v>
      </c>
      <c r="C1263" s="24">
        <v>7853.1</v>
      </c>
      <c r="D1263" s="24">
        <v>7695.2</v>
      </c>
      <c r="E1263" s="24">
        <v>7847.0</v>
      </c>
      <c r="F1263" s="25">
        <v>3.785026E9</v>
      </c>
      <c r="G1263" s="25">
        <v>2.936138E10</v>
      </c>
      <c r="H1263" s="3">
        <f t="shared" si="1"/>
        <v>259542.2372</v>
      </c>
    </row>
    <row r="1264" ht="15.75" customHeight="1">
      <c r="A1264" s="23">
        <v>45366.0</v>
      </c>
      <c r="B1264" s="24">
        <v>7847.0</v>
      </c>
      <c r="C1264" s="24">
        <v>7847.0</v>
      </c>
      <c r="D1264" s="24">
        <v>7591.4</v>
      </c>
      <c r="E1264" s="24">
        <v>7670.3</v>
      </c>
      <c r="F1264" s="25">
        <v>5.019539E9</v>
      </c>
      <c r="G1264" s="25">
        <v>3.868368E10</v>
      </c>
      <c r="H1264" s="3">
        <f t="shared" si="1"/>
        <v>253697.8236</v>
      </c>
    </row>
    <row r="1265" ht="15.75" customHeight="1">
      <c r="A1265" s="23">
        <v>45373.0</v>
      </c>
      <c r="B1265" s="24">
        <v>7670.3</v>
      </c>
      <c r="C1265" s="24">
        <v>7787.2</v>
      </c>
      <c r="D1265" s="24">
        <v>7642.0</v>
      </c>
      <c r="E1265" s="24">
        <v>7770.6</v>
      </c>
      <c r="F1265" s="25">
        <v>3.086422E9</v>
      </c>
      <c r="G1265" s="25">
        <v>2.917789E10</v>
      </c>
      <c r="H1265" s="3">
        <f t="shared" si="1"/>
        <v>257015.2808</v>
      </c>
    </row>
    <row r="1266" ht="15.75" customHeight="1">
      <c r="A1266" s="23">
        <v>45379.0</v>
      </c>
      <c r="B1266" s="24">
        <v>7770.6</v>
      </c>
      <c r="C1266" s="24">
        <v>7901.2</v>
      </c>
      <c r="D1266" s="24">
        <v>7770.6</v>
      </c>
      <c r="E1266" s="24">
        <v>7896.9</v>
      </c>
      <c r="F1266" s="25">
        <v>2.220318E9</v>
      </c>
      <c r="G1266" s="25">
        <v>2.030819E10</v>
      </c>
      <c r="H1266" s="3">
        <f t="shared" si="1"/>
        <v>261192.697</v>
      </c>
    </row>
    <row r="1267" ht="15.75" customHeight="1">
      <c r="A1267" s="23">
        <v>45387.0</v>
      </c>
      <c r="B1267" s="24">
        <v>7896.9</v>
      </c>
      <c r="C1267" s="24">
        <v>7910.5</v>
      </c>
      <c r="D1267" s="24">
        <v>7741.5</v>
      </c>
      <c r="E1267" s="24">
        <v>7773.3</v>
      </c>
      <c r="F1267" s="25">
        <v>2.324015E9</v>
      </c>
      <c r="G1267" s="25">
        <v>2.060445E10</v>
      </c>
      <c r="H1267" s="3">
        <f t="shared" si="1"/>
        <v>257104.5842</v>
      </c>
    </row>
    <row r="1268" ht="15.75" customHeight="1">
      <c r="A1268" s="23">
        <v>45394.0</v>
      </c>
      <c r="B1268" s="24">
        <v>7773.3</v>
      </c>
      <c r="C1268" s="24">
        <v>7869.3</v>
      </c>
      <c r="D1268" s="24">
        <v>7752.1</v>
      </c>
      <c r="E1268" s="24">
        <v>7788.1</v>
      </c>
      <c r="F1268" s="25">
        <v>2.668391E9</v>
      </c>
      <c r="G1268" s="25">
        <v>2.348457E10</v>
      </c>
      <c r="H1268" s="3">
        <f t="shared" si="1"/>
        <v>257594.0994</v>
      </c>
    </row>
    <row r="1269" ht="15.75" customHeight="1">
      <c r="A1269" s="23">
        <v>45401.0</v>
      </c>
      <c r="B1269" s="24">
        <v>7788.1</v>
      </c>
      <c r="C1269" s="24">
        <v>7788.9</v>
      </c>
      <c r="D1269" s="24">
        <v>7492.6</v>
      </c>
      <c r="E1269" s="24">
        <v>7567.3</v>
      </c>
      <c r="F1269" s="25">
        <v>3.280276E9</v>
      </c>
      <c r="G1269" s="25">
        <v>2.978139E10</v>
      </c>
      <c r="H1269" s="3">
        <f t="shared" si="1"/>
        <v>250291.063</v>
      </c>
    </row>
    <row r="1270" ht="15.75" customHeight="1">
      <c r="A1270" s="23">
        <v>45408.0</v>
      </c>
      <c r="B1270" s="24">
        <v>7567.3</v>
      </c>
      <c r="C1270" s="24">
        <v>7724.0</v>
      </c>
      <c r="D1270" s="24">
        <v>7567.3</v>
      </c>
      <c r="E1270" s="24">
        <v>7575.9</v>
      </c>
      <c r="F1270" s="25">
        <v>2.143823E9</v>
      </c>
      <c r="G1270" s="25">
        <v>1.997627E10</v>
      </c>
      <c r="H1270" s="3">
        <f t="shared" si="1"/>
        <v>250575.511</v>
      </c>
    </row>
    <row r="1271" ht="15.75" customHeight="1">
      <c r="A1271" s="23">
        <v>45415.0</v>
      </c>
      <c r="B1271" s="24">
        <v>7575.9</v>
      </c>
      <c r="C1271" s="24">
        <v>7664.1</v>
      </c>
      <c r="D1271" s="24">
        <v>7556.5</v>
      </c>
      <c r="E1271" s="24">
        <v>7629.0</v>
      </c>
      <c r="F1271" s="25">
        <v>3.098678E9</v>
      </c>
      <c r="G1271" s="25">
        <v>2.75287E10</v>
      </c>
      <c r="H1271" s="3">
        <f t="shared" si="1"/>
        <v>252331.8119</v>
      </c>
    </row>
    <row r="1272" ht="15.75" customHeight="1">
      <c r="A1272" s="23">
        <v>45422.0</v>
      </c>
      <c r="B1272" s="24">
        <v>7629.0</v>
      </c>
      <c r="C1272" s="24">
        <v>7814.9</v>
      </c>
      <c r="D1272" s="24">
        <v>7629.0</v>
      </c>
      <c r="E1272" s="24">
        <v>7749.0</v>
      </c>
      <c r="F1272" s="25">
        <v>2.597032E9</v>
      </c>
      <c r="G1272" s="25">
        <v>2.591918E10</v>
      </c>
      <c r="H1272" s="3">
        <f t="shared" si="1"/>
        <v>256300.8533</v>
      </c>
    </row>
    <row r="1273" ht="15.75" customHeight="1">
      <c r="A1273" s="23">
        <v>45429.0</v>
      </c>
      <c r="B1273" s="24">
        <v>7749.0</v>
      </c>
      <c r="C1273" s="24">
        <v>7900.2</v>
      </c>
      <c r="D1273" s="24">
        <v>7714.6</v>
      </c>
      <c r="E1273" s="24">
        <v>7814.4</v>
      </c>
      <c r="F1273" s="25">
        <v>2.502793E9</v>
      </c>
      <c r="G1273" s="25">
        <v>2.537576E10</v>
      </c>
      <c r="H1273" s="3">
        <f t="shared" si="1"/>
        <v>258463.9809</v>
      </c>
    </row>
    <row r="1274" ht="15.75" customHeight="1">
      <c r="A1274" s="23">
        <v>45436.0</v>
      </c>
      <c r="B1274" s="24">
        <v>7814.4</v>
      </c>
      <c r="C1274" s="24">
        <v>7879.6</v>
      </c>
      <c r="D1274" s="24">
        <v>7716.9</v>
      </c>
      <c r="E1274" s="24">
        <v>7727.6</v>
      </c>
      <c r="F1274" s="25">
        <v>3.062356E9</v>
      </c>
      <c r="G1274" s="25">
        <v>2.621109E10</v>
      </c>
      <c r="H1274" s="3">
        <f t="shared" si="1"/>
        <v>255593.0409</v>
      </c>
    </row>
    <row r="1275" ht="15.75" customHeight="1">
      <c r="A1275" s="23">
        <v>45443.0</v>
      </c>
      <c r="B1275" s="24">
        <v>7734.3</v>
      </c>
      <c r="C1275" s="24">
        <v>7801.4</v>
      </c>
      <c r="D1275" s="24">
        <v>7601.5</v>
      </c>
      <c r="E1275" s="24">
        <v>7701.7</v>
      </c>
      <c r="F1275" s="25">
        <v>3.612681E9</v>
      </c>
      <c r="G1275" s="25">
        <v>3.322871E10</v>
      </c>
      <c r="H1275" s="3">
        <f t="shared" si="1"/>
        <v>254736.3895</v>
      </c>
    </row>
    <row r="1276" ht="15.75" customHeight="1">
      <c r="A1276" s="23">
        <v>45450.0</v>
      </c>
      <c r="B1276" s="24">
        <v>7701.7</v>
      </c>
      <c r="C1276" s="24">
        <v>7861.8</v>
      </c>
      <c r="D1276" s="24">
        <v>7701.7</v>
      </c>
      <c r="E1276" s="24">
        <v>7860.0</v>
      </c>
      <c r="F1276" s="25">
        <v>2.546461E9</v>
      </c>
      <c r="G1276" s="25">
        <v>2.524447E10</v>
      </c>
      <c r="H1276" s="3">
        <f t="shared" si="1"/>
        <v>259972.2167</v>
      </c>
    </row>
    <row r="1277" ht="15.75" customHeight="1">
      <c r="A1277" s="23">
        <v>45457.0</v>
      </c>
      <c r="B1277" s="24">
        <v>7860.0</v>
      </c>
      <c r="C1277" s="24">
        <v>7860.0</v>
      </c>
      <c r="D1277" s="24">
        <v>7699.2</v>
      </c>
      <c r="E1277" s="24">
        <v>7724.3</v>
      </c>
      <c r="F1277" s="25">
        <v>2.45079E9</v>
      </c>
      <c r="G1277" s="25">
        <v>2.131635E10</v>
      </c>
      <c r="H1277" s="3">
        <f t="shared" si="1"/>
        <v>255483.8923</v>
      </c>
    </row>
    <row r="1278" ht="15.75" customHeight="1">
      <c r="A1278" s="23">
        <v>45464.0</v>
      </c>
      <c r="B1278" s="24">
        <v>7724.3</v>
      </c>
      <c r="C1278" s="24">
        <v>7796.9</v>
      </c>
      <c r="D1278" s="24">
        <v>7698.2</v>
      </c>
      <c r="E1278" s="24">
        <v>7796.0</v>
      </c>
      <c r="F1278" s="25">
        <v>4.386069E9</v>
      </c>
      <c r="G1278" s="25">
        <v>3.785363E10</v>
      </c>
      <c r="H1278" s="3">
        <f t="shared" si="1"/>
        <v>257855.3946</v>
      </c>
    </row>
    <row r="1279" ht="15.75" customHeight="1">
      <c r="A1279" s="23">
        <v>45471.0</v>
      </c>
      <c r="B1279" s="24">
        <v>7796.0</v>
      </c>
      <c r="C1279" s="24">
        <v>7838.8</v>
      </c>
      <c r="D1279" s="24">
        <v>7654.2</v>
      </c>
      <c r="E1279" s="24">
        <v>7767.5</v>
      </c>
      <c r="F1279" s="25">
        <v>3.368589E9</v>
      </c>
      <c r="G1279" s="25">
        <v>2.777377E10</v>
      </c>
      <c r="H1279" s="3">
        <f t="shared" si="1"/>
        <v>256912.7472</v>
      </c>
    </row>
    <row r="1280" ht="15.75" customHeight="1">
      <c r="A1280" s="23">
        <v>45478.0</v>
      </c>
      <c r="B1280" s="24">
        <v>7767.5</v>
      </c>
      <c r="C1280" s="24">
        <v>7835.7</v>
      </c>
      <c r="D1280" s="24">
        <v>7702.5</v>
      </c>
      <c r="E1280" s="24">
        <v>7822.3</v>
      </c>
      <c r="F1280" s="25">
        <v>2.509361E9</v>
      </c>
      <c r="G1280" s="25">
        <v>2.119302E10</v>
      </c>
      <c r="H1280" s="3">
        <f t="shared" si="1"/>
        <v>258725.2762</v>
      </c>
    </row>
    <row r="1281" ht="15.75" customHeight="1">
      <c r="A1281" s="23">
        <v>45485.0</v>
      </c>
      <c r="B1281" s="24">
        <v>7822.3</v>
      </c>
      <c r="C1281" s="24">
        <v>7969.1</v>
      </c>
      <c r="D1281" s="24">
        <v>7759.5</v>
      </c>
      <c r="E1281" s="24">
        <v>7959.3</v>
      </c>
      <c r="F1281" s="25">
        <v>2.561558E9</v>
      </c>
      <c r="G1281" s="25">
        <v>2.22176E10</v>
      </c>
      <c r="H1281" s="3">
        <f t="shared" si="1"/>
        <v>263256.5985</v>
      </c>
    </row>
    <row r="1282" ht="15.75" customHeight="1">
      <c r="A1282" s="23">
        <v>45492.0</v>
      </c>
      <c r="B1282" s="24">
        <v>7959.3</v>
      </c>
      <c r="C1282" s="24">
        <v>8083.7</v>
      </c>
      <c r="D1282" s="24">
        <v>7923.6</v>
      </c>
      <c r="E1282" s="24">
        <v>7971.6</v>
      </c>
      <c r="F1282" s="25">
        <v>2.790884E9</v>
      </c>
      <c r="G1282" s="25">
        <v>2.747616E10</v>
      </c>
      <c r="H1282" s="3">
        <f t="shared" si="1"/>
        <v>263663.4253</v>
      </c>
    </row>
    <row r="1283" ht="15.75" customHeight="1">
      <c r="A1283" s="23">
        <v>45499.0</v>
      </c>
      <c r="B1283" s="24">
        <v>7971.6</v>
      </c>
      <c r="C1283" s="24">
        <v>7993.3</v>
      </c>
      <c r="D1283" s="24">
        <v>7861.2</v>
      </c>
      <c r="E1283" s="24">
        <v>7921.3</v>
      </c>
      <c r="F1283" s="25">
        <v>3.086665E9</v>
      </c>
      <c r="G1283" s="25">
        <v>2.517029E10</v>
      </c>
      <c r="H1283" s="3">
        <f t="shared" si="1"/>
        <v>261999.7354</v>
      </c>
    </row>
    <row r="1284" ht="15.75" customHeight="1">
      <c r="A1284" s="23">
        <v>45506.0</v>
      </c>
      <c r="B1284" s="24">
        <v>7921.3</v>
      </c>
      <c r="C1284" s="24">
        <v>8148.7</v>
      </c>
      <c r="D1284" s="24">
        <v>7894.3</v>
      </c>
      <c r="E1284" s="24">
        <v>7943.2</v>
      </c>
      <c r="F1284" s="25">
        <v>3.117006E9</v>
      </c>
      <c r="G1284" s="25">
        <v>2.845955E10</v>
      </c>
      <c r="H1284" s="3">
        <f t="shared" si="1"/>
        <v>262724.0855</v>
      </c>
    </row>
    <row r="1285" ht="15.75" customHeight="1">
      <c r="A1285" s="23">
        <v>45513.0</v>
      </c>
      <c r="B1285" s="24">
        <v>7943.2</v>
      </c>
      <c r="C1285" s="24">
        <v>7943.2</v>
      </c>
      <c r="D1285" s="24">
        <v>7628.1</v>
      </c>
      <c r="E1285" s="24">
        <v>7777.7</v>
      </c>
      <c r="F1285" s="25">
        <v>3.678624E9</v>
      </c>
      <c r="G1285" s="25">
        <v>2.821459E10</v>
      </c>
      <c r="H1285" s="3">
        <f t="shared" si="1"/>
        <v>257250.1158</v>
      </c>
    </row>
    <row r="1286" ht="15.75" customHeight="1">
      <c r="A1286" s="23">
        <v>45520.0</v>
      </c>
      <c r="B1286" s="24">
        <v>7777.7</v>
      </c>
      <c r="C1286" s="24">
        <v>7976.9</v>
      </c>
      <c r="D1286" s="24">
        <v>7777.7</v>
      </c>
      <c r="E1286" s="24">
        <v>7971.1</v>
      </c>
      <c r="F1286" s="25">
        <v>3.16225E9</v>
      </c>
      <c r="G1286" s="25">
        <v>2.797822E10</v>
      </c>
      <c r="H1286" s="3">
        <f t="shared" si="1"/>
        <v>263646.8876</v>
      </c>
    </row>
    <row r="1287" ht="15.75" customHeight="1">
      <c r="A1287" s="23">
        <v>45527.0</v>
      </c>
      <c r="B1287" s="24">
        <v>7971.1</v>
      </c>
      <c r="C1287" s="24">
        <v>8039.7</v>
      </c>
      <c r="D1287" s="24">
        <v>7950.6</v>
      </c>
      <c r="E1287" s="24">
        <v>8023.9</v>
      </c>
      <c r="F1287" s="25">
        <v>3.01979E9</v>
      </c>
      <c r="G1287" s="25">
        <v>2.732921E10</v>
      </c>
      <c r="H1287" s="3">
        <f t="shared" si="1"/>
        <v>265393.2659</v>
      </c>
    </row>
    <row r="1288" ht="15.75" customHeight="1">
      <c r="A1288" s="23">
        <v>45534.0</v>
      </c>
      <c r="B1288" s="24">
        <v>8023.9</v>
      </c>
      <c r="C1288" s="24">
        <v>8107.3</v>
      </c>
      <c r="D1288" s="24">
        <v>8008.9</v>
      </c>
      <c r="E1288" s="24">
        <v>8091.9</v>
      </c>
      <c r="F1288" s="25">
        <v>3.895691E9</v>
      </c>
      <c r="G1288" s="25">
        <v>3.405227E10</v>
      </c>
      <c r="H1288" s="3">
        <f t="shared" si="1"/>
        <v>267642.3894</v>
      </c>
    </row>
    <row r="1289" ht="15.75" customHeight="1">
      <c r="A1289" s="23">
        <v>45541.0</v>
      </c>
      <c r="B1289" s="24">
        <v>8091.8</v>
      </c>
      <c r="C1289" s="24">
        <v>8116.9</v>
      </c>
      <c r="D1289" s="24">
        <v>7928.5</v>
      </c>
      <c r="E1289" s="24">
        <v>8013.4</v>
      </c>
      <c r="F1289" s="25">
        <v>3.416267E9</v>
      </c>
      <c r="G1289" s="25">
        <v>2.821578E10</v>
      </c>
      <c r="H1289" s="3">
        <f t="shared" si="1"/>
        <v>265045.9747</v>
      </c>
    </row>
    <row r="1290" ht="15.75" customHeight="1">
      <c r="A1290" s="23">
        <v>45548.0</v>
      </c>
      <c r="B1290" s="24">
        <v>8013.4</v>
      </c>
      <c r="C1290" s="24">
        <v>8143.6</v>
      </c>
      <c r="D1290" s="24">
        <v>7918.9</v>
      </c>
      <c r="E1290" s="24">
        <v>8099.9</v>
      </c>
      <c r="F1290" s="25">
        <v>3.373126E9</v>
      </c>
      <c r="G1290" s="25">
        <v>2.893435E10</v>
      </c>
      <c r="H1290" s="3">
        <f t="shared" si="1"/>
        <v>267906.9921</v>
      </c>
    </row>
    <row r="1291" ht="15.75" customHeight="1">
      <c r="A1291" s="23">
        <v>45555.0</v>
      </c>
      <c r="B1291" s="24">
        <v>8099.9</v>
      </c>
      <c r="C1291" s="24">
        <v>8246.2</v>
      </c>
      <c r="D1291" s="24">
        <v>8099.9</v>
      </c>
      <c r="E1291" s="24">
        <v>8209.5</v>
      </c>
      <c r="F1291" s="25">
        <v>4.472164E9</v>
      </c>
      <c r="G1291" s="25">
        <v>3.96121E10</v>
      </c>
      <c r="H1291" s="3">
        <f t="shared" si="1"/>
        <v>271532.05</v>
      </c>
    </row>
    <row r="1292" ht="15.75" customHeight="1">
      <c r="A1292" s="23">
        <v>45562.0</v>
      </c>
      <c r="B1292" s="24">
        <v>8209.5</v>
      </c>
      <c r="C1292" s="24">
        <v>8225.5</v>
      </c>
      <c r="D1292" s="24">
        <v>8111.3</v>
      </c>
      <c r="E1292" s="24">
        <v>8212.2</v>
      </c>
      <c r="F1292" s="25">
        <v>3.581673E9</v>
      </c>
      <c r="G1292" s="25">
        <v>3.22257E10</v>
      </c>
      <c r="H1292" s="3">
        <f t="shared" si="1"/>
        <v>271621.3534</v>
      </c>
    </row>
    <row r="1293" ht="15.75" customHeight="1">
      <c r="A1293" s="23">
        <v>45569.0</v>
      </c>
      <c r="B1293" s="24">
        <v>8212.2</v>
      </c>
      <c r="C1293" s="24">
        <v>8285.7</v>
      </c>
      <c r="D1293" s="24">
        <v>8107.6</v>
      </c>
      <c r="E1293" s="24">
        <v>8150.0</v>
      </c>
      <c r="F1293" s="25">
        <v>3.242337E9</v>
      </c>
      <c r="G1293" s="25">
        <v>3.016056E10</v>
      </c>
      <c r="H1293" s="3">
        <f t="shared" si="1"/>
        <v>269564.0669</v>
      </c>
    </row>
    <row r="1294" ht="15.75" customHeight="1">
      <c r="A1294" s="23">
        <v>45576.0</v>
      </c>
      <c r="B1294" s="24">
        <v>8150.0</v>
      </c>
      <c r="C1294" s="24">
        <v>8242.8</v>
      </c>
      <c r="D1294" s="24">
        <v>8147.5</v>
      </c>
      <c r="E1294" s="24">
        <v>8214.5</v>
      </c>
      <c r="F1294" s="25">
        <v>2.59563E9</v>
      </c>
      <c r="G1294" s="25">
        <v>2.331701E10</v>
      </c>
      <c r="H1294" s="3">
        <f t="shared" si="1"/>
        <v>271697.4267</v>
      </c>
    </row>
    <row r="1295" ht="15.75" customHeight="1">
      <c r="A1295" s="23">
        <v>45583.0</v>
      </c>
      <c r="B1295" s="24">
        <v>8214.5</v>
      </c>
      <c r="C1295" s="24">
        <v>8384.5</v>
      </c>
      <c r="D1295" s="24">
        <v>8214.5</v>
      </c>
      <c r="E1295" s="24">
        <v>8283.2</v>
      </c>
      <c r="F1295" s="25">
        <v>3.098488E9</v>
      </c>
      <c r="G1295" s="25">
        <v>2.90825E10</v>
      </c>
      <c r="H1295" s="3">
        <f t="shared" si="1"/>
        <v>273969.703</v>
      </c>
    </row>
    <row r="1296" ht="15.75" customHeight="1">
      <c r="A1296" s="23">
        <v>45590.0</v>
      </c>
      <c r="B1296" s="24">
        <v>8283.8</v>
      </c>
      <c r="C1296" s="24">
        <v>8356.4</v>
      </c>
      <c r="D1296" s="24">
        <v>8183.8</v>
      </c>
      <c r="E1296" s="24">
        <v>8211.3</v>
      </c>
      <c r="F1296" s="25">
        <v>2.763583E9</v>
      </c>
      <c r="G1296" s="25">
        <v>2.556812E10</v>
      </c>
      <c r="H1296" s="3">
        <f t="shared" si="1"/>
        <v>271591.5856</v>
      </c>
    </row>
    <row r="1297" ht="15.75" customHeight="1">
      <c r="A1297" s="23">
        <v>45597.0</v>
      </c>
      <c r="B1297" s="24">
        <v>8211.3</v>
      </c>
      <c r="C1297" s="24">
        <v>8272.1</v>
      </c>
      <c r="D1297" s="24">
        <v>8063.2</v>
      </c>
      <c r="E1297" s="24">
        <v>8118.8</v>
      </c>
      <c r="F1297" s="25">
        <v>2.980036E9</v>
      </c>
      <c r="G1297" s="25">
        <v>2.701211E10</v>
      </c>
      <c r="H1297" s="3">
        <f t="shared" si="1"/>
        <v>268532.1162</v>
      </c>
    </row>
    <row r="1298" ht="15.75" customHeight="1">
      <c r="A1298" s="23">
        <v>45604.0</v>
      </c>
      <c r="B1298" s="24">
        <v>8118.8</v>
      </c>
      <c r="C1298" s="24">
        <v>8319.4</v>
      </c>
      <c r="D1298" s="24">
        <v>8113.4</v>
      </c>
      <c r="E1298" s="24">
        <v>8295.1</v>
      </c>
      <c r="F1298" s="25">
        <v>2.661492E9</v>
      </c>
      <c r="G1298" s="25">
        <v>2.417693E10</v>
      </c>
      <c r="H1298" s="3">
        <f t="shared" si="1"/>
        <v>274363.2996</v>
      </c>
    </row>
    <row r="1299" ht="15.75" customHeight="1">
      <c r="A1299" s="23">
        <v>45611.0</v>
      </c>
      <c r="B1299" s="24">
        <v>8295.1</v>
      </c>
      <c r="C1299" s="24">
        <v>8295.1</v>
      </c>
      <c r="D1299" s="24">
        <v>8139.1</v>
      </c>
      <c r="E1299" s="24">
        <v>8285.2</v>
      </c>
      <c r="F1299" s="25">
        <v>2.754699E9</v>
      </c>
      <c r="G1299" s="25">
        <v>2.723955E10</v>
      </c>
      <c r="H1299" s="3">
        <f t="shared" si="1"/>
        <v>274035.8537</v>
      </c>
    </row>
    <row r="1300" ht="15.75" customHeight="1">
      <c r="A1300" s="23">
        <v>45618.0</v>
      </c>
      <c r="B1300" s="24">
        <v>8285.2</v>
      </c>
      <c r="C1300" s="24">
        <v>8446.4</v>
      </c>
      <c r="D1300" s="24">
        <v>8244.3</v>
      </c>
      <c r="E1300" s="24">
        <v>8393.8</v>
      </c>
      <c r="F1300" s="25">
        <v>2.681145E9</v>
      </c>
      <c r="G1300" s="25">
        <v>2.803487E10</v>
      </c>
      <c r="H1300" s="3">
        <f t="shared" si="1"/>
        <v>277627.8362</v>
      </c>
    </row>
    <row r="1301" ht="15.75" customHeight="1">
      <c r="A1301" s="23">
        <v>45625.0</v>
      </c>
      <c r="B1301" s="24">
        <v>8393.8</v>
      </c>
      <c r="C1301" s="24">
        <v>8477.1</v>
      </c>
      <c r="D1301" s="24">
        <v>8352.8</v>
      </c>
      <c r="E1301" s="24">
        <v>8436.2</v>
      </c>
      <c r="F1301" s="25">
        <v>3.566451E9</v>
      </c>
      <c r="G1301" s="25">
        <v>3.389884E10</v>
      </c>
      <c r="H1301" s="3">
        <f t="shared" si="1"/>
        <v>279030.2309</v>
      </c>
    </row>
    <row r="1302" ht="15.75" customHeight="1">
      <c r="A1302" s="23">
        <v>45632.0</v>
      </c>
      <c r="B1302" s="24">
        <v>8436.2</v>
      </c>
      <c r="C1302" s="24">
        <v>8514.5</v>
      </c>
      <c r="D1302" s="24">
        <v>8419.1</v>
      </c>
      <c r="E1302" s="24">
        <v>8420.9</v>
      </c>
      <c r="F1302" s="25">
        <v>2.900121E9</v>
      </c>
      <c r="G1302" s="25">
        <v>2.645199E10</v>
      </c>
      <c r="H1302" s="3">
        <f t="shared" si="1"/>
        <v>278524.1781</v>
      </c>
    </row>
    <row r="1303" ht="15.75" customHeight="1">
      <c r="A1303" s="23">
        <v>45639.0</v>
      </c>
      <c r="B1303" s="24">
        <v>8420.9</v>
      </c>
      <c r="C1303" s="24">
        <v>8447.7</v>
      </c>
      <c r="D1303" s="24">
        <v>8263.5</v>
      </c>
      <c r="E1303" s="24">
        <v>8296.0</v>
      </c>
      <c r="F1303" s="25">
        <v>3.023133E9</v>
      </c>
      <c r="G1303" s="25">
        <v>2.617687E10</v>
      </c>
      <c r="H1303" s="3">
        <f t="shared" si="1"/>
        <v>274393.0674</v>
      </c>
    </row>
    <row r="1304" ht="15.75" customHeight="1">
      <c r="A1304" s="23">
        <v>45646.0</v>
      </c>
      <c r="B1304" s="24">
        <v>8296.0</v>
      </c>
      <c r="C1304" s="24">
        <v>8342.9</v>
      </c>
      <c r="D1304" s="24">
        <v>8051.2</v>
      </c>
      <c r="E1304" s="24">
        <v>8067.0</v>
      </c>
      <c r="F1304" s="25">
        <v>3.807308E9</v>
      </c>
      <c r="G1304" s="25">
        <v>3.660154E10</v>
      </c>
      <c r="H1304" s="3">
        <f t="shared" si="1"/>
        <v>266818.8133</v>
      </c>
    </row>
    <row r="1305" ht="15.75" customHeight="1">
      <c r="A1305" s="23">
        <v>45653.0</v>
      </c>
      <c r="B1305" s="24">
        <v>8067.0</v>
      </c>
      <c r="C1305" s="24">
        <v>8281.4</v>
      </c>
      <c r="D1305" s="24">
        <v>8067.0</v>
      </c>
      <c r="E1305" s="24">
        <v>8261.8</v>
      </c>
      <c r="F1305" s="25">
        <v>8.300943E8</v>
      </c>
      <c r="G1305" s="25">
        <v>7.368209E9</v>
      </c>
      <c r="H1305" s="3">
        <f t="shared" si="1"/>
        <v>273261.8906</v>
      </c>
    </row>
    <row r="1306" ht="15.75" customHeight="1">
      <c r="A1306" s="23">
        <v>45660.0</v>
      </c>
      <c r="B1306" s="24">
        <v>8261.8</v>
      </c>
      <c r="C1306" s="24">
        <v>8263.9</v>
      </c>
      <c r="D1306" s="24">
        <v>8146.6</v>
      </c>
      <c r="E1306" s="24">
        <v>8250.5</v>
      </c>
      <c r="F1306" s="25">
        <v>1.217952E9</v>
      </c>
      <c r="G1306" s="25">
        <v>1.013702E10</v>
      </c>
      <c r="H1306" s="3">
        <f t="shared" si="1"/>
        <v>272888.1392</v>
      </c>
    </row>
    <row r="1307" ht="15.75" customHeight="1">
      <c r="A1307" s="23">
        <v>45667.0</v>
      </c>
      <c r="B1307" s="24">
        <v>8250.5</v>
      </c>
      <c r="C1307" s="24">
        <v>8370.7</v>
      </c>
      <c r="D1307" s="24">
        <v>8242.4</v>
      </c>
      <c r="E1307" s="24">
        <v>8294.1</v>
      </c>
      <c r="F1307" s="25">
        <v>2.453222E9</v>
      </c>
      <c r="G1307" s="25">
        <v>1.942011E10</v>
      </c>
      <c r="H1307" s="3">
        <f t="shared" si="1"/>
        <v>274330.2243</v>
      </c>
    </row>
    <row r="1308" ht="15.75" customHeight="1">
      <c r="A1308" s="23">
        <v>45674.0</v>
      </c>
      <c r="B1308" s="24">
        <v>8294.1</v>
      </c>
      <c r="C1308" s="24">
        <v>8346.8</v>
      </c>
      <c r="D1308" s="24">
        <v>8160.7</v>
      </c>
      <c r="E1308" s="24">
        <v>8310.4</v>
      </c>
      <c r="F1308" s="25">
        <v>2.603642E9</v>
      </c>
      <c r="G1308" s="25">
        <v>2.274801E10</v>
      </c>
      <c r="H1308" s="3">
        <f t="shared" si="1"/>
        <v>274869.3524</v>
      </c>
    </row>
    <row r="1309" ht="15.75" customHeight="1">
      <c r="A1309" s="23">
        <v>45681.0</v>
      </c>
      <c r="B1309" s="24">
        <v>8310.4</v>
      </c>
      <c r="C1309" s="24">
        <v>8455.6</v>
      </c>
      <c r="D1309" s="24">
        <v>8310.4</v>
      </c>
      <c r="E1309" s="24">
        <v>8408.9</v>
      </c>
      <c r="F1309" s="25">
        <v>2.509727E9</v>
      </c>
      <c r="G1309" s="25">
        <v>2.087671E10</v>
      </c>
      <c r="H1309" s="3">
        <f t="shared" si="1"/>
        <v>278127.2739</v>
      </c>
    </row>
    <row r="1310" ht="15.75" customHeight="1">
      <c r="A1310" s="23">
        <v>45688.0</v>
      </c>
      <c r="B1310" s="24">
        <v>8408.9</v>
      </c>
      <c r="C1310" s="24">
        <v>8566.9</v>
      </c>
      <c r="D1310" s="24">
        <v>8386.5</v>
      </c>
      <c r="E1310" s="24">
        <v>8532.3</v>
      </c>
      <c r="F1310" s="25">
        <v>2.536158E9</v>
      </c>
      <c r="G1310" s="25">
        <v>2.105214E10</v>
      </c>
      <c r="H1310" s="3">
        <f t="shared" si="1"/>
        <v>282208.7716</v>
      </c>
    </row>
    <row r="1311" ht="15.75" customHeight="1">
      <c r="A1311" s="23">
        <v>45695.0</v>
      </c>
      <c r="B1311" s="24">
        <v>8532.3</v>
      </c>
      <c r="C1311" s="24">
        <v>8532.6</v>
      </c>
      <c r="D1311" s="24">
        <v>8353.9</v>
      </c>
      <c r="E1311" s="24">
        <v>8511.4</v>
      </c>
      <c r="F1311" s="25">
        <v>2.882899E9</v>
      </c>
      <c r="G1311" s="25">
        <v>2.533542E10</v>
      </c>
      <c r="H1311" s="3">
        <f t="shared" si="1"/>
        <v>281517.4969</v>
      </c>
    </row>
    <row r="1312" ht="15.75" customHeight="1">
      <c r="A1312" s="23">
        <v>45702.0</v>
      </c>
      <c r="B1312" s="24">
        <v>8511.4</v>
      </c>
      <c r="C1312" s="24">
        <v>8615.2</v>
      </c>
      <c r="D1312" s="24">
        <v>8445.3</v>
      </c>
      <c r="E1312" s="24">
        <v>8555.8</v>
      </c>
      <c r="F1312" s="25">
        <v>3.358219E9</v>
      </c>
      <c r="G1312" s="25">
        <v>2.890284E10</v>
      </c>
      <c r="H1312" s="3">
        <f t="shared" si="1"/>
        <v>282986.0422</v>
      </c>
    </row>
    <row r="1313" ht="15.75" customHeight="1">
      <c r="A1313" s="23">
        <v>45709.0</v>
      </c>
      <c r="B1313" s="24">
        <v>8555.8</v>
      </c>
      <c r="C1313" s="24">
        <v>8555.8</v>
      </c>
      <c r="D1313" s="24">
        <v>8287.8</v>
      </c>
      <c r="E1313" s="24">
        <v>8296.2</v>
      </c>
      <c r="F1313" s="25">
        <v>3.639494E9</v>
      </c>
      <c r="G1313" s="25">
        <v>3.698738E10</v>
      </c>
      <c r="H1313" s="3">
        <f t="shared" si="1"/>
        <v>274399.6825</v>
      </c>
    </row>
    <row r="1314" ht="15.75" customHeight="1">
      <c r="A1314" s="23">
        <v>45716.0</v>
      </c>
      <c r="B1314" s="24">
        <v>8296.2</v>
      </c>
      <c r="C1314" s="24">
        <v>8310.0</v>
      </c>
      <c r="D1314" s="24">
        <v>8155.5</v>
      </c>
      <c r="E1314" s="24">
        <v>8172.4</v>
      </c>
      <c r="F1314" s="25">
        <v>4.867165E9</v>
      </c>
      <c r="G1314" s="25">
        <v>4.49555E10</v>
      </c>
      <c r="H1314" s="3">
        <f t="shared" si="1"/>
        <v>270304.9547</v>
      </c>
    </row>
    <row r="1315" ht="15.75" customHeight="1">
      <c r="A1315" s="23">
        <v>45723.0</v>
      </c>
      <c r="B1315" s="24">
        <v>8172.4</v>
      </c>
      <c r="C1315" s="24">
        <v>8251.9</v>
      </c>
      <c r="D1315" s="24">
        <v>7946.4</v>
      </c>
      <c r="E1315" s="24">
        <v>7948.2</v>
      </c>
      <c r="F1315" s="25">
        <v>3.555088E9</v>
      </c>
      <c r="G1315" s="25">
        <v>3.254184E10</v>
      </c>
      <c r="H1315" s="3">
        <f t="shared" si="1"/>
        <v>262889.4622</v>
      </c>
    </row>
    <row r="1316" ht="15.75" customHeight="1">
      <c r="A1316" s="23">
        <v>45730.0</v>
      </c>
      <c r="B1316" s="24">
        <v>7948.2</v>
      </c>
      <c r="C1316" s="24">
        <v>7978.6</v>
      </c>
      <c r="D1316" s="24">
        <v>7733.5</v>
      </c>
      <c r="E1316" s="24">
        <v>7789.7</v>
      </c>
      <c r="F1316" s="25">
        <v>4.189201E9</v>
      </c>
      <c r="G1316" s="25">
        <v>3.338635E10</v>
      </c>
      <c r="H1316" s="3">
        <f t="shared" si="1"/>
        <v>257647.0199</v>
      </c>
    </row>
    <row r="1317" ht="15.75" customHeight="1">
      <c r="A1317" s="23">
        <v>45737.0</v>
      </c>
      <c r="B1317" s="24">
        <v>7792.3</v>
      </c>
      <c r="C1317" s="24">
        <v>7962.6</v>
      </c>
      <c r="D1317" s="24">
        <v>7792.3</v>
      </c>
      <c r="E1317" s="24">
        <v>7931.2</v>
      </c>
      <c r="F1317" s="25">
        <v>5.35326E9</v>
      </c>
      <c r="G1317" s="25">
        <v>4.39153E10</v>
      </c>
      <c r="H1317" s="3">
        <f t="shared" si="1"/>
        <v>262327.1813</v>
      </c>
    </row>
    <row r="1318" ht="15.75" customHeight="1">
      <c r="A1318" s="23">
        <v>45744.0</v>
      </c>
      <c r="B1318" s="24">
        <v>7931.2</v>
      </c>
      <c r="C1318" s="24">
        <v>8014.9</v>
      </c>
      <c r="D1318" s="24">
        <v>7899.5</v>
      </c>
      <c r="E1318" s="24">
        <v>7982.0</v>
      </c>
      <c r="F1318" s="25">
        <v>3.311388E9</v>
      </c>
      <c r="G1318" s="25">
        <v>2.877447E10</v>
      </c>
      <c r="H1318" s="3">
        <f t="shared" si="1"/>
        <v>264007.4089</v>
      </c>
    </row>
    <row r="1319" ht="15.75" customHeight="1">
      <c r="A1319" s="23">
        <v>45751.0</v>
      </c>
      <c r="B1319" s="24">
        <v>7982.0</v>
      </c>
      <c r="C1319" s="24">
        <v>7982.0</v>
      </c>
      <c r="D1319" s="24">
        <v>7664.2</v>
      </c>
      <c r="E1319" s="24">
        <v>7667.8</v>
      </c>
      <c r="F1319" s="25">
        <v>3.858693E9</v>
      </c>
      <c r="G1319" s="25">
        <v>3.37454E10</v>
      </c>
      <c r="H1319" s="3">
        <f t="shared" si="1"/>
        <v>253615.1353</v>
      </c>
    </row>
    <row r="1320" ht="15.75" customHeight="1">
      <c r="A1320" s="23">
        <v>45758.0</v>
      </c>
      <c r="B1320" s="24">
        <v>7667.8</v>
      </c>
      <c r="C1320" s="24">
        <v>7842.9</v>
      </c>
      <c r="D1320" s="24">
        <v>7169.2</v>
      </c>
      <c r="E1320" s="24">
        <v>7646.5</v>
      </c>
      <c r="F1320" s="25">
        <v>5.308969E9</v>
      </c>
      <c r="G1320" s="25">
        <v>4.531731E10</v>
      </c>
      <c r="H1320" s="3">
        <f t="shared" si="1"/>
        <v>252910.6304</v>
      </c>
    </row>
    <row r="1321" ht="15.75" customHeight="1">
      <c r="A1321" s="23">
        <v>45764.0</v>
      </c>
      <c r="B1321" s="24">
        <v>7646.5</v>
      </c>
      <c r="C1321" s="24">
        <v>7819.1</v>
      </c>
      <c r="D1321" s="24">
        <v>7646.5</v>
      </c>
      <c r="E1321" s="24">
        <v>7819.1</v>
      </c>
      <c r="F1321" s="25">
        <v>2.747771E9</v>
      </c>
      <c r="G1321" s="25">
        <v>2.215808E10</v>
      </c>
      <c r="H1321" s="3">
        <f t="shared" si="1"/>
        <v>258619.4351</v>
      </c>
    </row>
    <row r="1322" ht="15.75" customHeight="1">
      <c r="A1322" s="23">
        <v>45771.0</v>
      </c>
      <c r="B1322" s="24">
        <v>7819.1</v>
      </c>
      <c r="C1322" s="24">
        <v>7983.8</v>
      </c>
      <c r="D1322" s="24">
        <v>7745.1</v>
      </c>
      <c r="E1322" s="24">
        <v>7968.2</v>
      </c>
      <c r="F1322" s="25">
        <v>2.301147E9</v>
      </c>
      <c r="G1322" s="25">
        <v>2.010632E10</v>
      </c>
      <c r="H1322" s="3">
        <f t="shared" si="1"/>
        <v>263550.9691</v>
      </c>
    </row>
    <row r="1323" ht="15.75" customHeight="1">
      <c r="A1323" s="23">
        <v>45779.0</v>
      </c>
      <c r="B1323" s="24">
        <v>7968.2</v>
      </c>
      <c r="C1323" s="24">
        <v>8239.6</v>
      </c>
      <c r="D1323" s="24">
        <v>7968.2</v>
      </c>
      <c r="E1323" s="24">
        <v>8238.0</v>
      </c>
      <c r="F1323" s="25">
        <v>3.818158E9</v>
      </c>
      <c r="G1323" s="25">
        <v>3.409032E10</v>
      </c>
      <c r="H1323" s="3">
        <f t="shared" si="1"/>
        <v>272474.6974</v>
      </c>
    </row>
    <row r="1324" ht="15.75" customHeight="1">
      <c r="A1324" s="23">
        <v>45786.0</v>
      </c>
      <c r="B1324" s="24">
        <v>8238.0</v>
      </c>
      <c r="C1324" s="24">
        <v>8242.9</v>
      </c>
      <c r="D1324" s="24">
        <v>8138.4</v>
      </c>
      <c r="E1324" s="24">
        <v>8231.2</v>
      </c>
      <c r="F1324" s="25">
        <v>3.698362E9</v>
      </c>
      <c r="G1324" s="25">
        <v>3.240755E10</v>
      </c>
      <c r="H1324" s="3">
        <f t="shared" si="1"/>
        <v>272249.785</v>
      </c>
    </row>
    <row r="1325" ht="15.75" customHeight="1">
      <c r="A1325" s="23">
        <v>45793.0</v>
      </c>
      <c r="B1325" s="24">
        <v>8231.2</v>
      </c>
      <c r="C1325" s="24">
        <v>8398.2</v>
      </c>
      <c r="D1325" s="24">
        <v>8231.2</v>
      </c>
      <c r="E1325" s="24">
        <v>8343.7</v>
      </c>
      <c r="F1325" s="25">
        <v>3.834424E9</v>
      </c>
      <c r="G1325" s="25">
        <v>3.456796E10</v>
      </c>
      <c r="H1325" s="3">
        <f t="shared" si="1"/>
        <v>275970.7614</v>
      </c>
    </row>
    <row r="1326" ht="15.75" customHeight="1">
      <c r="A1326" s="23">
        <v>45800.0</v>
      </c>
      <c r="B1326" s="24">
        <v>8343.7</v>
      </c>
      <c r="C1326" s="24">
        <v>8422.9</v>
      </c>
      <c r="D1326" s="24">
        <v>8284.0</v>
      </c>
      <c r="E1326" s="24">
        <v>8360.9</v>
      </c>
      <c r="F1326" s="25">
        <v>3.094745E9</v>
      </c>
      <c r="G1326" s="25">
        <v>2.811751E10</v>
      </c>
      <c r="H1326" s="3">
        <f t="shared" si="1"/>
        <v>276539.6573</v>
      </c>
    </row>
    <row r="1327" ht="15.75" customHeight="1">
      <c r="A1327" s="23">
        <v>45807.0</v>
      </c>
      <c r="B1327" s="24">
        <v>8360.7</v>
      </c>
      <c r="C1327" s="24">
        <v>8453.0</v>
      </c>
      <c r="D1327" s="24">
        <v>8345.5</v>
      </c>
      <c r="E1327" s="24">
        <v>8434.7</v>
      </c>
      <c r="F1327" s="25">
        <v>4.56123E9</v>
      </c>
      <c r="G1327" s="25">
        <v>3.934758E10</v>
      </c>
      <c r="H1327" s="3">
        <f t="shared" si="1"/>
        <v>278980.6178</v>
      </c>
    </row>
    <row r="1328" ht="15.75" customHeight="1">
      <c r="A1328" s="23">
        <v>45814.0</v>
      </c>
      <c r="B1328" s="24">
        <v>8434.7</v>
      </c>
      <c r="C1328" s="24">
        <v>8567.3</v>
      </c>
      <c r="D1328" s="24">
        <v>8401.1</v>
      </c>
      <c r="E1328" s="24">
        <v>8515.7</v>
      </c>
      <c r="F1328" s="25">
        <v>3.325413E9</v>
      </c>
      <c r="G1328" s="25">
        <v>2.930057E10</v>
      </c>
      <c r="H1328" s="3">
        <f t="shared" si="1"/>
        <v>281659.7208</v>
      </c>
    </row>
    <row r="1329" ht="15.75" customHeight="1">
      <c r="A1329" s="23">
        <v>45821.0</v>
      </c>
      <c r="B1329" s="24">
        <v>8515.7</v>
      </c>
      <c r="C1329" s="24">
        <v>8639.1</v>
      </c>
      <c r="D1329" s="24">
        <v>8515.7</v>
      </c>
      <c r="E1329" s="24">
        <v>8547.4</v>
      </c>
      <c r="F1329" s="25">
        <v>3.212078E9</v>
      </c>
      <c r="G1329" s="25">
        <v>2.676225E10</v>
      </c>
      <c r="H1329" s="3">
        <f t="shared" si="1"/>
        <v>282708.2093</v>
      </c>
    </row>
    <row r="1330" ht="15.75" customHeight="1">
      <c r="A1330" s="23">
        <v>45828.0</v>
      </c>
      <c r="B1330" s="24">
        <v>8547.4</v>
      </c>
      <c r="C1330" s="24">
        <v>8579.1</v>
      </c>
      <c r="D1330" s="24">
        <v>8462.7</v>
      </c>
      <c r="E1330" s="24">
        <v>8505.5</v>
      </c>
      <c r="F1330" s="25">
        <v>4.790109E9</v>
      </c>
      <c r="G1330" s="25">
        <v>4.331337E10</v>
      </c>
      <c r="H1330" s="3">
        <f t="shared" si="1"/>
        <v>281322.3523</v>
      </c>
    </row>
    <row r="1331" ht="15.75" customHeight="1">
      <c r="A1331" s="23">
        <v>45835.0</v>
      </c>
      <c r="B1331" s="24">
        <v>8505.5</v>
      </c>
      <c r="C1331" s="24">
        <v>8605.7</v>
      </c>
      <c r="D1331" s="24">
        <v>8421.1</v>
      </c>
      <c r="E1331" s="24">
        <v>8514.2</v>
      </c>
      <c r="F1331" s="25">
        <v>3.474676E9</v>
      </c>
      <c r="G1331" s="25">
        <v>3.171618E10</v>
      </c>
      <c r="H1331" s="3">
        <f t="shared" si="1"/>
        <v>281610.1078</v>
      </c>
    </row>
    <row r="1332" ht="15.75" customHeight="1">
      <c r="A1332" s="23">
        <v>45842.0</v>
      </c>
      <c r="B1332" s="24">
        <v>8514.2</v>
      </c>
      <c r="C1332" s="24">
        <v>8623.6</v>
      </c>
      <c r="D1332" s="24">
        <v>8514.2</v>
      </c>
      <c r="E1332" s="24">
        <v>8603.0</v>
      </c>
      <c r="F1332" s="25">
        <v>3.486018E9</v>
      </c>
      <c r="G1332" s="25">
        <v>3.494289E10</v>
      </c>
      <c r="H1332" s="3">
        <f t="shared" si="1"/>
        <v>284547.1985</v>
      </c>
    </row>
    <row r="1333" ht="15.75" customHeight="1">
      <c r="A1333" s="23">
        <v>45849.0</v>
      </c>
      <c r="B1333" s="24">
        <v>8603.0</v>
      </c>
      <c r="C1333" s="24">
        <v>8619.8</v>
      </c>
      <c r="D1333" s="24">
        <v>8531.4</v>
      </c>
      <c r="E1333" s="24">
        <v>8580.1</v>
      </c>
      <c r="F1333" s="25">
        <v>2.870128E9</v>
      </c>
      <c r="G1333" s="25">
        <v>2.534307E10</v>
      </c>
      <c r="H1333" s="3">
        <f t="shared" si="1"/>
        <v>283789.7731</v>
      </c>
    </row>
    <row r="1334" ht="15.75" customHeight="1">
      <c r="A1334" s="23">
        <v>45856.0</v>
      </c>
      <c r="B1334" s="24">
        <v>8580.1</v>
      </c>
      <c r="C1334" s="24">
        <v>8776.4</v>
      </c>
      <c r="D1334" s="24">
        <v>8544.7</v>
      </c>
      <c r="E1334" s="24">
        <v>8757.2</v>
      </c>
      <c r="F1334" s="25">
        <v>3.07004E9</v>
      </c>
      <c r="G1334" s="25">
        <v>2.875867E10</v>
      </c>
      <c r="H1334" s="3">
        <f t="shared" si="1"/>
        <v>289647.4168</v>
      </c>
    </row>
    <row r="1335" ht="15.75" customHeight="1">
      <c r="A1335" s="23">
        <v>45863.0</v>
      </c>
      <c r="B1335" s="24">
        <v>8757.2</v>
      </c>
      <c r="C1335" s="24">
        <v>8759.9</v>
      </c>
      <c r="D1335" s="24">
        <v>8648.4</v>
      </c>
      <c r="E1335" s="24">
        <v>8666.9</v>
      </c>
      <c r="F1335" s="25">
        <v>3.399394E9</v>
      </c>
      <c r="G1335" s="25">
        <v>3.064042E10</v>
      </c>
      <c r="H1335" s="3">
        <f t="shared" si="1"/>
        <v>286660.7131</v>
      </c>
    </row>
    <row r="1336" ht="15.75" customHeight="1">
      <c r="A1336" s="23">
        <v>45870.0</v>
      </c>
      <c r="B1336" s="24">
        <v>8666.9</v>
      </c>
      <c r="C1336" s="24">
        <v>8773.0</v>
      </c>
      <c r="D1336" s="24">
        <v>8643.5</v>
      </c>
      <c r="E1336" s="24">
        <v>8662.0</v>
      </c>
      <c r="F1336" s="25">
        <v>3.322301E9</v>
      </c>
      <c r="G1336" s="25">
        <v>2.802446E10</v>
      </c>
      <c r="H1336" s="3">
        <f t="shared" si="1"/>
        <v>286498.6439</v>
      </c>
    </row>
    <row r="1337" ht="15.75" customHeight="1">
      <c r="A1337" s="15">
        <v>45873.0</v>
      </c>
      <c r="B1337" s="24">
        <v>8662.0</v>
      </c>
      <c r="C1337" s="24">
        <v>8666.7</v>
      </c>
      <c r="D1337" s="24">
        <v>8630.9</v>
      </c>
      <c r="E1337" s="24">
        <v>8663.7</v>
      </c>
      <c r="F1337" s="25">
        <v>5.018201E8</v>
      </c>
      <c r="G1337" s="25">
        <v>4.321034E9</v>
      </c>
      <c r="H1337" s="3">
        <f t="shared" si="1"/>
        <v>286554.872</v>
      </c>
    </row>
    <row r="1338" ht="15.75" customHeight="1">
      <c r="A1338" s="23">
        <v>45877.0</v>
      </c>
      <c r="B1338" s="24">
        <v>8662.0</v>
      </c>
      <c r="C1338" s="24">
        <v>8848.8</v>
      </c>
      <c r="D1338" s="24">
        <v>8630.9</v>
      </c>
      <c r="E1338" s="24">
        <v>8807.1</v>
      </c>
      <c r="F1338" s="25">
        <v>2.972657E9</v>
      </c>
      <c r="G1338" s="25">
        <v>2.726215E10</v>
      </c>
      <c r="H1338" s="3">
        <f t="shared" si="1"/>
        <v>291297.8766</v>
      </c>
    </row>
    <row r="1339" ht="15.75" customHeight="1">
      <c r="A1339" s="23">
        <v>45880.0</v>
      </c>
      <c r="B1339" s="24">
        <v>8807.1</v>
      </c>
      <c r="C1339" s="24">
        <v>8852.3</v>
      </c>
      <c r="D1339" s="24">
        <v>8807.1</v>
      </c>
      <c r="E1339" s="24">
        <v>8844.8</v>
      </c>
      <c r="F1339" s="25">
        <v>6.568492E8</v>
      </c>
      <c r="G1339" s="25">
        <v>5.90233E9</v>
      </c>
      <c r="H1339" s="3">
        <f t="shared" si="1"/>
        <v>292544.8171</v>
      </c>
    </row>
    <row r="1340" ht="15.75" customHeight="1">
      <c r="A1340" s="23">
        <v>45884.0</v>
      </c>
      <c r="B1340" s="24">
        <v>8807.1</v>
      </c>
      <c r="C1340" s="24">
        <v>8938.6</v>
      </c>
      <c r="D1340" s="24">
        <v>8807.1</v>
      </c>
      <c r="E1340" s="24">
        <v>8938.6</v>
      </c>
      <c r="F1340" s="25">
        <v>3.31227E9</v>
      </c>
      <c r="G1340" s="25">
        <v>3.458277E10</v>
      </c>
      <c r="H1340" s="3">
        <f t="shared" si="1"/>
        <v>295647.2845</v>
      </c>
    </row>
    <row r="1341" ht="15.75" customHeight="1">
      <c r="A1341" s="23">
        <v>45887.0</v>
      </c>
      <c r="B1341" s="24">
        <v>8938.6</v>
      </c>
      <c r="C1341" s="24">
        <v>8963.0</v>
      </c>
      <c r="D1341" s="24">
        <v>8912.2</v>
      </c>
      <c r="E1341" s="24">
        <v>8959.3</v>
      </c>
      <c r="F1341" s="25">
        <v>5.713291E8</v>
      </c>
      <c r="G1341" s="25">
        <v>5.711497E9</v>
      </c>
      <c r="H1341" s="3">
        <f t="shared" si="1"/>
        <v>296331.9442</v>
      </c>
    </row>
    <row r="1342" ht="15.75" customHeight="1">
      <c r="A1342" s="23">
        <v>45891.0</v>
      </c>
      <c r="B1342" s="24">
        <v>8938.6</v>
      </c>
      <c r="C1342" s="24">
        <v>9025.5</v>
      </c>
      <c r="D1342" s="24">
        <v>8857.8</v>
      </c>
      <c r="E1342" s="24">
        <v>8967.4</v>
      </c>
      <c r="F1342" s="25">
        <v>3.663298E9</v>
      </c>
      <c r="G1342" s="25">
        <v>4.115964E10</v>
      </c>
      <c r="H1342" s="3">
        <f t="shared" si="1"/>
        <v>296599.8545</v>
      </c>
    </row>
    <row r="1343" ht="15.75" customHeight="1">
      <c r="A1343" s="23">
        <v>45894.0</v>
      </c>
      <c r="B1343" s="24">
        <v>8967.4</v>
      </c>
      <c r="C1343" s="24">
        <v>9054.5</v>
      </c>
      <c r="D1343" s="24">
        <v>8965.9</v>
      </c>
      <c r="E1343" s="24">
        <v>8972.4</v>
      </c>
      <c r="F1343" s="25">
        <v>7.471585E8</v>
      </c>
      <c r="G1343" s="25">
        <v>7.917913E9</v>
      </c>
      <c r="H1343" s="3">
        <f t="shared" si="1"/>
        <v>296765.2312</v>
      </c>
    </row>
    <row r="1344" ht="15.75" customHeight="1">
      <c r="A1344" s="23">
        <v>45898.0</v>
      </c>
      <c r="B1344" s="24">
        <v>8967.4</v>
      </c>
      <c r="C1344" s="24">
        <v>9054.5</v>
      </c>
      <c r="D1344" s="24">
        <v>8917.6</v>
      </c>
      <c r="E1344" s="24">
        <v>8973.1</v>
      </c>
      <c r="F1344" s="25">
        <v>4.604831E9</v>
      </c>
      <c r="G1344" s="25">
        <v>4.183674E10</v>
      </c>
      <c r="H1344" s="3">
        <f t="shared" si="1"/>
        <v>296788.3839</v>
      </c>
    </row>
    <row r="1345" ht="15.75" customHeight="1">
      <c r="A1345" s="23">
        <v>45901.0</v>
      </c>
      <c r="B1345" s="24">
        <v>8973.1</v>
      </c>
      <c r="C1345" s="24">
        <v>8973.1</v>
      </c>
      <c r="D1345" s="24">
        <v>8907.0</v>
      </c>
      <c r="E1345" s="24">
        <v>8927.7</v>
      </c>
      <c r="F1345" s="25">
        <v>6.181418E8</v>
      </c>
      <c r="G1345" s="25">
        <v>5.406035E9</v>
      </c>
      <c r="H1345" s="3">
        <f t="shared" si="1"/>
        <v>295286.7632</v>
      </c>
    </row>
    <row r="1346" ht="15.75" customHeight="1">
      <c r="A1346" s="23">
        <v>45905.0</v>
      </c>
      <c r="B1346" s="24">
        <v>8973.1</v>
      </c>
      <c r="C1346" s="24">
        <v>8973.1</v>
      </c>
      <c r="D1346" s="24">
        <v>8731.3</v>
      </c>
      <c r="E1346" s="24">
        <v>8871.2</v>
      </c>
      <c r="F1346" s="25">
        <v>3.28888E9</v>
      </c>
      <c r="G1346" s="25">
        <v>3.210951E10</v>
      </c>
      <c r="H1346" s="3">
        <f t="shared" si="1"/>
        <v>293418.0062</v>
      </c>
    </row>
    <row r="1347" ht="15.75" customHeight="1">
      <c r="A1347" s="23">
        <v>45908.0</v>
      </c>
      <c r="B1347" s="24">
        <v>8871.2</v>
      </c>
      <c r="C1347" s="24">
        <v>8871.2</v>
      </c>
      <c r="D1347" s="24">
        <v>8826.9</v>
      </c>
      <c r="E1347" s="24">
        <v>8849.6</v>
      </c>
      <c r="F1347" s="25">
        <v>5.925304E8</v>
      </c>
      <c r="G1347" s="25">
        <v>5.749162E9</v>
      </c>
      <c r="H1347" s="3">
        <f t="shared" si="1"/>
        <v>292703.5788</v>
      </c>
    </row>
    <row r="1348" ht="15.75" customHeight="1">
      <c r="A1348" s="23">
        <v>45912.0</v>
      </c>
      <c r="B1348" s="24">
        <v>8871.2</v>
      </c>
      <c r="C1348" s="24">
        <v>8887.2</v>
      </c>
      <c r="D1348" s="24">
        <v>8782.6</v>
      </c>
      <c r="E1348" s="24">
        <v>8864.9</v>
      </c>
      <c r="F1348" s="25">
        <v>3.543675E9</v>
      </c>
      <c r="G1348" s="25">
        <v>3.133315E10</v>
      </c>
      <c r="H1348" s="3">
        <f t="shared" si="1"/>
        <v>293209.6315</v>
      </c>
    </row>
    <row r="1349" ht="15.75" customHeight="1">
      <c r="A1349" s="23">
        <v>45915.0</v>
      </c>
      <c r="B1349" s="24">
        <v>8864.9</v>
      </c>
      <c r="C1349" s="24">
        <v>8864.9</v>
      </c>
      <c r="D1349" s="24">
        <v>8794.0</v>
      </c>
      <c r="E1349" s="24">
        <v>8853.0</v>
      </c>
      <c r="F1349" s="25">
        <v>6.166531E8</v>
      </c>
      <c r="G1349" s="25">
        <v>5.901733E9</v>
      </c>
      <c r="H1349" s="3">
        <f t="shared" si="1"/>
        <v>292816.0349</v>
      </c>
    </row>
    <row r="1350" ht="15.75" customHeight="1">
      <c r="A1350" s="23">
        <v>45919.0</v>
      </c>
      <c r="B1350" s="24">
        <v>8864.9</v>
      </c>
      <c r="C1350" s="24">
        <v>8888.0</v>
      </c>
      <c r="D1350" s="24">
        <v>8737.5</v>
      </c>
      <c r="E1350" s="24">
        <v>8773.5</v>
      </c>
      <c r="F1350" s="25">
        <v>5.264323E9</v>
      </c>
      <c r="G1350" s="25">
        <v>4.689528E10</v>
      </c>
      <c r="H1350" s="3">
        <f t="shared" si="1"/>
        <v>290186.5449</v>
      </c>
    </row>
    <row r="1351" ht="15.75" customHeight="1">
      <c r="A1351" s="23">
        <v>45922.0</v>
      </c>
      <c r="B1351" s="24">
        <v>8773.5</v>
      </c>
      <c r="C1351" s="24">
        <v>8846.0</v>
      </c>
      <c r="D1351" s="24">
        <v>8773.5</v>
      </c>
      <c r="E1351" s="24">
        <v>8810.9</v>
      </c>
      <c r="F1351" s="25">
        <v>6.101956E8</v>
      </c>
      <c r="G1351" s="25">
        <v>5.378942E9</v>
      </c>
      <c r="H1351" s="3">
        <f t="shared" si="1"/>
        <v>291423.5629</v>
      </c>
    </row>
    <row r="1352" ht="15.75" customHeight="1">
      <c r="A1352" s="23">
        <v>45926.0</v>
      </c>
      <c r="B1352" s="24">
        <v>8773.5</v>
      </c>
      <c r="C1352" s="24">
        <v>8877.1</v>
      </c>
      <c r="D1352" s="24">
        <v>8737.9</v>
      </c>
      <c r="E1352" s="24">
        <v>8787.7</v>
      </c>
      <c r="F1352" s="25">
        <v>3.7476E9</v>
      </c>
      <c r="G1352" s="25">
        <v>3.479391E10</v>
      </c>
      <c r="H1352" s="3">
        <f t="shared" si="1"/>
        <v>290656.2149</v>
      </c>
    </row>
    <row r="1353" ht="15.75" customHeight="1">
      <c r="A1353" s="23">
        <v>45929.0</v>
      </c>
      <c r="B1353" s="24">
        <v>8787.7</v>
      </c>
      <c r="C1353" s="24">
        <v>8871.7</v>
      </c>
      <c r="D1353" s="24">
        <v>8787.7</v>
      </c>
      <c r="E1353" s="24">
        <v>8862.8</v>
      </c>
      <c r="F1353" s="25">
        <v>5.798095E8</v>
      </c>
      <c r="G1353" s="25">
        <v>5.860654E9</v>
      </c>
      <c r="H1353" s="3">
        <f t="shared" si="1"/>
        <v>293140.1733</v>
      </c>
    </row>
    <row r="1354" ht="15.75" customHeight="1">
      <c r="A1354" s="23">
        <v>45930.0</v>
      </c>
      <c r="B1354" s="24">
        <v>8862.8</v>
      </c>
      <c r="C1354" s="24">
        <v>8892.4</v>
      </c>
      <c r="D1354" s="24">
        <v>8842.4</v>
      </c>
      <c r="E1354" s="24">
        <v>8848.8</v>
      </c>
      <c r="F1354" s="25">
        <v>8.743825E8</v>
      </c>
      <c r="G1354" s="25">
        <v>7.745929E9</v>
      </c>
      <c r="H1354" s="3">
        <f t="shared" si="1"/>
        <v>292677.1185</v>
      </c>
    </row>
    <row r="1355" ht="15.75" customHeight="1">
      <c r="A1355" s="23">
        <v>45933.0</v>
      </c>
      <c r="B1355" s="24">
        <v>8787.7</v>
      </c>
      <c r="C1355" s="24">
        <v>8995.5</v>
      </c>
      <c r="D1355" s="24">
        <v>8787.7</v>
      </c>
      <c r="E1355" s="24">
        <v>8987.4</v>
      </c>
      <c r="F1355" s="25">
        <v>3.610752E9</v>
      </c>
      <c r="G1355" s="25">
        <v>3.396679E10</v>
      </c>
      <c r="H1355" s="3">
        <f t="shared" si="1"/>
        <v>297261.3614</v>
      </c>
    </row>
    <row r="1356" ht="15.75" customHeight="1">
      <c r="A1356" s="23">
        <v>45936.0</v>
      </c>
      <c r="B1356" s="24">
        <v>8987.4</v>
      </c>
      <c r="C1356" s="24">
        <v>9026.4</v>
      </c>
      <c r="D1356" s="24">
        <v>8970.6</v>
      </c>
      <c r="E1356" s="24">
        <v>8981.4</v>
      </c>
      <c r="F1356" s="25">
        <v>4.627321E8</v>
      </c>
      <c r="G1356" s="25">
        <v>3.952689E9</v>
      </c>
      <c r="H1356" s="3">
        <f t="shared" si="1"/>
        <v>297062.9093</v>
      </c>
    </row>
    <row r="1357" ht="15.75" customHeight="1">
      <c r="A1357" s="23">
        <v>45940.0</v>
      </c>
      <c r="B1357" s="24">
        <v>8987.4</v>
      </c>
      <c r="C1357" s="24">
        <v>9026.4</v>
      </c>
      <c r="D1357" s="24">
        <v>8916.2</v>
      </c>
      <c r="E1357" s="24">
        <v>8958.3</v>
      </c>
      <c r="F1357" s="25">
        <v>3.297513E9</v>
      </c>
      <c r="G1357" s="25">
        <v>3.055417E10</v>
      </c>
      <c r="H1357" s="3">
        <f t="shared" si="1"/>
        <v>296298.8688</v>
      </c>
    </row>
    <row r="1358" ht="15.75" customHeight="1">
      <c r="A1358" s="23">
        <v>45943.0</v>
      </c>
      <c r="B1358" s="24">
        <v>8958.3</v>
      </c>
      <c r="C1358" s="24">
        <v>8958.3</v>
      </c>
      <c r="D1358" s="24">
        <v>8868.0</v>
      </c>
      <c r="E1358" s="24">
        <v>8882.8</v>
      </c>
      <c r="F1358" s="25">
        <v>6.640741E8</v>
      </c>
      <c r="G1358" s="25">
        <v>6.392053E9</v>
      </c>
      <c r="H1358" s="3">
        <f t="shared" si="1"/>
        <v>293801.6802</v>
      </c>
    </row>
    <row r="1359" ht="15.75" customHeight="1">
      <c r="A1359" s="23">
        <v>45947.0</v>
      </c>
      <c r="B1359" s="24">
        <v>8958.3</v>
      </c>
      <c r="C1359" s="24">
        <v>9109.7</v>
      </c>
      <c r="D1359" s="24">
        <v>8843.8</v>
      </c>
      <c r="E1359" s="24">
        <v>8995.3</v>
      </c>
      <c r="F1359" s="25">
        <v>3.717847E9</v>
      </c>
      <c r="G1359" s="25">
        <v>3.751895E10</v>
      </c>
      <c r="H1359" s="3">
        <f t="shared" si="1"/>
        <v>297522.6566</v>
      </c>
    </row>
    <row r="1360" ht="15.75" customHeight="1">
      <c r="A1360" s="23">
        <v>45950.0</v>
      </c>
      <c r="B1360" s="24">
        <v>8995.3</v>
      </c>
      <c r="C1360" s="24">
        <v>9034.4</v>
      </c>
      <c r="D1360" s="24">
        <v>8963.6</v>
      </c>
      <c r="E1360" s="24">
        <v>9031.9</v>
      </c>
      <c r="F1360" s="25">
        <v>6.764867E8</v>
      </c>
      <c r="G1360" s="25">
        <v>6.283263E9</v>
      </c>
      <c r="H1360" s="3">
        <f t="shared" si="1"/>
        <v>298733.2143</v>
      </c>
    </row>
    <row r="1361" ht="15.75" customHeight="1">
      <c r="A1361" s="23">
        <v>45954.0</v>
      </c>
      <c r="B1361" s="24">
        <v>8995.3</v>
      </c>
      <c r="C1361" s="24">
        <v>9115.2</v>
      </c>
      <c r="D1361" s="24">
        <v>8963.6</v>
      </c>
      <c r="E1361" s="24">
        <v>9019.0</v>
      </c>
      <c r="F1361" s="25">
        <v>3.425116E9</v>
      </c>
      <c r="G1361" s="25">
        <v>3.249163E10</v>
      </c>
      <c r="H1361" s="3">
        <f t="shared" si="1"/>
        <v>298306.5423</v>
      </c>
    </row>
    <row r="1362" ht="15.75" customHeight="1">
      <c r="A1362" s="23">
        <v>45957.0</v>
      </c>
      <c r="B1362" s="24">
        <v>9019.0</v>
      </c>
      <c r="C1362" s="24">
        <v>9083.4</v>
      </c>
      <c r="D1362" s="24">
        <v>9019.0</v>
      </c>
      <c r="E1362" s="24">
        <v>9055.6</v>
      </c>
      <c r="F1362" s="25">
        <v>5.433071E8</v>
      </c>
      <c r="G1362" s="25">
        <v>5.308005E9</v>
      </c>
      <c r="H1362" s="3">
        <f t="shared" si="1"/>
        <v>299517.1</v>
      </c>
    </row>
    <row r="1363" ht="15.75" customHeight="1">
      <c r="A1363" s="23">
        <v>45961.0</v>
      </c>
      <c r="B1363" s="24">
        <v>9019.0</v>
      </c>
      <c r="C1363" s="24">
        <v>9083.4</v>
      </c>
      <c r="D1363" s="24">
        <v>8876.0</v>
      </c>
      <c r="E1363" s="24">
        <v>8881.9</v>
      </c>
      <c r="F1363" s="25">
        <v>3.316029E9</v>
      </c>
      <c r="G1363" s="25">
        <v>3.478055E10</v>
      </c>
      <c r="H1363" s="3">
        <f t="shared" si="1"/>
        <v>293771.9124</v>
      </c>
    </row>
    <row r="1364" ht="15.75" customHeight="1">
      <c r="A1364" s="23">
        <v>45964.0</v>
      </c>
      <c r="B1364" s="24">
        <v>8881.9</v>
      </c>
      <c r="C1364" s="24">
        <v>8894.8</v>
      </c>
      <c r="D1364" s="24">
        <v>8829.3</v>
      </c>
      <c r="E1364" s="24">
        <v>8894.8</v>
      </c>
      <c r="F1364" s="25">
        <v>6.158432E8</v>
      </c>
      <c r="G1364" s="25">
        <v>6.078266E9</v>
      </c>
      <c r="H1364" s="3">
        <f t="shared" si="1"/>
        <v>294198.5844</v>
      </c>
    </row>
    <row r="1365" ht="15.75" customHeight="1">
      <c r="A1365" s="23">
        <v>45968.0</v>
      </c>
      <c r="B1365" s="24">
        <v>8881.9</v>
      </c>
      <c r="C1365" s="24">
        <v>8894.8</v>
      </c>
      <c r="D1365" s="24">
        <v>8733.8</v>
      </c>
      <c r="E1365" s="24">
        <v>8769.7</v>
      </c>
      <c r="F1365" s="25">
        <v>3.018855E9</v>
      </c>
      <c r="G1365" s="25">
        <v>3.243363E10</v>
      </c>
      <c r="H1365" s="3">
        <f t="shared" si="1"/>
        <v>290060.8586</v>
      </c>
    </row>
    <row r="1366" ht="15.75" customHeight="1">
      <c r="A1366" s="23">
        <v>45971.0</v>
      </c>
      <c r="B1366" s="24">
        <v>8769.7</v>
      </c>
      <c r="C1366" s="24">
        <v>8835.9</v>
      </c>
      <c r="D1366" s="24">
        <v>8769.7</v>
      </c>
      <c r="E1366" s="24">
        <v>8835.9</v>
      </c>
      <c r="F1366" s="25">
        <v>5.51108E8</v>
      </c>
      <c r="G1366" s="25">
        <v>5.912229E9</v>
      </c>
      <c r="H1366" s="3">
        <f t="shared" si="1"/>
        <v>292250.4465</v>
      </c>
    </row>
    <row r="1367" ht="15.75" customHeight="1">
      <c r="A1367" s="23">
        <v>45975.0</v>
      </c>
      <c r="B1367" s="24">
        <v>8769.7</v>
      </c>
      <c r="C1367" s="24">
        <v>8875.6</v>
      </c>
      <c r="D1367" s="24">
        <v>8612.2</v>
      </c>
      <c r="E1367" s="24">
        <v>8634.5</v>
      </c>
      <c r="F1367" s="25">
        <v>3.282623E9</v>
      </c>
      <c r="G1367" s="25">
        <v>3.508217E10</v>
      </c>
      <c r="H1367" s="3">
        <f t="shared" si="1"/>
        <v>285589.0719</v>
      </c>
    </row>
    <row r="1368" ht="15.75" customHeight="1">
      <c r="A1368" s="23">
        <v>45978.0</v>
      </c>
      <c r="B1368" s="24">
        <v>8634.5</v>
      </c>
      <c r="C1368" s="24">
        <v>8636.4</v>
      </c>
      <c r="D1368" s="24">
        <v>8588.9</v>
      </c>
      <c r="E1368" s="24">
        <v>8636.4</v>
      </c>
      <c r="F1368" s="25">
        <v>5.448215E8</v>
      </c>
      <c r="G1368" s="25">
        <v>5.50483E9</v>
      </c>
      <c r="H1368" s="3">
        <f t="shared" si="1"/>
        <v>285651.9151</v>
      </c>
    </row>
    <row r="1369" ht="15.75" customHeight="1">
      <c r="A1369" s="23">
        <v>45982.0</v>
      </c>
      <c r="B1369" s="24">
        <v>8634.5</v>
      </c>
      <c r="C1369" s="24">
        <v>8636.4</v>
      </c>
      <c r="D1369" s="24">
        <v>8383.2</v>
      </c>
      <c r="E1369" s="24">
        <v>8416.5</v>
      </c>
      <c r="F1369" s="25">
        <v>3.295504E9</v>
      </c>
      <c r="G1369" s="25">
        <v>3.457541E10</v>
      </c>
      <c r="H1369" s="3">
        <f t="shared" si="1"/>
        <v>278378.6466</v>
      </c>
    </row>
    <row r="1370" ht="15.75" customHeight="1">
      <c r="A1370" s="23">
        <v>45985.0</v>
      </c>
      <c r="B1370" s="24">
        <v>8416.5</v>
      </c>
      <c r="C1370" s="24">
        <v>8526.5</v>
      </c>
      <c r="D1370" s="24">
        <v>8416.5</v>
      </c>
      <c r="E1370" s="24">
        <v>8525.1</v>
      </c>
      <c r="F1370" s="25">
        <v>1.317172E9</v>
      </c>
      <c r="G1370" s="25">
        <v>1.715081E10</v>
      </c>
      <c r="H1370" s="3">
        <f t="shared" si="1"/>
        <v>281970.6291</v>
      </c>
    </row>
    <row r="1371" ht="15.75" customHeight="1">
      <c r="A1371" s="23">
        <v>45989.0</v>
      </c>
      <c r="B1371" s="24">
        <v>8416.5</v>
      </c>
      <c r="C1371" s="24">
        <v>8649.3</v>
      </c>
      <c r="D1371" s="24">
        <v>8416.5</v>
      </c>
      <c r="E1371" s="24">
        <v>8614.1</v>
      </c>
      <c r="F1371" s="25">
        <v>4.150254E9</v>
      </c>
      <c r="G1371" s="25">
        <v>4.324264E10</v>
      </c>
      <c r="H1371" s="3">
        <f t="shared" si="1"/>
        <v>284914.3349</v>
      </c>
    </row>
    <row r="1372" ht="15.75" customHeight="1">
      <c r="A1372" s="23">
        <v>45992.0</v>
      </c>
      <c r="B1372" s="24">
        <v>8614.1</v>
      </c>
      <c r="C1372" s="24">
        <v>8624.7</v>
      </c>
      <c r="D1372" s="24">
        <v>8563.2</v>
      </c>
      <c r="E1372" s="24">
        <v>8565.2</v>
      </c>
      <c r="F1372" s="25">
        <v>6.084759E8</v>
      </c>
      <c r="G1372" s="25">
        <v>5.642342E9</v>
      </c>
      <c r="H1372" s="3">
        <f t="shared" si="1"/>
        <v>283296.9505</v>
      </c>
    </row>
    <row r="1373" ht="15.75" customHeight="1">
      <c r="A1373" s="23">
        <v>45996.0</v>
      </c>
      <c r="B1373" s="24">
        <v>8614.1</v>
      </c>
      <c r="C1373" s="24">
        <v>8634.6</v>
      </c>
      <c r="D1373" s="24">
        <v>8563.2</v>
      </c>
      <c r="E1373" s="24">
        <v>8634.6</v>
      </c>
      <c r="F1373" s="25">
        <v>3.1356E9</v>
      </c>
      <c r="G1373" s="25">
        <v>3.126306E10</v>
      </c>
      <c r="H1373" s="3">
        <f t="shared" si="1"/>
        <v>285592.3794</v>
      </c>
    </row>
    <row r="1374" ht="15.75" customHeight="1">
      <c r="A1374" s="23">
        <v>45999.0</v>
      </c>
      <c r="B1374" s="24">
        <v>8634.6</v>
      </c>
      <c r="C1374" s="24">
        <v>8634.6</v>
      </c>
      <c r="D1374" s="24">
        <v>8595.6</v>
      </c>
      <c r="E1374" s="24">
        <v>8624.4</v>
      </c>
      <c r="F1374" s="25">
        <v>5.605357E8</v>
      </c>
      <c r="G1374" s="25">
        <v>5.216101E9</v>
      </c>
      <c r="H1374" s="3">
        <f t="shared" si="1"/>
        <v>285255.0109</v>
      </c>
    </row>
    <row r="1375" ht="15.75" customHeight="1">
      <c r="A1375" s="23">
        <v>46003.0</v>
      </c>
      <c r="B1375" s="24">
        <v>8634.6</v>
      </c>
      <c r="C1375" s="24">
        <v>8701.8</v>
      </c>
      <c r="D1375" s="24">
        <v>8562.1</v>
      </c>
      <c r="E1375" s="24">
        <v>8697.3</v>
      </c>
      <c r="F1375" s="25">
        <v>3.110053E9</v>
      </c>
      <c r="G1375" s="25">
        <v>3.011527E10</v>
      </c>
      <c r="H1375" s="3">
        <f t="shared" si="1"/>
        <v>287666.2036</v>
      </c>
    </row>
    <row r="1376" ht="15.75" customHeight="1">
      <c r="A1376" s="23">
        <v>46006.0</v>
      </c>
      <c r="B1376" s="24">
        <v>8697.3</v>
      </c>
      <c r="C1376" s="24">
        <v>8697.3</v>
      </c>
      <c r="D1376" s="24">
        <v>8622.7</v>
      </c>
      <c r="E1376" s="24">
        <v>8635.0</v>
      </c>
      <c r="F1376" s="25">
        <v>5.915448E8</v>
      </c>
      <c r="G1376" s="25">
        <v>5.877871E9</v>
      </c>
      <c r="H1376" s="3">
        <f t="shared" si="1"/>
        <v>285605.6096</v>
      </c>
    </row>
    <row r="1377" ht="15.75" customHeight="1">
      <c r="A1377" s="23">
        <v>46010.0</v>
      </c>
      <c r="B1377" s="24">
        <v>8697.3</v>
      </c>
      <c r="C1377" s="24">
        <v>8697.3</v>
      </c>
      <c r="D1377" s="24">
        <v>8547.1</v>
      </c>
      <c r="E1377" s="24">
        <v>8621.4</v>
      </c>
      <c r="F1377" s="25">
        <v>4.584316E9</v>
      </c>
      <c r="G1377" s="25">
        <v>4.742337E10</v>
      </c>
      <c r="H1377" s="3">
        <f t="shared" si="1"/>
        <v>285155.7849</v>
      </c>
    </row>
    <row r="1378" ht="15.75" customHeight="1">
      <c r="A1378" s="23">
        <v>46013.0</v>
      </c>
      <c r="B1378" s="24">
        <v>8621.4</v>
      </c>
      <c r="C1378" s="24">
        <v>8709.2</v>
      </c>
      <c r="D1378" s="24">
        <v>8621.4</v>
      </c>
      <c r="E1378" s="24">
        <v>8699.9</v>
      </c>
      <c r="F1378" s="25">
        <v>4.984981E8</v>
      </c>
      <c r="G1378" s="25">
        <v>4.910506E9</v>
      </c>
      <c r="H1378" s="3">
        <f t="shared" si="1"/>
        <v>287752.1995</v>
      </c>
    </row>
    <row r="1379" ht="15.75" customHeight="1">
      <c r="A1379" s="23">
        <v>46015.0</v>
      </c>
      <c r="B1379" s="24">
        <v>8621.4</v>
      </c>
      <c r="C1379" s="24">
        <v>8805.5</v>
      </c>
      <c r="D1379" s="24">
        <v>8621.4</v>
      </c>
      <c r="E1379" s="24">
        <v>8762.7</v>
      </c>
      <c r="F1379" s="25">
        <v>9.890883E8</v>
      </c>
      <c r="G1379" s="25">
        <v>9.772837E9</v>
      </c>
      <c r="H1379" s="3">
        <f t="shared" si="1"/>
        <v>289829.3312</v>
      </c>
    </row>
    <row r="1380" ht="15.75" customHeight="1">
      <c r="A1380" s="23">
        <v>46024.0</v>
      </c>
      <c r="B1380" s="24">
        <v>8762.7</v>
      </c>
      <c r="C1380" s="24">
        <v>8784.2</v>
      </c>
      <c r="D1380" s="24">
        <v>8679.8</v>
      </c>
      <c r="E1380" s="24">
        <v>8727.8</v>
      </c>
      <c r="F1380" s="25">
        <v>1.297531E9</v>
      </c>
      <c r="G1380" s="25">
        <v>1.259037E10</v>
      </c>
      <c r="H1380" s="3">
        <f t="shared" si="1"/>
        <v>288675.0017</v>
      </c>
    </row>
    <row r="1381" ht="15.75" customHeight="1">
      <c r="A1381" s="23">
        <v>46027.0</v>
      </c>
      <c r="B1381" s="24">
        <v>8727.8</v>
      </c>
      <c r="C1381" s="24">
        <v>8750.7</v>
      </c>
      <c r="D1381" s="24">
        <v>8719.4</v>
      </c>
      <c r="E1381" s="24">
        <v>8728.6</v>
      </c>
      <c r="F1381" s="25">
        <v>4.362834E8</v>
      </c>
      <c r="G1381" s="25">
        <v>4.2272E9</v>
      </c>
      <c r="H1381" s="3">
        <f t="shared" si="1"/>
        <v>288701.4619</v>
      </c>
    </row>
    <row r="1382" ht="15.75" customHeight="1">
      <c r="A1382" s="23">
        <v>46031.0</v>
      </c>
      <c r="B1382" s="24">
        <v>8727.8</v>
      </c>
      <c r="C1382" s="24">
        <v>8771.3</v>
      </c>
      <c r="D1382" s="24">
        <v>8675.6</v>
      </c>
      <c r="E1382" s="24">
        <v>8717.8</v>
      </c>
      <c r="F1382" s="25">
        <v>2.773064E9</v>
      </c>
      <c r="G1382" s="25">
        <v>2.807791E10</v>
      </c>
      <c r="H1382" s="3">
        <f t="shared" si="1"/>
        <v>288344.2482</v>
      </c>
    </row>
    <row r="1383" ht="15.75" customHeight="1">
      <c r="A1383" s="23">
        <v>46034.0</v>
      </c>
      <c r="B1383" s="24">
        <v>8717.8</v>
      </c>
      <c r="C1383" s="24">
        <v>8785.9</v>
      </c>
      <c r="D1383" s="24">
        <v>8717.8</v>
      </c>
      <c r="E1383" s="24">
        <v>8759.4</v>
      </c>
      <c r="F1383" s="25">
        <v>5.551524E8</v>
      </c>
      <c r="G1383" s="25">
        <v>5.891826E9</v>
      </c>
      <c r="H1383" s="3">
        <f t="shared" si="1"/>
        <v>289720.1826</v>
      </c>
    </row>
    <row r="1384" ht="15.75" customHeight="1">
      <c r="A1384" s="23">
        <v>46038.0</v>
      </c>
      <c r="B1384" s="24">
        <v>8717.8</v>
      </c>
      <c r="C1384" s="24">
        <v>8915.5</v>
      </c>
      <c r="D1384" s="24">
        <v>8717.8</v>
      </c>
      <c r="E1384" s="24">
        <v>8903.9</v>
      </c>
      <c r="F1384" s="25">
        <v>3.030958E9</v>
      </c>
      <c r="G1384" s="25">
        <v>3.237308E10</v>
      </c>
      <c r="H1384" s="3">
        <f t="shared" si="1"/>
        <v>294499.57</v>
      </c>
    </row>
    <row r="1385" ht="15.75" customHeight="1">
      <c r="A1385" s="23">
        <v>46041.0</v>
      </c>
      <c r="B1385" s="24">
        <v>8903.9</v>
      </c>
      <c r="C1385" s="24">
        <v>8903.9</v>
      </c>
      <c r="D1385" s="24">
        <v>8855.5</v>
      </c>
      <c r="E1385" s="24">
        <v>8874.5</v>
      </c>
      <c r="F1385" s="25">
        <v>4.511164E8</v>
      </c>
      <c r="G1385" s="25">
        <v>4.47619E9</v>
      </c>
      <c r="H1385" s="3">
        <f t="shared" si="1"/>
        <v>293527.1549</v>
      </c>
    </row>
    <row r="1386" ht="15.75" customHeight="1">
      <c r="A1386" s="23">
        <v>46045.0</v>
      </c>
      <c r="B1386" s="24">
        <v>8903.9</v>
      </c>
      <c r="C1386" s="24">
        <v>8903.9</v>
      </c>
      <c r="D1386" s="24">
        <v>8765.9</v>
      </c>
      <c r="E1386" s="24">
        <v>8860.1</v>
      </c>
      <c r="F1386" s="25">
        <v>3.007342E9</v>
      </c>
      <c r="G1386" s="25">
        <v>3.088724E10</v>
      </c>
      <c r="H1386" s="3">
        <f t="shared" si="1"/>
        <v>293050.8699</v>
      </c>
    </row>
    <row r="1387" ht="15.75" customHeight="1">
      <c r="A1387" s="23">
        <v>46049.0</v>
      </c>
      <c r="B1387" s="24">
        <v>8860.1</v>
      </c>
      <c r="C1387" s="24">
        <v>8969.2</v>
      </c>
      <c r="D1387" s="24">
        <v>8860.1</v>
      </c>
      <c r="E1387" s="24">
        <v>8941.6</v>
      </c>
      <c r="F1387" s="25">
        <v>7.138335E8</v>
      </c>
      <c r="G1387" s="25">
        <v>7.717633E9</v>
      </c>
      <c r="H1387" s="3">
        <f t="shared" si="1"/>
        <v>295746.5106</v>
      </c>
    </row>
    <row r="1388" ht="15.75" customHeight="1">
      <c r="A1388" s="23">
        <v>46052.0</v>
      </c>
      <c r="B1388" s="24">
        <v>8860.1</v>
      </c>
      <c r="C1388" s="24">
        <v>8978.5</v>
      </c>
      <c r="D1388" s="24">
        <v>8858.9</v>
      </c>
      <c r="E1388" s="24">
        <v>8869.1</v>
      </c>
      <c r="F1388" s="25">
        <v>3.104161E9</v>
      </c>
      <c r="G1388" s="25">
        <v>3.275258E10</v>
      </c>
      <c r="H1388" s="3">
        <f t="shared" si="1"/>
        <v>293348.548</v>
      </c>
    </row>
    <row r="1389" ht="15.75" customHeight="1">
      <c r="A1389" s="23">
        <v>46055.0</v>
      </c>
      <c r="B1389" s="24">
        <v>8869.1</v>
      </c>
      <c r="C1389" s="24">
        <v>8869.1</v>
      </c>
      <c r="D1389" s="24">
        <v>8746.2</v>
      </c>
      <c r="E1389" s="24">
        <v>8778.6</v>
      </c>
      <c r="F1389" s="25">
        <v>8.249248E8</v>
      </c>
      <c r="G1389" s="25">
        <v>7.731073E9</v>
      </c>
      <c r="H1389" s="3">
        <f t="shared" si="1"/>
        <v>290355.2292</v>
      </c>
    </row>
    <row r="1390" ht="15.75" customHeight="1">
      <c r="A1390" s="23">
        <v>46059.0</v>
      </c>
      <c r="B1390" s="24">
        <v>8869.1</v>
      </c>
      <c r="C1390" s="24">
        <v>8943.5</v>
      </c>
      <c r="D1390" s="24">
        <v>8683.7</v>
      </c>
      <c r="E1390" s="24">
        <v>8708.8</v>
      </c>
      <c r="F1390" s="25">
        <v>3.768629E9</v>
      </c>
      <c r="G1390" s="25">
        <v>3.878109E10</v>
      </c>
      <c r="H1390" s="3">
        <f t="shared" si="1"/>
        <v>288046.5701</v>
      </c>
    </row>
    <row r="1391" ht="15.75" customHeight="1">
      <c r="A1391" s="23">
        <v>46062.0</v>
      </c>
      <c r="B1391" s="24">
        <v>8708.8</v>
      </c>
      <c r="C1391" s="24">
        <v>8886.9</v>
      </c>
      <c r="D1391" s="24">
        <v>8708.8</v>
      </c>
      <c r="E1391" s="24">
        <v>8870.1</v>
      </c>
      <c r="F1391" s="25">
        <v>6.475828E8</v>
      </c>
      <c r="G1391" s="25">
        <v>6.587302E9</v>
      </c>
      <c r="H1391" s="3">
        <f t="shared" si="1"/>
        <v>293381.6233</v>
      </c>
    </row>
    <row r="1392" ht="15.75" customHeight="1">
      <c r="A1392" s="23">
        <v>46062.0</v>
      </c>
      <c r="B1392" s="24">
        <v>8708.8</v>
      </c>
      <c r="C1392" s="24">
        <v>8886.9</v>
      </c>
      <c r="D1392" s="24">
        <v>8708.8</v>
      </c>
      <c r="E1392" s="24">
        <v>8870.1</v>
      </c>
      <c r="F1392" s="25">
        <v>6.475828E8</v>
      </c>
      <c r="G1392" s="25">
        <v>6.587302E9</v>
      </c>
      <c r="H1392" s="3">
        <f t="shared" si="1"/>
        <v>293381.6233</v>
      </c>
    </row>
    <row r="1393" ht="15.75" customHeight="1">
      <c r="A1393" s="23">
        <v>46066.0</v>
      </c>
      <c r="B1393" s="24">
        <v>8708.8</v>
      </c>
      <c r="C1393" s="24">
        <v>9105.0</v>
      </c>
      <c r="D1393" s="24">
        <v>8708.8</v>
      </c>
      <c r="E1393" s="24">
        <v>8917.6</v>
      </c>
      <c r="F1393" s="25">
        <v>3.466917E9</v>
      </c>
      <c r="G1393" s="25">
        <v>3.85613E10</v>
      </c>
      <c r="H1393" s="3">
        <f t="shared" si="1"/>
        <v>294952.7023</v>
      </c>
    </row>
    <row r="1394" ht="15.75" customHeight="1">
      <c r="A1394" s="23">
        <v>46069.0</v>
      </c>
      <c r="B1394" s="24">
        <v>8917.6</v>
      </c>
      <c r="C1394" s="24">
        <v>8953.0</v>
      </c>
      <c r="D1394" s="24">
        <v>8915.0</v>
      </c>
      <c r="E1394" s="24">
        <v>8937.1</v>
      </c>
      <c r="F1394" s="25">
        <v>5.95434E8</v>
      </c>
      <c r="G1394" s="25">
        <v>6.636539E9</v>
      </c>
      <c r="H1394" s="3">
        <f t="shared" si="1"/>
        <v>295597.6715</v>
      </c>
    </row>
    <row r="1395" ht="15.75" customHeight="1">
      <c r="A1395" s="23">
        <v>46073.0</v>
      </c>
      <c r="B1395" s="24">
        <v>8917.6</v>
      </c>
      <c r="C1395" s="24">
        <v>9118.3</v>
      </c>
      <c r="D1395" s="24">
        <v>8915.0</v>
      </c>
      <c r="E1395" s="24">
        <v>9081.4</v>
      </c>
      <c r="F1395" s="25">
        <v>3.479729E9</v>
      </c>
      <c r="G1395" s="25">
        <v>3.720581E10</v>
      </c>
      <c r="H1395" s="3">
        <f t="shared" si="1"/>
        <v>300370.4439</v>
      </c>
    </row>
    <row r="1396" ht="15.75" customHeight="1">
      <c r="A1396" s="23">
        <v>46076.0</v>
      </c>
      <c r="B1396" s="24">
        <v>9081.4</v>
      </c>
      <c r="C1396" s="24">
        <v>9112.9</v>
      </c>
      <c r="D1396" s="24">
        <v>9010.6</v>
      </c>
      <c r="E1396" s="24">
        <v>9026.0</v>
      </c>
      <c r="F1396" s="25">
        <v>6.849612E8</v>
      </c>
      <c r="G1396" s="25">
        <v>7.254085E9</v>
      </c>
      <c r="H1396" s="3">
        <f t="shared" si="1"/>
        <v>298538.0697</v>
      </c>
    </row>
    <row r="1397" ht="15.75" customHeight="1">
      <c r="A1397" s="23">
        <v>46080.0</v>
      </c>
      <c r="B1397" s="24">
        <v>9081.4</v>
      </c>
      <c r="C1397" s="24">
        <v>9202.9</v>
      </c>
      <c r="D1397" s="24">
        <v>8987.2</v>
      </c>
      <c r="E1397" s="24">
        <v>9198.6</v>
      </c>
      <c r="F1397" s="25">
        <v>4.510928E9</v>
      </c>
      <c r="G1397" s="25">
        <v>4.669225E10</v>
      </c>
      <c r="H1397" s="3">
        <f t="shared" si="1"/>
        <v>304246.8744</v>
      </c>
    </row>
    <row r="1398" ht="15.75" customHeight="1">
      <c r="A1398" s="23">
        <v>46083.0</v>
      </c>
      <c r="B1398" s="24">
        <v>9198.6</v>
      </c>
      <c r="C1398" s="24">
        <v>9200.9</v>
      </c>
      <c r="D1398" s="24">
        <v>9119.7</v>
      </c>
      <c r="E1398" s="24">
        <v>9200.9</v>
      </c>
      <c r="F1398" s="25">
        <v>7.692799E8</v>
      </c>
      <c r="G1398" s="25">
        <v>8.202041E9</v>
      </c>
      <c r="H1398" s="3">
        <f t="shared" si="1"/>
        <v>304322.9477</v>
      </c>
    </row>
    <row r="1399" ht="15.75" customHeight="1">
      <c r="A1399" s="23">
        <v>46087.0</v>
      </c>
      <c r="B1399" s="24">
        <v>9198.6</v>
      </c>
      <c r="C1399" s="24">
        <v>9200.9</v>
      </c>
      <c r="D1399" s="24">
        <v>8811.6</v>
      </c>
      <c r="E1399" s="24">
        <v>8851.0</v>
      </c>
      <c r="F1399" s="25">
        <v>3.986301E9</v>
      </c>
      <c r="G1399" s="25">
        <v>4.323079E10</v>
      </c>
      <c r="H1399" s="3">
        <f t="shared" si="1"/>
        <v>292749.8842</v>
      </c>
    </row>
    <row r="1400" ht="15.75" customHeight="1">
      <c r="A1400" s="23">
        <v>46090.0</v>
      </c>
      <c r="B1400" s="24">
        <v>8851.0</v>
      </c>
      <c r="C1400" s="24">
        <v>8851.0</v>
      </c>
      <c r="D1400" s="24">
        <v>8457.2</v>
      </c>
      <c r="E1400" s="24">
        <v>8599.0</v>
      </c>
      <c r="F1400" s="25">
        <v>1.03319E9</v>
      </c>
      <c r="G1400" s="25">
        <v>1.085477E10</v>
      </c>
      <c r="H1400" s="3">
        <f t="shared" si="1"/>
        <v>284414.8971</v>
      </c>
    </row>
    <row r="1401" ht="15.75" customHeight="1">
      <c r="A1401" s="23">
        <v>46094.0</v>
      </c>
      <c r="B1401" s="24">
        <v>8851.0</v>
      </c>
      <c r="C1401" s="24">
        <v>8851.0</v>
      </c>
      <c r="D1401" s="24">
        <v>8457.2</v>
      </c>
      <c r="E1401" s="24">
        <v>8617.1</v>
      </c>
      <c r="F1401" s="25">
        <v>4.312959E9</v>
      </c>
      <c r="G1401" s="25">
        <v>4.407698E10</v>
      </c>
      <c r="H1401" s="3">
        <f t="shared" si="1"/>
        <v>285013.5609</v>
      </c>
    </row>
  </sheetData>
  <printOptions/>
  <pageMargins bottom="0.75" footer="0.0" header="0.0" left="0.7" right="0.7" top="0.75"/>
  <pageSetup orientation="landscape"/>
  <drawing r:id="rId1"/>
</worksheet>
</file>