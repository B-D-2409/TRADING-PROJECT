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5AC25A01-75CC-41AC-A815-FCFF7457FDE0}" xr6:coauthVersionLast="47" xr6:coauthVersionMax="47" xr10:uidLastSave="{00000000-0000-0000-0000-000000000000}"/>
  <bookViews>
    <workbookView xWindow="38280" yWindow="-120" windowWidth="38640" windowHeight="21120" firstSheet="2"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9" i="5" l="1"/>
  <c r="E1359" i="5" s="1"/>
  <c r="H1358" i="8"/>
  <c r="D1358" i="5"/>
  <c r="E1358" i="5" s="1"/>
  <c r="H1357" i="8"/>
  <c r="D1357" i="5"/>
  <c r="E1357" i="5" s="1"/>
  <c r="H1356" i="8"/>
  <c r="C2" i="4"/>
  <c r="D1355" i="5" l="1"/>
  <c r="E1355" i="5" s="1"/>
  <c r="H1355" i="8"/>
  <c r="H1354" i="8"/>
  <c r="D1356" i="5"/>
  <c r="E1356" i="5" s="1"/>
  <c r="D1354" i="5"/>
  <c r="E1354" i="5" s="1"/>
  <c r="H17" i="6"/>
  <c r="J17" i="6" s="1"/>
  <c r="I17" i="6" s="1"/>
  <c r="H2" i="6"/>
  <c r="J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G2" i="4"/>
  <c r="D2" i="4"/>
  <c r="F2" i="4" s="1"/>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<sst xmlns="http://schemas.openxmlformats.org/spreadsheetml/2006/main" count="1776" uniqueCount="831">
  <si>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</si>
  <si>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</si>
  <si>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</si>
  <si>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</si>
  <si>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</si>
  <si>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</si>
  <si>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</si>
  <si>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</si>
  <si>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</si>
  <si>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</si>
  <si>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</si>
  <si>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</si>
  <si>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</si>
  <si>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</si>
  <si>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</si>
  <si>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</si>
  <si>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</si>
  <si>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</si>
  <si>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</si>
  <si>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</si>
  <si>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</si>
  <si>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</si>
  <si>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</si>
  <si>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</si>
  <si>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</si>
  <si>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</si>
  <si>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</si>
  <si>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</si>
  <si>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</si>
  <si>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</si>
  <si>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</si>
  <si>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</si>
  <si>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</si>
  <si>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</si>
  <si>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</si>
  <si>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</si>
  <si>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</si>
  <si>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</si>
  <si>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</si>
  <si>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</si>
  <si>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</si>
  <si>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</si>
  <si>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</si>
  <si>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</si>
  <si>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</si>
  <si>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</si>
  <si>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</si>
  <si>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</si>
  <si>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</si>
  <si>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</si>
  <si>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</si>
  <si>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</si>
  <si>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</si>
  <si>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</si>
  <si>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</si>
  <si>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</si>
  <si>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</si>
  <si>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</si>
  <si>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</si>
  <si>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</si>
  <si>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</si>
  <si>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</si>
  <si>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</si>
  <si>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</si>
  <si>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</si>
  <si>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</si>
  <si>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</si>
  <si>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</si>
  <si>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</si>
  <si>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</si>
  <si>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</si>
  <si>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</si>
  <si>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</si>
  <si>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</si>
  <si>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</si>
  <si>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</si>
  <si>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</si>
  <si>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</si>
  <si>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</si>
  <si>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</si>
  <si>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</si>
  <si>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</si>
  <si>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</si>
  <si>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</si>
  <si>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</si>
  <si>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</si>
  <si>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</si>
  <si>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</si>
  <si>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</si>
  <si>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</si>
  <si>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</si>
  <si>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</si>
  <si>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</si>
  <si>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</si>
  <si>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</si>
  <si>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</si>
  <si>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</si>
  <si>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</si>
  <si>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</si>
  <si>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</si>
  <si>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</si>
  <si>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</si>
  <si>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</si>
  <si>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</si>
  <si>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</si>
  <si>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</si>
  <si>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</si>
  <si>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</si>
  <si>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</si>
  <si>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</si>
  <si>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</si>
  <si>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</si>
  <si>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</si>
  <si>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</si>
  <si>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</si>
  <si>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</si>
  <si>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</si>
  <si>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</si>
  <si>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</si>
  <si>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</si>
  <si>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</si>
  <si>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</si>
  <si>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</si>
  <si>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</si>
  <si>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</si>
  <si>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</si>
  <si>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</si>
  <si>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</si>
  <si>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</si>
  <si>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</si>
  <si>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</si>
  <si>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</si>
  <si>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</si>
  <si>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</si>
  <si>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</si>
  <si>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</si>
  <si>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</si>
  <si>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</si>
  <si>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</si>
  <si>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</si>
  <si>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</si>
  <si>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</si>
  <si>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</si>
  <si>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</si>
  <si>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</si>
  <si>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</si>
  <si>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</si>
  <si>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</si>
  <si>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</si>
  <si>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</si>
  <si>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</si>
  <si>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</si>
  <si>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</si>
  <si>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</si>
  <si>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</si>
  <si>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</si>
  <si>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</si>
  <si>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</si>
  <si>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</si>
  <si>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</si>
  <si>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</si>
  <si>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</si>
  <si>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</si>
  <si>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</si>
  <si>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</si>
  <si>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</si>
  <si>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</si>
  <si>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</si>
  <si>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</si>
  <si>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</si>
  <si>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</si>
  <si>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</si>
  <si>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</si>
  <si>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</si>
  <si>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</si>
  <si>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</si>
  <si>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</si>
  <si>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</si>
  <si>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</si>
  <si>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</si>
  <si>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</si>
  <si>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</si>
  <si>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</si>
  <si>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</si>
  <si>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</si>
  <si>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</si>
  <si>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</si>
  <si>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</si>
  <si>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</si>
  <si>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</si>
  <si>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</si>
  <si>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</si>
  <si>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</si>
  <si>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</si>
  <si>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</si>
  <si>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</si>
  <si>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</si>
  <si>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</si>
  <si>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</si>
  <si>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</si>
  <si>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</si>
  <si>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</si>
  <si>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</si>
  <si>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</si>
  <si>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</si>
  <si>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</si>
  <si>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</si>
  <si>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</si>
  <si>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</si>
  <si>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</si>
  <si>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</si>
  <si>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</si>
  <si>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</si>
  <si>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</si>
  <si>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</si>
  <si>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</si>
  <si>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</si>
  <si>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</si>
  <si>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</si>
  <si>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</si>
  <si>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</si>
  <si>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</si>
  <si>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</si>
  <si>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</si>
  <si>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</si>
  <si>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</si>
  <si>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</si>
  <si>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</si>
  <si>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</si>
  <si>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</si>
  <si>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</si>
  <si>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</si>
  <si>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</si>
  <si>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</si>
  <si>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</si>
  <si>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</si>
  <si>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</si>
  <si>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</si>
  <si>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</si>
  <si>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</si>
  <si>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</si>
  <si>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</si>
  <si>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</si>
  <si>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</si>
  <si>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</si>
  <si>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</si>
  <si>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</si>
  <si>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</si>
  <si>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</si>
  <si>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</si>
  <si>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</si>
  <si>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</si>
  <si>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</si>
  <si>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</si>
  <si>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</si>
  <si>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</si>
  <si>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</si>
  <si>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</si>
  <si>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</si>
  <si>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</si>
  <si>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</si>
  <si>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</si>
  <si>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</si>
  <si>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</si>
  <si>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</si>
  <si>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</si>
  <si>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</si>
  <si>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</si>
  <si>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</si>
  <si>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</si>
  <si>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</si>
  <si>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</si>
  <si>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</si>
  <si>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</si>
  <si>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</si>
  <si>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</si>
  <si>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</si>
  <si>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</si>
  <si>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</si>
  <si>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</si>
  <si>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</si>
  <si>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</si>
  <si>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</si>
  <si>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</si>
  <si>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</si>
  <si>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</si>
  <si>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</si>
  <si>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</si>
  <si>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</si>
  <si>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</si>
  <si>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</si>
  <si>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</si>
  <si>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</si>
  <si>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</si>
  <si>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</si>
  <si>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</si>
  <si>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</si>
  <si>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</si>
  <si>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</si>
  <si>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</si>
  <si>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</si>
  <si>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</si>
  <si>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</si>
  <si>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</si>
  <si>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</si>
  <si>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</si>
  <si>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</si>
  <si>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</si>
  <si>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</si>
  <si>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</si>
  <si>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</si>
  <si>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</si>
  <si>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</si>
  <si>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</si>
  <si>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</si>
  <si>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</si>
  <si>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</si>
  <si>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</si>
  <si>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</si>
  <si>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</si>
  <si>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</si>
  <si>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</si>
  <si>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</si>
  <si>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</si>
  <si>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</si>
  <si>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</si>
  <si>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</si>
  <si>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</si>
  <si>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</si>
  <si>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</si>
  <si>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</si>
  <si>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</si>
  <si>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</si>
  <si>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</si>
  <si>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</si>
  <si>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</si>
  <si>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</si>
  <si>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</si>
  <si>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</si>
  <si>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</si>
  <si>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</si>
  <si>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</si>
  <si>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</si>
  <si>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</si>
  <si>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</si>
  <si>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</si>
  <si>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</si>
  <si>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</si>
  <si>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</si>
  <si>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</si>
  <si>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</si>
  <si>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</si>
  <si>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</si>
  <si>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</si>
  <si>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</si>
  <si>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</si>
  <si>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</si>
  <si>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</si>
  <si>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</si>
  <si>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</si>
  <si>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</si>
  <si>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</si>
  <si>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</si>
  <si>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</si>
  <si>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</si>
  <si>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</si>
  <si>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</si>
  <si>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</si>
  <si>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</si>
  <si>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</si>
  <si>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</si>
  <si>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</si>
  <si>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</si>
  <si>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</si>
  <si>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</si>
  <si>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</si>
  <si>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</si>
  <si>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</si>
  <si>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</si>
  <si>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</si>
  <si>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</si>
  <si>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</si>
  <si>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</si>
  <si>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</si>
  <si>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</si>
  <si>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</si>
  <si>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</si>
  <si>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</si>
  <si>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</si>
  <si>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</si>
  <si>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</si>
  <si>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</si>
  <si>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</si>
  <si>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</si>
  <si>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</si>
  <si>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</si>
  <si>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</si>
  <si>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</si>
  <si>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</si>
  <si>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</si>
  <si>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</si>
  <si>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</si>
  <si>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</si>
  <si>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</si>
  <si>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</si>
  <si>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</si>
  <si>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</si>
  <si>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</si>
  <si>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</si>
  <si>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</si>
  <si>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</si>
  <si>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</si>
  <si>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</si>
  <si>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</si>
  <si>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</si>
  <si>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</si>
  <si>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</si>
  <si>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</si>
  <si>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</si>
  <si>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</si>
  <si>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</si>
  <si>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</si>
  <si>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</si>
  <si>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</si>
  <si>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</si>
  <si>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</si>
  <si>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</si>
  <si>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</si>
  <si>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</si>
  <si>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</si>
  <si>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</si>
  <si>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</si>
  <si>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</si>
  <si>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</si>
  <si>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</si>
  <si>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</si>
  <si>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</si>
  <si>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</si>
  <si>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</si>
  <si>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</si>
  <si>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</si>
  <si>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</si>
  <si>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</si>
  <si>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</si>
  <si>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</si>
  <si>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</si>
  <si>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</si>
  <si>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</si>
  <si>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</si>
  <si>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</si>
  <si>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</si>
  <si>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</si>
  <si>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</si>
  <si>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</si>
  <si>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</si>
  <si>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</si>
  <si>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</si>
  <si>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</si>
  <si>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</si>
  <si>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</si>
  <si>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</si>
  <si>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</si>
  <si>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</si>
  <si>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</si>
  <si>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</si>
  <si>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</si>
  <si>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</si>
  <si>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</si>
  <si>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</si>
  <si>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</si>
  <si>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</si>
  <si>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</si>
  <si>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</si>
  <si>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</si>
  <si>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</si>
  <si>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</si>
  <si>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</si>
  <si>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</si>
  <si>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</si>
  <si>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</si>
  <si>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</si>
  <si>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</si>
  <si>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</si>
  <si>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</si>
  <si>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</si>
  <si>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</si>
  <si>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</si>
  <si>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</si>
  <si>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</si>
  <si>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</si>
  <si>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</si>
  <si>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</si>
  <si>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</si>
  <si>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</si>
  <si>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</si>
  <si>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</si>
  <si>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</si>
  <si>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</si>
  <si>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</si>
  <si>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</si>
  <si>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</si>
  <si>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</si>
  <si>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</si>
  <si>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</si>
  <si>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</si>
  <si>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</si>
  <si>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</si>
  <si>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</si>
  <si>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</si>
  <si>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</si>
  <si>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</si>
  <si>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</si>
  <si>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</si>
  <si>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</si>
  <si>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</si>
  <si>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</si>
  <si>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</si>
  <si>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</si>
  <si>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</si>
  <si>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</si>
  <si>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</si>
  <si>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</si>
  <si>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</si>
  <si>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</si>
  <si>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</si>
  <si>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</si>
  <si>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</si>
  <si>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</si>
  <si>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</si>
  <si>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</si>
  <si>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</si>
  <si>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</si>
  <si>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</si>
  <si>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</si>
  <si>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</si>
  <si>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</si>
  <si>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</si>
  <si>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</si>
  <si>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</si>
  <si>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</si>
  <si>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</si>
  <si>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</si>
  <si>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</si>
  <si>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</si>
  <si>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</si>
  <si>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</si>
  <si>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</si>
  <si>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</si>
  <si>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</si>
  <si>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</si>
  <si>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</si>
  <si>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</si>
  <si>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</si>
  <si>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</si>
  <si>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</si>
  <si>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</si>
  <si>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</si>
  <si>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</si>
  <si>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</si>
  <si>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</si>
  <si>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</si>
  <si>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</si>
  <si>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</si>
  <si>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</si>
  <si>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</si>
  <si>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</si>
  <si>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</si>
  <si>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</si>
  <si>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</si>
  <si>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</si>
  <si>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</si>
  <si>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</si>
  <si>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</si>
  <si>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</si>
  <si>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</si>
  <si>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</si>
  <si>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</si>
  <si>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</si>
  <si>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</si>
  <si>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</si>
  <si>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</si>
  <si>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</si>
  <si>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</si>
  <si>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</si>
  <si>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</si>
  <si>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</si>
  <si>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</si>
  <si>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</si>
  <si>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</si>
  <si>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</si>
  <si>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</si>
  <si>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</si>
  <si>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</si>
  <si>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</si>
  <si>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</si>
  <si>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</si>
  <si>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</si>
  <si>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</si>
  <si>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</si>
  <si>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</si>
  <si>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</si>
  <si>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</si>
  <si>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</si>
  <si>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</si>
  <si>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</si>
  <si>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</si>
  <si>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</si>
  <si>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</si>
  <si>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</si>
  <si>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</si>
  <si>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</si>
  <si>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</si>
  <si>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</si>
  <si>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</si>
  <si>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</si>
  <si>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</si>
  <si>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</si>
  <si>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</si>
  <si>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</si>
  <si>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</si>
  <si>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</si>
  <si>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</si>
  <si>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</si>
  <si>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</si>
  <si>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</si>
  <si>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</si>
  <si>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</si>
  <si>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</si>
  <si>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</si>
  <si>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</si>
  <si>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</si>
  <si>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</si>
  <si>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</si>
  <si>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</si>
  <si>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</si>
  <si>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</si>
  <si>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</si>
  <si>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</si>
  <si>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</si>
  <si>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</si>
  <si>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</si>
  <si>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</si>
  <si>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</si>
  <si>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</si>
  <si>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</si>
  <si>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</si>
  <si>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</si>
  <si>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</si>
  <si>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</si>
  <si>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</si>
  <si>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</si>
  <si>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</si>
  <si>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</si>
  <si>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</si>
  <si>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</si>
  <si>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</si>
  <si>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</si>
  <si>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</si>
  <si>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</si>
  <si>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</si>
  <si>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</si>
  <si>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</si>
  <si>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</si>
  <si>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</si>
  <si>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</si>
  <si>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</si>
  <si>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</si>
  <si>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</si>
  <si>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</si>
  <si>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</si>
  <si>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</si>
  <si>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</si>
  <si>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</si>
  <si>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</si>
  <si>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</si>
  <si>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</si>
  <si>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</si>
  <si>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</si>
  <si>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</si>
  <si>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</si>
  <si>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</si>
  <si>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</si>
  <si>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</si>
  <si>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</si>
  <si>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</si>
  <si>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</si>
  <si>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</si>
  <si>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</si>
  <si>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</si>
  <si>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</si>
  <si>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</si>
  <si>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</si>
  <si>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</si>
  <si>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</si>
  <si>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</si>
  <si>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</si>
  <si>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</si>
  <si>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</si>
  <si>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</si>
  <si>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</si>
  <si>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</si>
  <si>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</si>
  <si>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</si>
  <si>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</si>
  <si>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</si>
  <si>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</si>
  <si>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</si>
  <si>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</si>
  <si>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</si>
  <si>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</si>
  <si>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</si>
  <si>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</si>
  <si>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</si>
  <si>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</si>
  <si>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</si>
  <si>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</si>
  <si>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</si>
  <si>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</si>
  <si>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</si>
  <si>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</si>
  <si>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</si>
  <si>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</si>
  <si>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</si>
  <si>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</si>
  <si>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</si>
  <si>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</si>
  <si>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</si>
  <si>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</si>
  <si>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</si>
  <si>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</si>
  <si>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</si>
  <si>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</si>
  <si>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</si>
  <si>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</si>
  <si>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</si>
  <si>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</si>
  <si>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</si>
  <si>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</si>
  <si>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</si>
  <si>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</si>
  <si>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</si>
  <si>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</si>
  <si>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</si>
  <si>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</si>
  <si>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</si>
  <si>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</si>
  <si>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</si>
  <si>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</si>
  <si>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</si>
  <si>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</si>
  <si>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</si>
  <si>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</si>
  <si>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</si>
  <si>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</si>
  <si>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</si>
  <si>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</si>
  <si>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</si>
  <si>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</si>
  <si>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</si>
  <si>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</si>
  <si>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</si>
  <si>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</si>
  <si>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</si>
  <si>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</si>
  <si>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</si>
  <si>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</si>
  <si>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</si>
  <si>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</si>
  <si>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</si>
  <si>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</si>
  <si>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</si>
  <si>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</si>
  <si>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</si>
  <si>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</si>
  <si>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1.6x</t>
  </si>
  <si>
    <t>$33.6B</t>
  </si>
  <si>
    <t>93.0x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</si>
  <si>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</si>
  <si>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</si>
  <si>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</si>
  <si>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$32.7B</t>
  </si>
  <si>
    <t>90.7x</t>
  </si>
  <si>
    <t>$17.7B</t>
  </si>
  <si>
    <t>31.8x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</si>
  <si>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</si>
  <si>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</si>
  <si>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</si>
  <si>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</si>
  <si>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IPX</t>
  </si>
  <si>
    <t>2.4x</t>
  </si>
  <si>
    <t>$6.8B</t>
  </si>
  <si>
    <t>1.0850000381469727</t>
  </si>
  <si>
    <t>$6.2B</t>
  </si>
  <si>
    <t>5.8x</t>
  </si>
  <si>
    <t>138.0787811279297</t>
  </si>
  <si>
    <t>$281.7B</t>
  </si>
  <si>
    <t>9.8x</t>
  </si>
  <si>
    <t>2.069999933242798</t>
  </si>
  <si>
    <t>$2.8B</t>
  </si>
  <si>
    <t>$-80.3M</t>
  </si>
  <si>
    <t>$-71.2M</t>
  </si>
  <si>
    <t>2.7118873596191406</t>
  </si>
  <si>
    <t>9.3x</t>
  </si>
  <si>
    <t>5.286162853240967</t>
  </si>
  <si>
    <t>$6.1B</t>
  </si>
  <si>
    <t>29.3x</t>
  </si>
  <si>
    <t>3.2520806789398193</t>
  </si>
  <si>
    <t>13.4x</t>
  </si>
  <si>
    <t>4.5412116050720215</t>
  </si>
  <si>
    <t>$7.0B</t>
  </si>
  <si>
    <t>47.7x</t>
  </si>
  <si>
    <t>14.930000305175781</t>
  </si>
  <si>
    <t>$12.7B</t>
  </si>
  <si>
    <t>22.4x</t>
  </si>
  <si>
    <t>303.4x</t>
  </si>
  <si>
    <t>1.9743386507034302</t>
  </si>
  <si>
    <t>$9.1B</t>
  </si>
  <si>
    <t>68.2x</t>
  </si>
  <si>
    <t>3.7949135303497314</t>
  </si>
  <si>
    <t>$4.5B</t>
  </si>
  <si>
    <t>35.0x</t>
  </si>
  <si>
    <t>11.760043144226074</t>
  </si>
  <si>
    <t>23.9x</t>
  </si>
  <si>
    <t>4.910505771636963</t>
  </si>
  <si>
    <t>$5.0B</t>
  </si>
  <si>
    <t>17.9x</t>
  </si>
  <si>
    <t>4.103834629058838</t>
  </si>
  <si>
    <t>$13.3B</t>
  </si>
  <si>
    <t>31.222185134887695</t>
  </si>
  <si>
    <t>5.131622314453125</t>
  </si>
  <si>
    <t>23.4x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</si>
</sst>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8" fontId="20"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723</v>
      </c>
    </row>
    <row r="2" spans="1:2" x14ac:dyDescent="0.25">
      <c r="A2" t="s">
        <v>709</v>
      </c>
      <c r="B2" s="15" t="s">
        <v>710</v>
      </c>
    </row>
    <row r="3" spans="1:2" x14ac:dyDescent="0.25">
      <c r="A3" t="s">
        <v>711</v>
      </c>
      <c r="B3" s="15">
        <v>15</v>
      </c>
    </row>
    <row r="4" spans="1:2" x14ac:dyDescent="0.25">
      <c r="A4" t="s">
        <v>712</v>
      </c>
      <c r="B4" s="15" t="s">
        <v>713</v>
      </c>
    </row>
    <row r="5" spans="1:2" x14ac:dyDescent="0.25">
      <c r="A5" t="s">
        <v>714</v>
      </c>
      <c r="B5" s="15" t="s">
        <v>715</v>
      </c>
    </row>
    <row r="6" spans="1:2" x14ac:dyDescent="0.25">
      <c r="A6" t="s">
        <v>716</v>
      </c>
      <c r="B6" s="15" t="s">
        <v>717</v>
      </c>
    </row>
    <row r="7" spans="1:2" x14ac:dyDescent="0.25">
      <c r="A7" t="s">
        <v>718</v>
      </c>
      <c r="B7" s="15">
        <v>2.46</v>
      </c>
    </row>
    <row r="8" spans="1:2" x14ac:dyDescent="0.25">
      <c r="A8" t="s">
        <v>719</v>
      </c>
      <c r="B8" s="15" t="s">
        <v>720</v>
      </c>
    </row>
    <row r="9" spans="1:2" x14ac:dyDescent="0.25">
      <c r="A9" t="s">
        <v>721</v>
      </c>
      <c r="B9" s="15" t="s">
        <v>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E2" activeCellId="1" sqref="B2:B16 E2:E1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705</v>
      </c>
      <c r="E1" s="1" t="s">
        <v>3</v>
      </c>
      <c r="F1" s="1" t="s">
        <v>765</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378</v>
      </c>
      <c r="B2" t="s">
        <v>725</v>
      </c>
      <c r="C2" t="s">
        <v>28</v>
      </c>
      <c r="D2" s="11">
        <v>3.37</v>
      </c>
      <c r="E2" s="4">
        <v>4.8099999999999996</v>
      </c>
      <c r="F2">
        <f>(E2/D2-1)*100</f>
        <v>42.729970326409486</v>
      </c>
      <c r="G2" s="24" t="s">
        <v>791</v>
      </c>
      <c r="H2" s="4">
        <v>4.8600000000000003</v>
      </c>
      <c r="I2" s="4">
        <v>1.085</v>
      </c>
      <c r="J2" t="s">
        <v>792</v>
      </c>
      <c r="L2" t="s">
        <v>726</v>
      </c>
      <c r="M2" t="s">
        <v>737</v>
      </c>
      <c r="N2" s="3">
        <v>0</v>
      </c>
      <c r="O2" t="s">
        <v>793</v>
      </c>
      <c r="Q2" t="s">
        <v>738</v>
      </c>
      <c r="R2" s="3">
        <v>3.4159999999999999</v>
      </c>
      <c r="T2" t="s">
        <v>739</v>
      </c>
      <c r="U2" s="3">
        <v>7.4999999999999997E-2</v>
      </c>
      <c r="V2" s="3">
        <v>0.215</v>
      </c>
      <c r="X2" s="3">
        <v>0.14399999999999999</v>
      </c>
    </row>
    <row r="3" spans="1:24" x14ac:dyDescent="0.25">
      <c r="A3" t="s">
        <v>217</v>
      </c>
      <c r="B3" t="s">
        <v>602</v>
      </c>
      <c r="C3" t="s">
        <v>28</v>
      </c>
      <c r="D3">
        <v>169.66</v>
      </c>
      <c r="E3" s="4">
        <v>168.34</v>
      </c>
      <c r="F3">
        <f t="shared" ref="F3:F16" si="0">(E3/D3-1)*100</f>
        <v>-0.77802664151832568</v>
      </c>
      <c r="G3" s="24" t="s">
        <v>794</v>
      </c>
      <c r="H3" s="4">
        <v>189.08</v>
      </c>
      <c r="I3" s="4">
        <v>132.11000000000001</v>
      </c>
      <c r="J3" t="s">
        <v>795</v>
      </c>
      <c r="K3" s="3">
        <v>1</v>
      </c>
      <c r="L3" t="s">
        <v>703</v>
      </c>
      <c r="M3" t="s">
        <v>733</v>
      </c>
      <c r="N3" s="3">
        <v>2.9000000000000001E-2</v>
      </c>
      <c r="O3" t="s">
        <v>796</v>
      </c>
      <c r="Q3" t="s">
        <v>734</v>
      </c>
      <c r="R3" s="3">
        <v>2.758</v>
      </c>
      <c r="T3" t="s">
        <v>735</v>
      </c>
      <c r="U3" s="3">
        <v>0.35399999999999998</v>
      </c>
      <c r="V3" s="3">
        <v>0.38900000000000001</v>
      </c>
      <c r="W3" s="3">
        <v>8.2000000000000003E-2</v>
      </c>
      <c r="X3" s="3">
        <v>0.13300000000000001</v>
      </c>
    </row>
    <row r="4" spans="1:24" x14ac:dyDescent="0.25">
      <c r="A4" t="s">
        <v>785</v>
      </c>
      <c r="B4" t="s">
        <v>788</v>
      </c>
      <c r="C4" t="s">
        <v>631</v>
      </c>
      <c r="D4">
        <v>7.7</v>
      </c>
      <c r="E4" s="4">
        <v>8.1999999999999993</v>
      </c>
      <c r="F4">
        <f t="shared" si="0"/>
        <v>6.4935064935064846</v>
      </c>
      <c r="G4" s="24" t="s">
        <v>797</v>
      </c>
      <c r="H4" s="4">
        <v>8.5</v>
      </c>
      <c r="I4" s="4">
        <v>2.0699999999999998</v>
      </c>
      <c r="J4" t="s">
        <v>798</v>
      </c>
      <c r="L4" t="s">
        <v>786</v>
      </c>
      <c r="N4" s="3">
        <v>0</v>
      </c>
      <c r="Q4" t="s">
        <v>799</v>
      </c>
      <c r="R4" s="3">
        <v>4.2999999999999997E-2</v>
      </c>
      <c r="S4" s="3">
        <v>7.0000000000000007E-2</v>
      </c>
      <c r="T4" t="s">
        <v>800</v>
      </c>
      <c r="U4" s="3">
        <v>-5.8010000000000002</v>
      </c>
      <c r="V4" s="3">
        <v>3.7549999999999999</v>
      </c>
      <c r="X4" s="3">
        <v>-0.49199999999999999</v>
      </c>
    </row>
    <row r="5" spans="1:24" x14ac:dyDescent="0.25">
      <c r="A5" t="s">
        <v>220</v>
      </c>
      <c r="B5" t="s">
        <v>603</v>
      </c>
      <c r="C5" t="s">
        <v>42</v>
      </c>
      <c r="D5">
        <v>3.06</v>
      </c>
      <c r="E5" s="4">
        <v>3.43</v>
      </c>
      <c r="F5">
        <f t="shared" si="0"/>
        <v>12.091503267973858</v>
      </c>
      <c r="G5" s="24" t="s">
        <v>801</v>
      </c>
      <c r="H5" s="4">
        <v>3.55</v>
      </c>
      <c r="I5" s="4">
        <v>2.67</v>
      </c>
      <c r="J5" t="s">
        <v>740</v>
      </c>
      <c r="K5" s="3">
        <v>0</v>
      </c>
      <c r="L5" t="s">
        <v>221</v>
      </c>
      <c r="M5" t="s">
        <v>727</v>
      </c>
      <c r="N5" s="3">
        <v>4.8000000000000001E-2</v>
      </c>
      <c r="O5" t="s">
        <v>802</v>
      </c>
      <c r="Q5" t="s">
        <v>728</v>
      </c>
      <c r="R5" s="3">
        <v>0.54600000000000004</v>
      </c>
      <c r="S5" s="3">
        <v>2E-3</v>
      </c>
      <c r="T5" t="s">
        <v>729</v>
      </c>
      <c r="U5" s="3">
        <v>0.56999999999999995</v>
      </c>
      <c r="V5" s="3">
        <v>4.7E-2</v>
      </c>
      <c r="W5" s="3">
        <v>-0.29499999999999998</v>
      </c>
      <c r="X5" s="3">
        <v>5.3999999999999999E-2</v>
      </c>
    </row>
    <row r="6" spans="1:24" x14ac:dyDescent="0.25">
      <c r="A6" t="s">
        <v>222</v>
      </c>
      <c r="B6" t="s">
        <v>604</v>
      </c>
      <c r="C6" t="s">
        <v>28</v>
      </c>
      <c r="D6">
        <v>7.17</v>
      </c>
      <c r="E6" s="4">
        <v>8.83</v>
      </c>
      <c r="F6">
        <f t="shared" si="0"/>
        <v>23.152022315202238</v>
      </c>
      <c r="G6" s="24" t="s">
        <v>803</v>
      </c>
      <c r="H6" s="4">
        <v>8.83</v>
      </c>
      <c r="I6" s="4">
        <v>5.12</v>
      </c>
      <c r="J6" t="s">
        <v>804</v>
      </c>
      <c r="K6" s="3">
        <v>1</v>
      </c>
      <c r="L6" t="s">
        <v>223</v>
      </c>
      <c r="M6" t="s">
        <v>741</v>
      </c>
      <c r="N6" s="3">
        <v>3.3000000000000002E-2</v>
      </c>
      <c r="O6" t="s">
        <v>789</v>
      </c>
      <c r="P6" t="s">
        <v>805</v>
      </c>
      <c r="Q6" t="s">
        <v>742</v>
      </c>
      <c r="R6" s="3">
        <v>2.1389999999999998</v>
      </c>
      <c r="T6" t="s">
        <v>743</v>
      </c>
      <c r="U6" s="3">
        <v>7.5999999999999998E-2</v>
      </c>
      <c r="V6" s="3">
        <v>0.218</v>
      </c>
      <c r="W6" s="3">
        <v>-5.8999999999999997E-2</v>
      </c>
      <c r="X6" s="3">
        <v>0.05</v>
      </c>
    </row>
    <row r="7" spans="1:24" x14ac:dyDescent="0.25">
      <c r="A7" t="s">
        <v>707</v>
      </c>
      <c r="B7" t="s">
        <v>605</v>
      </c>
      <c r="C7" t="s">
        <v>42</v>
      </c>
      <c r="D7">
        <v>3.64</v>
      </c>
      <c r="E7" s="4">
        <v>3.77</v>
      </c>
      <c r="F7">
        <f t="shared" si="0"/>
        <v>3.5714285714285587</v>
      </c>
      <c r="G7" s="24" t="s">
        <v>806</v>
      </c>
      <c r="H7" s="4">
        <v>3.8</v>
      </c>
      <c r="I7" s="4">
        <v>3.1</v>
      </c>
      <c r="J7" t="s">
        <v>777</v>
      </c>
      <c r="K7" s="3">
        <v>0</v>
      </c>
      <c r="L7" t="s">
        <v>225</v>
      </c>
      <c r="M7" t="s">
        <v>730</v>
      </c>
      <c r="N7" s="3">
        <v>0.05</v>
      </c>
      <c r="O7" t="s">
        <v>807</v>
      </c>
      <c r="Q7" t="s">
        <v>731</v>
      </c>
      <c r="R7" s="3">
        <v>0.28499999999999998</v>
      </c>
      <c r="S7" s="3">
        <v>3.0000000000000001E-3</v>
      </c>
      <c r="T7" t="s">
        <v>732</v>
      </c>
      <c r="U7" s="3">
        <v>1.306</v>
      </c>
      <c r="V7" s="3">
        <v>9.8000000000000004E-2</v>
      </c>
      <c r="W7" s="3">
        <v>-0.21099999999999999</v>
      </c>
      <c r="X7" s="3">
        <v>9.6000000000000002E-2</v>
      </c>
    </row>
    <row r="8" spans="1:24" x14ac:dyDescent="0.25">
      <c r="A8" t="s">
        <v>226</v>
      </c>
      <c r="B8" t="s">
        <v>606</v>
      </c>
      <c r="C8" t="s">
        <v>23</v>
      </c>
      <c r="D8">
        <v>5.19</v>
      </c>
      <c r="E8" s="4">
        <v>4.8</v>
      </c>
      <c r="F8">
        <f t="shared" si="0"/>
        <v>-7.5144508670520356</v>
      </c>
      <c r="G8" s="24" t="s">
        <v>808</v>
      </c>
      <c r="H8" s="4">
        <v>5.33</v>
      </c>
      <c r="I8" s="4">
        <v>4.17</v>
      </c>
      <c r="J8" t="s">
        <v>809</v>
      </c>
      <c r="K8" s="3">
        <v>0</v>
      </c>
      <c r="L8" t="s">
        <v>55</v>
      </c>
      <c r="M8" t="s">
        <v>760</v>
      </c>
      <c r="N8" s="3">
        <v>8.3000000000000004E-2</v>
      </c>
      <c r="O8" t="s">
        <v>810</v>
      </c>
      <c r="Q8" t="s">
        <v>761</v>
      </c>
      <c r="R8" s="3">
        <v>0.27800000000000002</v>
      </c>
      <c r="S8" s="3">
        <v>2.4E-2</v>
      </c>
      <c r="T8" t="s">
        <v>56</v>
      </c>
      <c r="U8" s="3">
        <v>1.524</v>
      </c>
      <c r="V8" s="3">
        <v>0.13200000000000001</v>
      </c>
      <c r="W8" s="3">
        <v>0.06</v>
      </c>
      <c r="X8" s="3">
        <v>3.7999999999999999E-2</v>
      </c>
    </row>
    <row r="9" spans="1:24" x14ac:dyDescent="0.25">
      <c r="A9" t="s">
        <v>379</v>
      </c>
      <c r="B9">
        <v>360</v>
      </c>
      <c r="C9" t="s">
        <v>752</v>
      </c>
      <c r="D9" s="11">
        <v>45.06</v>
      </c>
      <c r="E9" s="4">
        <v>54.38</v>
      </c>
      <c r="F9">
        <f t="shared" si="0"/>
        <v>20.683533067021752</v>
      </c>
      <c r="G9" s="24" t="s">
        <v>811</v>
      </c>
      <c r="H9" s="4">
        <v>55.87</v>
      </c>
      <c r="I9" s="4">
        <v>14.93</v>
      </c>
      <c r="J9" t="s">
        <v>812</v>
      </c>
      <c r="L9" t="s">
        <v>753</v>
      </c>
      <c r="M9" t="s">
        <v>754</v>
      </c>
      <c r="N9" s="3">
        <v>0</v>
      </c>
      <c r="O9" t="s">
        <v>813</v>
      </c>
      <c r="P9" t="s">
        <v>814</v>
      </c>
      <c r="Q9" t="s">
        <v>755</v>
      </c>
      <c r="R9" s="3">
        <v>0.84399999999999997</v>
      </c>
      <c r="S9" s="3">
        <v>7.0999999999999994E-2</v>
      </c>
      <c r="T9" t="s">
        <v>756</v>
      </c>
      <c r="U9" s="3">
        <v>6.5000000000000002E-2</v>
      </c>
      <c r="V9" s="3">
        <v>0.48799999999999999</v>
      </c>
      <c r="X9" s="3">
        <v>0.08</v>
      </c>
    </row>
    <row r="10" spans="1:24" x14ac:dyDescent="0.25">
      <c r="A10" t="s">
        <v>43</v>
      </c>
      <c r="B10" t="s">
        <v>607</v>
      </c>
      <c r="C10" t="s">
        <v>42</v>
      </c>
      <c r="D10">
        <v>2.2999999999999998</v>
      </c>
      <c r="E10" s="4">
        <v>2.2999999999999998</v>
      </c>
      <c r="F10">
        <f t="shared" si="0"/>
        <v>0</v>
      </c>
      <c r="G10" s="24" t="s">
        <v>815</v>
      </c>
      <c r="H10" s="4">
        <v>2.42</v>
      </c>
      <c r="I10" s="4">
        <v>1.7749999999999999</v>
      </c>
      <c r="J10" t="s">
        <v>816</v>
      </c>
      <c r="K10" s="3">
        <v>0</v>
      </c>
      <c r="L10" t="s">
        <v>45</v>
      </c>
      <c r="M10" t="s">
        <v>744</v>
      </c>
      <c r="N10" s="3">
        <v>3.9E-2</v>
      </c>
      <c r="O10" t="s">
        <v>766</v>
      </c>
      <c r="P10" t="s">
        <v>817</v>
      </c>
      <c r="Q10" t="s">
        <v>745</v>
      </c>
      <c r="R10" s="3">
        <v>0.502</v>
      </c>
      <c r="S10" s="3">
        <v>0.01</v>
      </c>
      <c r="T10" t="s">
        <v>746</v>
      </c>
      <c r="U10" s="3">
        <v>2.8000000000000001E-2</v>
      </c>
      <c r="V10" s="3">
        <v>2.3E-2</v>
      </c>
      <c r="W10" s="3">
        <v>-0.57799999999999996</v>
      </c>
      <c r="X10" s="3">
        <v>7.0000000000000001E-3</v>
      </c>
    </row>
    <row r="11" spans="1:24" x14ac:dyDescent="0.25">
      <c r="A11" t="s">
        <v>38</v>
      </c>
      <c r="B11" t="s">
        <v>608</v>
      </c>
      <c r="C11" t="s">
        <v>23</v>
      </c>
      <c r="D11">
        <v>4.34</v>
      </c>
      <c r="E11" s="4">
        <v>5.39</v>
      </c>
      <c r="F11">
        <f t="shared" si="0"/>
        <v>24.193548387096776</v>
      </c>
      <c r="G11" s="24" t="s">
        <v>818</v>
      </c>
      <c r="H11" s="4">
        <v>5.51</v>
      </c>
      <c r="I11" s="4">
        <v>2.94</v>
      </c>
      <c r="J11" t="s">
        <v>819</v>
      </c>
      <c r="K11" s="3">
        <v>0.9</v>
      </c>
      <c r="L11" t="s">
        <v>778</v>
      </c>
      <c r="M11" t="s">
        <v>747</v>
      </c>
      <c r="N11" s="3">
        <v>0.04</v>
      </c>
      <c r="O11" t="s">
        <v>767</v>
      </c>
      <c r="P11" t="s">
        <v>820</v>
      </c>
      <c r="Q11" t="s">
        <v>748</v>
      </c>
      <c r="R11" s="3">
        <v>1.5249999999999999</v>
      </c>
      <c r="S11" s="3">
        <v>0.01</v>
      </c>
      <c r="T11" t="s">
        <v>40</v>
      </c>
      <c r="U11" s="3">
        <v>4.2000000000000003E-2</v>
      </c>
      <c r="V11" s="3">
        <v>0.10299999999999999</v>
      </c>
      <c r="X11" s="3">
        <v>0.42899999999999999</v>
      </c>
    </row>
    <row r="12" spans="1:24" x14ac:dyDescent="0.25">
      <c r="A12" t="s">
        <v>34</v>
      </c>
      <c r="B12" t="s">
        <v>609</v>
      </c>
      <c r="C12" t="s">
        <v>36</v>
      </c>
      <c r="D12">
        <v>12.37</v>
      </c>
      <c r="E12" s="4">
        <v>13.23</v>
      </c>
      <c r="F12">
        <f t="shared" si="0"/>
        <v>6.9523039611964599</v>
      </c>
      <c r="G12" s="24" t="s">
        <v>821</v>
      </c>
      <c r="H12" s="4">
        <v>17.7</v>
      </c>
      <c r="I12" s="4">
        <v>10.31</v>
      </c>
      <c r="J12" t="s">
        <v>740</v>
      </c>
      <c r="K12" s="3">
        <v>1</v>
      </c>
      <c r="L12" t="s">
        <v>37</v>
      </c>
      <c r="M12" t="s">
        <v>762</v>
      </c>
      <c r="N12" s="3">
        <v>2.9000000000000001E-2</v>
      </c>
      <c r="O12" t="s">
        <v>640</v>
      </c>
      <c r="P12" t="s">
        <v>822</v>
      </c>
      <c r="Q12" t="s">
        <v>763</v>
      </c>
      <c r="R12" s="3">
        <v>1.3839999999999999</v>
      </c>
      <c r="S12" s="3">
        <v>3.0000000000000001E-3</v>
      </c>
      <c r="T12" t="s">
        <v>764</v>
      </c>
      <c r="U12" s="3">
        <v>2.7E-2</v>
      </c>
      <c r="V12" s="3">
        <v>0.128</v>
      </c>
      <c r="W12" s="3">
        <v>-0.14799999999999999</v>
      </c>
      <c r="X12" s="3">
        <v>3.5000000000000003E-2</v>
      </c>
    </row>
    <row r="13" spans="1:24" x14ac:dyDescent="0.25">
      <c r="A13" t="s">
        <v>21</v>
      </c>
      <c r="B13" t="s">
        <v>610</v>
      </c>
      <c r="C13" t="s">
        <v>23</v>
      </c>
      <c r="D13">
        <v>4.58</v>
      </c>
      <c r="E13" s="4">
        <v>7.5</v>
      </c>
      <c r="F13">
        <f t="shared" si="0"/>
        <v>63.755458515283834</v>
      </c>
      <c r="G13" s="24" t="s">
        <v>823</v>
      </c>
      <c r="H13" s="4">
        <v>7.61</v>
      </c>
      <c r="I13" s="4">
        <v>4.84</v>
      </c>
      <c r="J13" t="s">
        <v>824</v>
      </c>
      <c r="K13" s="3">
        <v>1</v>
      </c>
      <c r="L13" t="s">
        <v>24</v>
      </c>
      <c r="M13" t="s">
        <v>749</v>
      </c>
      <c r="N13" s="3">
        <v>3.3000000000000002E-2</v>
      </c>
      <c r="O13" t="s">
        <v>685</v>
      </c>
      <c r="P13" t="s">
        <v>825</v>
      </c>
      <c r="Q13" t="s">
        <v>750</v>
      </c>
      <c r="R13" s="3">
        <v>0.68600000000000005</v>
      </c>
      <c r="S13" s="3">
        <v>8.9999999999999993E-3</v>
      </c>
      <c r="T13" t="s">
        <v>751</v>
      </c>
      <c r="U13" s="3">
        <v>1.4E-2</v>
      </c>
      <c r="V13" s="3">
        <v>-1.4E-2</v>
      </c>
      <c r="W13" s="3">
        <v>-3.0000000000000001E-3</v>
      </c>
      <c r="X13" s="3">
        <v>6.6000000000000003E-2</v>
      </c>
    </row>
    <row r="14" spans="1:24" x14ac:dyDescent="0.25">
      <c r="A14" t="s">
        <v>26</v>
      </c>
      <c r="B14" t="s">
        <v>611</v>
      </c>
      <c r="C14" t="s">
        <v>28</v>
      </c>
      <c r="D14">
        <v>3.49</v>
      </c>
      <c r="E14" s="4">
        <v>4.83</v>
      </c>
      <c r="F14">
        <f t="shared" si="0"/>
        <v>38.395415472779362</v>
      </c>
      <c r="G14" s="24" t="s">
        <v>826</v>
      </c>
      <c r="H14" s="4">
        <v>5.2</v>
      </c>
      <c r="I14" s="4">
        <v>3.4</v>
      </c>
      <c r="J14" t="s">
        <v>827</v>
      </c>
      <c r="K14" s="3">
        <v>1</v>
      </c>
      <c r="L14" t="s">
        <v>29</v>
      </c>
      <c r="M14" t="s">
        <v>768</v>
      </c>
      <c r="N14" s="3">
        <v>3.6999999999999998E-2</v>
      </c>
      <c r="O14" t="s">
        <v>774</v>
      </c>
      <c r="Q14" t="s">
        <v>769</v>
      </c>
      <c r="R14" s="3">
        <v>8.8999999999999996E-2</v>
      </c>
      <c r="T14" t="s">
        <v>770</v>
      </c>
      <c r="U14" s="3">
        <v>6.2E-2</v>
      </c>
      <c r="V14" s="3">
        <v>4.7E-2</v>
      </c>
      <c r="W14" s="3">
        <v>8.3000000000000004E-2</v>
      </c>
      <c r="X14" s="3">
        <v>0.216</v>
      </c>
    </row>
    <row r="15" spans="1:24" x14ac:dyDescent="0.25">
      <c r="A15" t="s">
        <v>787</v>
      </c>
      <c r="B15" t="s">
        <v>612</v>
      </c>
      <c r="C15" t="s">
        <v>28</v>
      </c>
      <c r="D15">
        <v>28.81</v>
      </c>
      <c r="E15" s="4">
        <v>38.729999999999997</v>
      </c>
      <c r="F15">
        <f t="shared" si="0"/>
        <v>34.432488719194708</v>
      </c>
      <c r="G15" s="24" t="s">
        <v>828</v>
      </c>
      <c r="H15" s="4">
        <v>45.14</v>
      </c>
      <c r="I15" s="4">
        <v>30.88</v>
      </c>
      <c r="J15" t="s">
        <v>782</v>
      </c>
      <c r="K15" s="3">
        <v>1</v>
      </c>
      <c r="L15" t="s">
        <v>779</v>
      </c>
      <c r="M15" t="s">
        <v>228</v>
      </c>
      <c r="N15" s="3">
        <v>4.1000000000000002E-2</v>
      </c>
      <c r="O15" t="s">
        <v>783</v>
      </c>
      <c r="R15" s="3">
        <v>0.113</v>
      </c>
      <c r="S15" s="3">
        <v>1.4E-2</v>
      </c>
      <c r="T15" t="s">
        <v>229</v>
      </c>
      <c r="U15" s="3">
        <v>0.84199999999999997</v>
      </c>
      <c r="V15" s="3">
        <v>-0.214</v>
      </c>
      <c r="W15" s="3">
        <v>0.13800000000000001</v>
      </c>
      <c r="X15" s="3">
        <v>5.7000000000000002E-2</v>
      </c>
    </row>
    <row r="16" spans="1:24" x14ac:dyDescent="0.25">
      <c r="A16" t="s">
        <v>30</v>
      </c>
      <c r="B16" t="s">
        <v>613</v>
      </c>
      <c r="C16" t="s">
        <v>28</v>
      </c>
      <c r="D16">
        <v>5.41</v>
      </c>
      <c r="E16" s="4">
        <v>6.08</v>
      </c>
      <c r="F16">
        <f t="shared" si="0"/>
        <v>12.384473197781887</v>
      </c>
      <c r="G16" s="24" t="s">
        <v>829</v>
      </c>
      <c r="H16" s="4">
        <v>6.46</v>
      </c>
      <c r="I16" s="4">
        <v>5.13</v>
      </c>
      <c r="J16" t="s">
        <v>790</v>
      </c>
      <c r="K16" s="3">
        <v>1</v>
      </c>
      <c r="L16" t="s">
        <v>32</v>
      </c>
      <c r="M16" t="s">
        <v>771</v>
      </c>
      <c r="N16" s="3">
        <v>3.2000000000000001E-2</v>
      </c>
      <c r="O16" t="s">
        <v>766</v>
      </c>
      <c r="P16" t="s">
        <v>830</v>
      </c>
      <c r="Q16" t="s">
        <v>772</v>
      </c>
      <c r="R16" s="3">
        <v>0.68</v>
      </c>
      <c r="S16" s="3">
        <v>1.4E-2</v>
      </c>
      <c r="T16" t="s">
        <v>773</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topLeftCell="I1" workbookViewId="0">
      <selection activeCell="M10" sqref="M10"/>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784</v>
      </c>
      <c r="C2" s="11">
        <v>7.7</v>
      </c>
      <c r="D2" s="11" t="s">
        <v>624</v>
      </c>
      <c r="E2" t="s">
        <v>630</v>
      </c>
      <c r="F2" t="s">
        <v>625</v>
      </c>
      <c r="G2" t="s">
        <v>626</v>
      </c>
      <c r="H2" t="s">
        <v>785</v>
      </c>
      <c r="I2" t="s">
        <v>631</v>
      </c>
      <c r="J2" s="4">
        <v>8.1999999999999993</v>
      </c>
      <c r="K2" s="11">
        <f t="shared" ref="K2:K4" si="0">(J2/C2-1)*100</f>
        <v>6.4935064935064846</v>
      </c>
      <c r="L2" s="4">
        <v>8.5</v>
      </c>
      <c r="M2" s="4">
        <v>2.0699999999999998</v>
      </c>
      <c r="N2" t="s">
        <v>798</v>
      </c>
      <c r="P2" t="s">
        <v>786</v>
      </c>
      <c r="R2" s="3">
        <v>0</v>
      </c>
      <c r="U2" t="s">
        <v>799</v>
      </c>
      <c r="V2" s="3">
        <v>4.2999999999999997E-2</v>
      </c>
      <c r="W2" s="3">
        <v>7.0000000000000007E-2</v>
      </c>
      <c r="X2" t="s">
        <v>800</v>
      </c>
      <c r="Y2" s="3">
        <v>-5.8010000000000002</v>
      </c>
      <c r="Z2" s="3">
        <v>3.7549999999999999</v>
      </c>
      <c r="AB2" s="3">
        <v>-0.49199999999999999</v>
      </c>
    </row>
    <row r="3" spans="1:28" x14ac:dyDescent="0.25">
      <c r="A3" s="19">
        <v>45929</v>
      </c>
      <c r="B3" s="11" t="s">
        <v>98</v>
      </c>
      <c r="C3" s="11">
        <v>26.79</v>
      </c>
      <c r="D3" s="11" t="s">
        <v>623</v>
      </c>
      <c r="E3" t="s">
        <v>630</v>
      </c>
      <c r="F3" s="11" t="s">
        <v>704</v>
      </c>
      <c r="G3" t="s">
        <v>626</v>
      </c>
      <c r="H3" t="s">
        <v>218</v>
      </c>
      <c r="I3" t="s">
        <v>47</v>
      </c>
      <c r="J3" s="4">
        <v>26.79</v>
      </c>
      <c r="K3" s="23">
        <f t="shared" si="0"/>
        <v>0</v>
      </c>
      <c r="L3" s="4">
        <v>33.229999999999997</v>
      </c>
      <c r="M3" s="4">
        <v>26.61</v>
      </c>
      <c r="N3" t="s">
        <v>780</v>
      </c>
      <c r="O3" s="3">
        <v>1</v>
      </c>
      <c r="P3" t="s">
        <v>219</v>
      </c>
      <c r="Q3" t="s">
        <v>757</v>
      </c>
      <c r="R3" s="3">
        <v>3.1E-2</v>
      </c>
      <c r="S3" t="s">
        <v>685</v>
      </c>
      <c r="T3" t="s">
        <v>781</v>
      </c>
      <c r="U3" t="s">
        <v>758</v>
      </c>
      <c r="V3" s="3">
        <v>3.577</v>
      </c>
      <c r="W3" s="3">
        <v>6.0000000000000001E-3</v>
      </c>
      <c r="X3" t="s">
        <v>759</v>
      </c>
      <c r="Y3" s="3">
        <v>1.4E-2</v>
      </c>
      <c r="Z3" s="3">
        <v>4.2999999999999997E-2</v>
      </c>
      <c r="AA3" s="3">
        <v>-0.14599999999999999</v>
      </c>
      <c r="AB3" s="3">
        <v>0.188</v>
      </c>
    </row>
    <row r="4" spans="1:28" x14ac:dyDescent="0.25">
      <c r="A4" s="19">
        <v>45894</v>
      </c>
      <c r="B4" s="11" t="s">
        <v>82</v>
      </c>
      <c r="C4" s="11">
        <v>45.06</v>
      </c>
      <c r="D4" s="11" t="s">
        <v>624</v>
      </c>
      <c r="E4" t="s">
        <v>630</v>
      </c>
      <c r="F4" t="s">
        <v>625</v>
      </c>
      <c r="G4" t="s">
        <v>626</v>
      </c>
      <c r="H4" t="s">
        <v>379</v>
      </c>
      <c r="I4" t="s">
        <v>752</v>
      </c>
      <c r="J4" s="4">
        <v>54.38</v>
      </c>
      <c r="K4" s="23">
        <f t="shared" si="0"/>
        <v>20.683533067021752</v>
      </c>
      <c r="L4" s="4">
        <v>55.87</v>
      </c>
      <c r="M4" s="4">
        <v>14.93</v>
      </c>
      <c r="N4" t="s">
        <v>812</v>
      </c>
      <c r="P4" t="s">
        <v>753</v>
      </c>
      <c r="Q4" t="s">
        <v>754</v>
      </c>
      <c r="R4" s="3">
        <v>0</v>
      </c>
      <c r="S4" t="s">
        <v>813</v>
      </c>
      <c r="T4" t="s">
        <v>814</v>
      </c>
      <c r="U4" t="s">
        <v>755</v>
      </c>
      <c r="V4" s="3">
        <v>0.84399999999999997</v>
      </c>
      <c r="W4" s="3">
        <v>7.0999999999999994E-2</v>
      </c>
      <c r="X4" t="s">
        <v>756</v>
      </c>
      <c r="Y4" s="3">
        <v>6.5000000000000002E-2</v>
      </c>
      <c r="Z4" s="3">
        <v>0.48799999999999999</v>
      </c>
      <c r="AB4" s="3">
        <v>0.08</v>
      </c>
    </row>
    <row r="5" spans="1:28" x14ac:dyDescent="0.25">
      <c r="A5" s="19">
        <v>45894</v>
      </c>
      <c r="B5" t="s">
        <v>49</v>
      </c>
      <c r="C5" s="11">
        <v>2.83</v>
      </c>
      <c r="D5" s="11" t="s">
        <v>623</v>
      </c>
      <c r="E5" t="s">
        <v>630</v>
      </c>
      <c r="F5" s="11" t="s">
        <v>704</v>
      </c>
      <c r="G5" t="s">
        <v>626</v>
      </c>
      <c r="H5" t="s">
        <v>48</v>
      </c>
      <c r="I5" t="s">
        <v>47</v>
      </c>
      <c r="J5" s="11">
        <v>2.83</v>
      </c>
      <c r="K5" s="21">
        <f>(J5/C5-1)*100</f>
        <v>0</v>
      </c>
      <c r="L5" s="4">
        <v>3.9</v>
      </c>
      <c r="M5" s="4">
        <v>2.72</v>
      </c>
      <c r="N5" t="s">
        <v>614</v>
      </c>
      <c r="O5" s="3">
        <v>1</v>
      </c>
      <c r="P5" t="s">
        <v>50</v>
      </c>
      <c r="Q5" t="s">
        <v>51</v>
      </c>
      <c r="R5" s="3">
        <v>5.3999999999999999E-2</v>
      </c>
      <c r="S5" t="s">
        <v>25</v>
      </c>
      <c r="T5" t="s">
        <v>736</v>
      </c>
      <c r="U5" t="s">
        <v>52</v>
      </c>
      <c r="V5" s="3">
        <v>6.4219999999999997</v>
      </c>
      <c r="W5" s="3">
        <v>1.2999999999999999E-2</v>
      </c>
      <c r="X5" t="s">
        <v>53</v>
      </c>
      <c r="Y5" s="3">
        <v>2.8000000000000001E-2</v>
      </c>
      <c r="Z5" s="3">
        <v>6.9000000000000006E-2</v>
      </c>
      <c r="AA5" s="3">
        <v>6.7000000000000004E-2</v>
      </c>
      <c r="AB5" s="3">
        <v>0.38600000000000001</v>
      </c>
    </row>
    <row r="6" spans="1:28" x14ac:dyDescent="0.25">
      <c r="A6" s="19">
        <v>45879</v>
      </c>
      <c r="B6" s="11" t="s">
        <v>93</v>
      </c>
      <c r="C6" s="11">
        <v>3.37</v>
      </c>
      <c r="D6" s="11" t="s">
        <v>624</v>
      </c>
      <c r="E6" t="s">
        <v>630</v>
      </c>
      <c r="F6" t="s">
        <v>625</v>
      </c>
      <c r="G6" t="s">
        <v>626</v>
      </c>
      <c r="H6" t="s">
        <v>378</v>
      </c>
      <c r="I6" t="s">
        <v>28</v>
      </c>
      <c r="J6" s="4">
        <v>4.8099999999999996</v>
      </c>
      <c r="K6" s="6">
        <f>(J6/C6-1)*100</f>
        <v>42.729970326409486</v>
      </c>
      <c r="L6" s="4">
        <v>4.8600000000000003</v>
      </c>
      <c r="M6" s="4">
        <v>1.085</v>
      </c>
      <c r="N6" t="s">
        <v>792</v>
      </c>
      <c r="P6" t="s">
        <v>726</v>
      </c>
      <c r="Q6" t="s">
        <v>737</v>
      </c>
      <c r="R6" s="3">
        <v>0</v>
      </c>
      <c r="S6" t="s">
        <v>793</v>
      </c>
      <c r="U6" t="s">
        <v>738</v>
      </c>
      <c r="V6" s="3">
        <v>3.4159999999999999</v>
      </c>
      <c r="X6" t="s">
        <v>739</v>
      </c>
      <c r="Y6" s="3">
        <v>7.4999999999999997E-2</v>
      </c>
      <c r="Z6" s="3">
        <v>0.215</v>
      </c>
      <c r="AB6" s="3">
        <v>0.14399999999999999</v>
      </c>
    </row>
    <row r="7" spans="1:28" x14ac:dyDescent="0.25">
      <c r="A7" s="12">
        <v>45872</v>
      </c>
      <c r="B7" t="s">
        <v>96</v>
      </c>
      <c r="C7" s="11">
        <v>1.7050000000000001</v>
      </c>
      <c r="D7" s="11" t="s">
        <v>623</v>
      </c>
      <c r="E7" t="s">
        <v>630</v>
      </c>
      <c r="F7" s="10" t="s">
        <v>704</v>
      </c>
      <c r="G7" t="s">
        <v>626</v>
      </c>
      <c r="H7" t="s">
        <v>212</v>
      </c>
      <c r="I7" t="s">
        <v>213</v>
      </c>
      <c r="J7" s="13">
        <v>1.7050000000000001</v>
      </c>
      <c r="K7" s="14">
        <v>0</v>
      </c>
      <c r="L7" s="4">
        <v>4.75</v>
      </c>
      <c r="M7" s="4">
        <v>1.68</v>
      </c>
      <c r="N7" t="s">
        <v>708</v>
      </c>
      <c r="P7" t="s">
        <v>214</v>
      </c>
      <c r="R7" s="3">
        <v>0</v>
      </c>
      <c r="U7" t="s">
        <v>215</v>
      </c>
      <c r="V7" s="3">
        <v>1E-3</v>
      </c>
      <c r="W7" s="3">
        <v>0.13900000000000001</v>
      </c>
      <c r="X7" t="s">
        <v>216</v>
      </c>
      <c r="Y7" s="3">
        <v>-0.47199999999999998</v>
      </c>
      <c r="AA7" s="3">
        <v>2.157</v>
      </c>
      <c r="AB7" s="3">
        <v>-4.4999999999999998E-2</v>
      </c>
    </row>
    <row r="8" spans="1:28" x14ac:dyDescent="0.25">
      <c r="A8" s="2">
        <v>45786</v>
      </c>
      <c r="B8" t="s">
        <v>96</v>
      </c>
      <c r="C8">
        <v>3.58</v>
      </c>
      <c r="D8" t="s">
        <v>624</v>
      </c>
      <c r="E8" t="s">
        <v>630</v>
      </c>
      <c r="F8" t="s">
        <v>625</v>
      </c>
      <c r="G8" t="s">
        <v>626</v>
      </c>
      <c r="H8" t="s">
        <v>212</v>
      </c>
      <c r="I8" t="s">
        <v>213</v>
      </c>
      <c r="J8" s="4">
        <v>1.71</v>
      </c>
      <c r="K8" s="6">
        <f t="shared" ref="K8:K28" si="1">(J8/C8-1)*100</f>
        <v>-52.234636871508378</v>
      </c>
      <c r="L8" s="4">
        <v>4.75</v>
      </c>
      <c r="M8" s="4">
        <v>1.68</v>
      </c>
      <c r="N8" t="s">
        <v>708</v>
      </c>
      <c r="P8" t="s">
        <v>214</v>
      </c>
      <c r="R8" s="3">
        <v>0</v>
      </c>
      <c r="U8" t="s">
        <v>215</v>
      </c>
      <c r="V8" s="3">
        <v>1E-3</v>
      </c>
      <c r="W8" s="3">
        <v>0.13900000000000001</v>
      </c>
      <c r="X8" t="s">
        <v>216</v>
      </c>
      <c r="Y8" s="3">
        <v>-0.47199999999999998</v>
      </c>
      <c r="AA8" s="3">
        <v>2.157</v>
      </c>
      <c r="AB8" s="3">
        <v>-4.4999999999999998E-2</v>
      </c>
    </row>
    <row r="9" spans="1:28" x14ac:dyDescent="0.25">
      <c r="A9" s="2">
        <v>45786</v>
      </c>
      <c r="B9" t="s">
        <v>97</v>
      </c>
      <c r="C9">
        <v>169.66</v>
      </c>
      <c r="D9" t="s">
        <v>624</v>
      </c>
      <c r="E9" t="s">
        <v>630</v>
      </c>
      <c r="F9" t="s">
        <v>625</v>
      </c>
      <c r="G9" t="s">
        <v>626</v>
      </c>
      <c r="H9" t="s">
        <v>217</v>
      </c>
      <c r="I9" t="s">
        <v>28</v>
      </c>
      <c r="J9" s="4">
        <v>168.34</v>
      </c>
      <c r="K9" s="6">
        <f t="shared" si="1"/>
        <v>-0.77802664151832568</v>
      </c>
      <c r="L9" s="4">
        <v>189.08</v>
      </c>
      <c r="M9" s="4">
        <v>132.11000000000001</v>
      </c>
      <c r="N9" t="s">
        <v>795</v>
      </c>
      <c r="O9" s="3">
        <v>1</v>
      </c>
      <c r="P9" t="s">
        <v>703</v>
      </c>
      <c r="Q9" t="s">
        <v>733</v>
      </c>
      <c r="R9" s="3">
        <v>2.9000000000000001E-2</v>
      </c>
      <c r="S9" t="s">
        <v>796</v>
      </c>
      <c r="U9" t="s">
        <v>734</v>
      </c>
      <c r="V9" s="3">
        <v>2.758</v>
      </c>
      <c r="X9" t="s">
        <v>735</v>
      </c>
      <c r="Y9" s="3">
        <v>0.35399999999999998</v>
      </c>
      <c r="Z9" s="3">
        <v>0.38900000000000001</v>
      </c>
      <c r="AA9" s="3">
        <v>8.2000000000000003E-2</v>
      </c>
      <c r="AB9" s="3">
        <v>0.13300000000000001</v>
      </c>
    </row>
    <row r="10" spans="1:28" x14ac:dyDescent="0.25">
      <c r="A10" s="2">
        <v>45786</v>
      </c>
      <c r="B10" t="s">
        <v>98</v>
      </c>
      <c r="C10">
        <v>32.68</v>
      </c>
      <c r="D10" t="s">
        <v>624</v>
      </c>
      <c r="E10" t="s">
        <v>630</v>
      </c>
      <c r="F10" t="s">
        <v>625</v>
      </c>
      <c r="G10" t="s">
        <v>626</v>
      </c>
      <c r="H10" t="s">
        <v>218</v>
      </c>
      <c r="I10" t="s">
        <v>47</v>
      </c>
      <c r="J10" s="4">
        <v>27.38</v>
      </c>
      <c r="K10" s="6">
        <f t="shared" si="1"/>
        <v>-16.217870257037948</v>
      </c>
      <c r="L10" s="4">
        <v>33.4</v>
      </c>
      <c r="M10" s="4">
        <v>27.08</v>
      </c>
      <c r="N10" t="s">
        <v>775</v>
      </c>
      <c r="O10" s="3">
        <v>1</v>
      </c>
      <c r="P10" t="s">
        <v>219</v>
      </c>
      <c r="Q10" t="s">
        <v>757</v>
      </c>
      <c r="R10" s="3">
        <v>3.1E-2</v>
      </c>
      <c r="S10" t="s">
        <v>685</v>
      </c>
      <c r="T10" t="s">
        <v>776</v>
      </c>
      <c r="U10" t="s">
        <v>758</v>
      </c>
      <c r="V10" s="3">
        <v>3.577</v>
      </c>
      <c r="W10" s="3">
        <v>6.0000000000000001E-3</v>
      </c>
      <c r="X10" t="s">
        <v>759</v>
      </c>
      <c r="Y10" s="3">
        <v>1.4E-2</v>
      </c>
      <c r="Z10" s="3">
        <v>4.2999999999999997E-2</v>
      </c>
      <c r="AA10" s="3">
        <v>-0.14599999999999999</v>
      </c>
      <c r="AB10" s="3">
        <v>0.188</v>
      </c>
    </row>
    <row r="11" spans="1:28" x14ac:dyDescent="0.25">
      <c r="A11" s="2">
        <v>45786</v>
      </c>
      <c r="B11" t="s">
        <v>99</v>
      </c>
      <c r="C11">
        <v>3.06</v>
      </c>
      <c r="D11" t="s">
        <v>624</v>
      </c>
      <c r="E11" t="s">
        <v>630</v>
      </c>
      <c r="F11" t="s">
        <v>625</v>
      </c>
      <c r="G11" t="s">
        <v>626</v>
      </c>
      <c r="H11" t="s">
        <v>220</v>
      </c>
      <c r="I11" t="s">
        <v>42</v>
      </c>
      <c r="J11" s="4">
        <v>3.43</v>
      </c>
      <c r="K11" s="6">
        <f t="shared" si="1"/>
        <v>12.091503267973858</v>
      </c>
      <c r="L11" s="4">
        <v>3.55</v>
      </c>
      <c r="M11" s="4">
        <v>2.67</v>
      </c>
      <c r="N11" t="s">
        <v>740</v>
      </c>
      <c r="O11" s="3">
        <v>0</v>
      </c>
      <c r="P11" t="s">
        <v>221</v>
      </c>
      <c r="Q11" t="s">
        <v>727</v>
      </c>
      <c r="R11" s="3">
        <v>4.8000000000000001E-2</v>
      </c>
      <c r="S11" t="s">
        <v>802</v>
      </c>
      <c r="U11" t="s">
        <v>728</v>
      </c>
      <c r="V11" s="3">
        <v>0.54600000000000004</v>
      </c>
      <c r="W11" s="3">
        <v>2E-3</v>
      </c>
      <c r="X11" t="s">
        <v>729</v>
      </c>
      <c r="Y11" s="3">
        <v>0.56999999999999995</v>
      </c>
      <c r="Z11" s="3">
        <v>4.7E-2</v>
      </c>
      <c r="AA11" s="3">
        <v>-0.29499999999999998</v>
      </c>
      <c r="AB11" s="3">
        <v>5.3999999999999999E-2</v>
      </c>
    </row>
    <row r="12" spans="1:28" x14ac:dyDescent="0.25">
      <c r="A12" s="2">
        <v>45786</v>
      </c>
      <c r="B12" t="s">
        <v>100</v>
      </c>
      <c r="C12">
        <v>7.17</v>
      </c>
      <c r="D12" t="s">
        <v>624</v>
      </c>
      <c r="E12" t="s">
        <v>630</v>
      </c>
      <c r="F12" t="s">
        <v>625</v>
      </c>
      <c r="G12" t="s">
        <v>626</v>
      </c>
      <c r="H12" t="s">
        <v>222</v>
      </c>
      <c r="I12" t="s">
        <v>28</v>
      </c>
      <c r="J12" s="4">
        <v>8.83</v>
      </c>
      <c r="K12" s="6">
        <f t="shared" si="1"/>
        <v>23.152022315202238</v>
      </c>
      <c r="L12" s="4">
        <v>8.83</v>
      </c>
      <c r="M12" s="4">
        <v>5.12</v>
      </c>
      <c r="N12" t="s">
        <v>804</v>
      </c>
      <c r="O12" s="3">
        <v>1</v>
      </c>
      <c r="P12" t="s">
        <v>223</v>
      </c>
      <c r="Q12" t="s">
        <v>741</v>
      </c>
      <c r="R12" s="3">
        <v>3.3000000000000002E-2</v>
      </c>
      <c r="S12" t="s">
        <v>789</v>
      </c>
      <c r="T12" t="s">
        <v>805</v>
      </c>
      <c r="U12" t="s">
        <v>742</v>
      </c>
      <c r="V12" s="3">
        <v>2.1389999999999998</v>
      </c>
      <c r="X12" t="s">
        <v>743</v>
      </c>
      <c r="Y12" s="3">
        <v>7.5999999999999998E-2</v>
      </c>
      <c r="Z12" s="3">
        <v>0.218</v>
      </c>
      <c r="AA12" s="3">
        <v>-5.8999999999999997E-2</v>
      </c>
      <c r="AB12" s="3">
        <v>0.05</v>
      </c>
    </row>
    <row r="13" spans="1:28" x14ac:dyDescent="0.25">
      <c r="A13" s="2">
        <v>45786</v>
      </c>
      <c r="B13" t="s">
        <v>101</v>
      </c>
      <c r="C13">
        <v>3.64</v>
      </c>
      <c r="D13" t="s">
        <v>624</v>
      </c>
      <c r="E13" t="s">
        <v>630</v>
      </c>
      <c r="F13" t="s">
        <v>625</v>
      </c>
      <c r="G13" t="s">
        <v>626</v>
      </c>
      <c r="H13" t="s">
        <v>707</v>
      </c>
      <c r="I13" t="s">
        <v>42</v>
      </c>
      <c r="J13" s="4">
        <v>3.77</v>
      </c>
      <c r="K13" s="6">
        <f t="shared" si="1"/>
        <v>3.5714285714285587</v>
      </c>
      <c r="L13" s="4">
        <v>3.8</v>
      </c>
      <c r="M13" s="4">
        <v>3.1</v>
      </c>
      <c r="N13" t="s">
        <v>777</v>
      </c>
      <c r="O13" s="3">
        <v>0</v>
      </c>
      <c r="P13" t="s">
        <v>225</v>
      </c>
      <c r="Q13" t="s">
        <v>730</v>
      </c>
      <c r="R13" s="3">
        <v>0.05</v>
      </c>
      <c r="S13" t="s">
        <v>807</v>
      </c>
      <c r="U13" t="s">
        <v>731</v>
      </c>
      <c r="V13" s="3">
        <v>0.28499999999999998</v>
      </c>
      <c r="W13" s="3">
        <v>3.0000000000000001E-3</v>
      </c>
      <c r="X13" t="s">
        <v>732</v>
      </c>
      <c r="Y13" s="3">
        <v>1.306</v>
      </c>
      <c r="Z13" s="3">
        <v>9.8000000000000004E-2</v>
      </c>
      <c r="AA13" s="3">
        <v>-0.21099999999999999</v>
      </c>
      <c r="AB13" s="3">
        <v>9.6000000000000002E-2</v>
      </c>
    </row>
    <row r="14" spans="1:28" x14ac:dyDescent="0.25">
      <c r="A14" s="2">
        <v>45786</v>
      </c>
      <c r="B14" t="s">
        <v>54</v>
      </c>
      <c r="C14">
        <v>5.19</v>
      </c>
      <c r="D14" t="s">
        <v>624</v>
      </c>
      <c r="E14" t="s">
        <v>630</v>
      </c>
      <c r="F14" t="s">
        <v>625</v>
      </c>
      <c r="G14" t="s">
        <v>626</v>
      </c>
      <c r="H14" t="s">
        <v>226</v>
      </c>
      <c r="I14" t="s">
        <v>23</v>
      </c>
      <c r="J14" s="4">
        <v>4.8</v>
      </c>
      <c r="K14" s="6">
        <f t="shared" si="1"/>
        <v>-7.5144508670520356</v>
      </c>
      <c r="L14" s="4">
        <v>5.33</v>
      </c>
      <c r="M14" s="4">
        <v>4.17</v>
      </c>
      <c r="N14" t="s">
        <v>809</v>
      </c>
      <c r="O14" s="3">
        <v>0</v>
      </c>
      <c r="P14" t="s">
        <v>55</v>
      </c>
      <c r="Q14" t="s">
        <v>760</v>
      </c>
      <c r="R14" s="3">
        <v>8.3000000000000004E-2</v>
      </c>
      <c r="S14" t="s">
        <v>810</v>
      </c>
      <c r="U14" t="s">
        <v>761</v>
      </c>
      <c r="V14" s="3">
        <v>0.27800000000000002</v>
      </c>
      <c r="W14" s="3">
        <v>2.4E-2</v>
      </c>
      <c r="X14" t="s">
        <v>56</v>
      </c>
      <c r="Y14" s="3">
        <v>1.524</v>
      </c>
      <c r="Z14" s="3">
        <v>0.13200000000000001</v>
      </c>
      <c r="AA14" s="3">
        <v>0.06</v>
      </c>
      <c r="AB14" s="3">
        <v>3.7999999999999999E-2</v>
      </c>
    </row>
    <row r="15" spans="1:28" x14ac:dyDescent="0.2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736</v>
      </c>
      <c r="U15" t="s">
        <v>52</v>
      </c>
      <c r="V15" s="3">
        <v>6.4219999999999997</v>
      </c>
      <c r="W15" s="3">
        <v>1.2999999999999999E-2</v>
      </c>
      <c r="X15" t="s">
        <v>53</v>
      </c>
      <c r="Y15" s="3">
        <v>2.8000000000000001E-2</v>
      </c>
      <c r="Z15" s="3">
        <v>6.9000000000000006E-2</v>
      </c>
      <c r="AA15" s="3">
        <v>6.7000000000000004E-2</v>
      </c>
      <c r="AB15" s="3">
        <v>0.38600000000000001</v>
      </c>
    </row>
    <row r="16" spans="1:28" x14ac:dyDescent="0.25">
      <c r="A16" s="2">
        <v>45786</v>
      </c>
      <c r="B16" t="s">
        <v>44</v>
      </c>
      <c r="C16">
        <v>2.2999999999999998</v>
      </c>
      <c r="D16" t="s">
        <v>624</v>
      </c>
      <c r="E16" t="s">
        <v>630</v>
      </c>
      <c r="F16" t="s">
        <v>625</v>
      </c>
      <c r="G16" t="s">
        <v>626</v>
      </c>
      <c r="H16" t="s">
        <v>43</v>
      </c>
      <c r="I16" t="s">
        <v>42</v>
      </c>
      <c r="J16" s="4">
        <v>2.2999999999999998</v>
      </c>
      <c r="K16" s="6">
        <f t="shared" si="1"/>
        <v>0</v>
      </c>
      <c r="L16" s="4">
        <v>2.42</v>
      </c>
      <c r="M16" s="4">
        <v>1.7749999999999999</v>
      </c>
      <c r="N16" t="s">
        <v>816</v>
      </c>
      <c r="O16" s="3">
        <v>0</v>
      </c>
      <c r="P16" t="s">
        <v>45</v>
      </c>
      <c r="Q16" t="s">
        <v>744</v>
      </c>
      <c r="R16" s="3">
        <v>3.9E-2</v>
      </c>
      <c r="S16" t="s">
        <v>766</v>
      </c>
      <c r="T16" t="s">
        <v>817</v>
      </c>
      <c r="U16" t="s">
        <v>745</v>
      </c>
      <c r="V16" s="3">
        <v>0.502</v>
      </c>
      <c r="W16" s="3">
        <v>0.01</v>
      </c>
      <c r="X16" t="s">
        <v>746</v>
      </c>
      <c r="Y16" s="3">
        <v>2.8000000000000001E-2</v>
      </c>
      <c r="Z16" s="3">
        <v>2.3E-2</v>
      </c>
      <c r="AA16" s="3">
        <v>-0.57799999999999996</v>
      </c>
      <c r="AB16" s="3">
        <v>7.0000000000000001E-3</v>
      </c>
    </row>
    <row r="17" spans="1:28" x14ac:dyDescent="0.25">
      <c r="A17" s="2">
        <v>45786</v>
      </c>
      <c r="B17" t="s">
        <v>39</v>
      </c>
      <c r="C17">
        <v>4.34</v>
      </c>
      <c r="D17" t="s">
        <v>624</v>
      </c>
      <c r="E17" t="s">
        <v>630</v>
      </c>
      <c r="F17" t="s">
        <v>625</v>
      </c>
      <c r="G17" t="s">
        <v>626</v>
      </c>
      <c r="H17" t="s">
        <v>38</v>
      </c>
      <c r="I17" t="s">
        <v>23</v>
      </c>
      <c r="J17" s="4">
        <v>5.39</v>
      </c>
      <c r="K17" s="6">
        <f t="shared" si="1"/>
        <v>24.193548387096776</v>
      </c>
      <c r="L17" s="4">
        <v>5.51</v>
      </c>
      <c r="M17" s="4">
        <v>2.94</v>
      </c>
      <c r="N17" t="s">
        <v>819</v>
      </c>
      <c r="O17" s="3">
        <v>0.9</v>
      </c>
      <c r="P17" t="s">
        <v>778</v>
      </c>
      <c r="Q17" t="s">
        <v>747</v>
      </c>
      <c r="R17" s="3">
        <v>0.04</v>
      </c>
      <c r="S17" t="s">
        <v>767</v>
      </c>
      <c r="T17" t="s">
        <v>820</v>
      </c>
      <c r="U17" t="s">
        <v>748</v>
      </c>
      <c r="V17" s="3">
        <v>1.5249999999999999</v>
      </c>
      <c r="W17" s="3">
        <v>0.01</v>
      </c>
      <c r="X17" t="s">
        <v>40</v>
      </c>
      <c r="Y17" s="3">
        <v>4.2000000000000003E-2</v>
      </c>
      <c r="Z17" s="3">
        <v>0.10299999999999999</v>
      </c>
      <c r="AB17" s="3">
        <v>0.42899999999999999</v>
      </c>
    </row>
    <row r="18" spans="1:28" x14ac:dyDescent="0.2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2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2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2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2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2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2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2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2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2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2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6" sqref="I26"/>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14.543126809514973</v>
      </c>
      <c r="B2">
        <v>3290.7297999999996</v>
      </c>
      <c r="C2">
        <f>COUNTA(Trades!$A$2:A1048576)</f>
        <v>381</v>
      </c>
      <c r="D2">
        <f>COUNTIF(Trades!$J$2:J895,"&gt;0")</f>
        <v>211</v>
      </c>
      <c r="E2">
        <f>AVERAGEIF(Trades!$J$2:J895,"&gt;0")*100</f>
        <v>45.707894222801457</v>
      </c>
      <c r="F2">
        <f>C2-D2</f>
        <v>170</v>
      </c>
      <c r="G2">
        <f>AVERAGEIF(Trades!$J$2:J895,"&lt;0")*100</f>
        <v>-14.08566497515038</v>
      </c>
      <c r="H2">
        <v>-20.95</v>
      </c>
      <c r="I2">
        <v>16.243285248552873</v>
      </c>
      <c r="J2">
        <v>5.1184900822517365</v>
      </c>
      <c r="K2">
        <v>-1.9409046113465722</v>
      </c>
      <c r="L2" s="6">
        <v>3.1971120000000002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9"/>
  <sheetViews>
    <sheetView tabSelected="1" topLeftCell="A1342" workbookViewId="0">
      <selection activeCell="C1363" sqref="C1363"/>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B1356-MAX(B20:B1356,100000)</f>
        <v>-17675.049999999814</v>
      </c>
      <c r="E1356">
        <f>D1356/MAX($B$2:B1356,100000)</f>
        <v>-5.2022618222536572E-3</v>
      </c>
    </row>
    <row r="1357" spans="1:5" x14ac:dyDescent="0.25">
      <c r="A1357" s="2">
        <v>45936</v>
      </c>
      <c r="B1357">
        <v>3356323.2</v>
      </c>
      <c r="C1357">
        <v>-33779.042599999972</v>
      </c>
      <c r="D1357">
        <f>B1357-MAX(B21:B1357,100000)</f>
        <v>-41247.049999999814</v>
      </c>
      <c r="E1357">
        <f>D1357/MAX($B$2:B1357,100000)</f>
        <v>-1.214016104597096E-2</v>
      </c>
    </row>
    <row r="1358" spans="1:5" x14ac:dyDescent="0.25">
      <c r="A1358" s="2">
        <v>45940</v>
      </c>
      <c r="B1358">
        <v>3370347.5</v>
      </c>
      <c r="C1358">
        <v>-33779.042599999972</v>
      </c>
      <c r="D1358">
        <f>B1358-MAX(B22:B1358,100000)</f>
        <v>-27222.75</v>
      </c>
      <c r="E1358">
        <f>D1358/MAX($B$2:B1358,100000)</f>
        <v>-8.0124171089619115E-3</v>
      </c>
    </row>
    <row r="1359" spans="1:5" x14ac:dyDescent="0.25">
      <c r="A1359" s="2">
        <v>45943</v>
      </c>
      <c r="B1359">
        <v>3329144.2</v>
      </c>
      <c r="C1359">
        <v>-33779.042599999972</v>
      </c>
      <c r="D1359">
        <f>B1359-MAX(B23:B1359,100000)</f>
        <v>-68426.049999999814</v>
      </c>
      <c r="E1359">
        <f>D1359/MAX($B$2:B1359,100000)</f>
        <v>-2.0139701305660954E-2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F2" sqref="F2"/>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366</v>
      </c>
      <c r="C1" s="1" t="s">
        <v>73</v>
      </c>
      <c r="D1" s="1" t="s">
        <v>69</v>
      </c>
      <c r="E1" s="1" t="s">
        <v>74</v>
      </c>
      <c r="F1" s="1" t="s">
        <v>75</v>
      </c>
      <c r="G1" s="1" t="s">
        <v>76</v>
      </c>
      <c r="H1" s="1" t="s">
        <v>77</v>
      </c>
      <c r="I1" s="1" t="s">
        <v>78</v>
      </c>
      <c r="J1" s="1" t="s">
        <v>79</v>
      </c>
      <c r="K1" s="1" t="s">
        <v>80</v>
      </c>
      <c r="N1" s="22"/>
      <c r="O1" s="22"/>
    </row>
    <row r="2" spans="1:30" x14ac:dyDescent="0.25">
      <c r="A2" s="11" t="s">
        <v>784</v>
      </c>
      <c r="B2" s="11" t="s">
        <v>785</v>
      </c>
      <c r="C2" s="11" t="s">
        <v>364</v>
      </c>
      <c r="D2" s="19">
        <v>45929</v>
      </c>
      <c r="E2" s="11">
        <v>7.63</v>
      </c>
      <c r="F2" s="19">
        <v>45940</v>
      </c>
      <c r="G2" s="4">
        <v>8.1999999999999993</v>
      </c>
      <c r="H2" s="3">
        <f t="shared" ref="H2" si="0">G2/E2-1</f>
        <v>7.4705111402359137E-2</v>
      </c>
      <c r="I2">
        <f t="shared" ref="I2" si="1">K2*E2*J2</f>
        <v>15737.419060000006</v>
      </c>
      <c r="J2" s="3">
        <f t="shared" ref="J2" si="2">H2-0.002</f>
        <v>7.2705111402359135E-2</v>
      </c>
      <c r="K2" s="11">
        <v>28369</v>
      </c>
      <c r="M2" s="4"/>
      <c r="N2" s="4"/>
      <c r="O2" s="22"/>
    </row>
    <row r="3" spans="1:30" x14ac:dyDescent="0.25">
      <c r="A3" t="s">
        <v>82</v>
      </c>
      <c r="B3" t="s">
        <v>379</v>
      </c>
      <c r="C3" t="s">
        <v>364</v>
      </c>
      <c r="D3" s="2">
        <v>45894</v>
      </c>
      <c r="E3">
        <v>46</v>
      </c>
      <c r="F3" s="19">
        <v>45940</v>
      </c>
      <c r="G3" s="4">
        <v>54.38</v>
      </c>
      <c r="H3" s="3">
        <f t="shared" ref="H3" si="3">G3/E3-1</f>
        <v>0.1821739130434783</v>
      </c>
      <c r="I3">
        <f t="shared" ref="I3" si="4">K3*E3*J3</f>
        <v>41415.136000000006</v>
      </c>
      <c r="J3" s="3">
        <f t="shared" ref="J3" si="5">H3-0.002</f>
        <v>0.1801739130434783</v>
      </c>
      <c r="K3">
        <v>4997</v>
      </c>
      <c r="M3" s="4"/>
      <c r="N3" s="4"/>
      <c r="O3" s="4"/>
    </row>
    <row r="4" spans="1:30" x14ac:dyDescent="0.25">
      <c r="A4" t="s">
        <v>93</v>
      </c>
      <c r="B4" t="s">
        <v>378</v>
      </c>
      <c r="C4" t="s">
        <v>364</v>
      </c>
      <c r="D4" s="2">
        <v>45880</v>
      </c>
      <c r="E4">
        <v>3.28</v>
      </c>
      <c r="F4" s="19">
        <v>45940</v>
      </c>
      <c r="G4" s="4">
        <v>4.8099999999999996</v>
      </c>
      <c r="H4" s="3">
        <f t="shared" ref="H4:H16" si="6">G4/E4-1</f>
        <v>0.4664634146341462</v>
      </c>
      <c r="I4">
        <f t="shared" ref="I4:I16" si="7">K4*E4*J4</f>
        <v>99468.444479999962</v>
      </c>
      <c r="J4" s="3">
        <f t="shared" ref="J4:J16" si="8">H4-0.002</f>
        <v>0.4644634146341462</v>
      </c>
      <c r="K4">
        <v>65292</v>
      </c>
      <c r="M4" s="4"/>
      <c r="N4" s="4"/>
      <c r="O4" s="4"/>
      <c r="AB4" s="3"/>
      <c r="AC4" s="3"/>
      <c r="AD4" s="3"/>
    </row>
    <row r="5" spans="1:30" x14ac:dyDescent="0.25">
      <c r="A5" t="s">
        <v>97</v>
      </c>
      <c r="B5" t="s">
        <v>217</v>
      </c>
      <c r="C5" t="s">
        <v>364</v>
      </c>
      <c r="D5" s="2">
        <v>45786</v>
      </c>
      <c r="E5">
        <v>169.28</v>
      </c>
      <c r="F5" s="19">
        <v>45940</v>
      </c>
      <c r="G5" s="4">
        <v>168.34</v>
      </c>
      <c r="H5" s="3">
        <f t="shared" si="6"/>
        <v>-5.5529300567107587E-3</v>
      </c>
      <c r="I5">
        <f t="shared" si="7"/>
        <v>-1501.0294399999968</v>
      </c>
      <c r="J5" s="3">
        <f t="shared" si="8"/>
        <v>-7.5529300567107587E-3</v>
      </c>
      <c r="K5">
        <v>1174</v>
      </c>
      <c r="M5" s="4"/>
      <c r="N5" s="4"/>
      <c r="O5" s="4"/>
      <c r="Q5" s="20"/>
      <c r="T5" s="3"/>
      <c r="V5" s="3"/>
      <c r="AB5" s="3"/>
      <c r="AC5" s="3"/>
      <c r="AD5" s="3"/>
    </row>
    <row r="6" spans="1:30" x14ac:dyDescent="0.25">
      <c r="A6" t="s">
        <v>99</v>
      </c>
      <c r="B6" t="s">
        <v>220</v>
      </c>
      <c r="C6" t="s">
        <v>364</v>
      </c>
      <c r="D6" s="2">
        <v>45786</v>
      </c>
      <c r="E6">
        <v>3.07</v>
      </c>
      <c r="F6" s="19">
        <v>45940</v>
      </c>
      <c r="G6" s="4">
        <v>3.43</v>
      </c>
      <c r="H6" s="3">
        <f t="shared" si="6"/>
        <v>0.11726384364820852</v>
      </c>
      <c r="I6">
        <f t="shared" si="7"/>
        <v>23211.446700000008</v>
      </c>
      <c r="J6" s="3">
        <f t="shared" si="8"/>
        <v>0.11526384364820852</v>
      </c>
      <c r="K6">
        <v>65595</v>
      </c>
      <c r="M6" s="4"/>
      <c r="N6" s="4"/>
      <c r="O6" s="4"/>
      <c r="Q6" s="17"/>
      <c r="T6" s="3"/>
      <c r="V6" s="3"/>
      <c r="AB6" s="3"/>
      <c r="AC6" s="3"/>
      <c r="AD6" s="3"/>
    </row>
    <row r="7" spans="1:30" x14ac:dyDescent="0.25">
      <c r="A7" t="s">
        <v>100</v>
      </c>
      <c r="B7" t="s">
        <v>222</v>
      </c>
      <c r="C7" t="s">
        <v>364</v>
      </c>
      <c r="D7" s="2">
        <v>45786</v>
      </c>
      <c r="E7">
        <v>7.23</v>
      </c>
      <c r="F7" s="19">
        <v>45940</v>
      </c>
      <c r="G7" s="4">
        <v>8.83</v>
      </c>
      <c r="H7" s="3">
        <f t="shared" si="6"/>
        <v>0.22130013831258633</v>
      </c>
      <c r="I7">
        <f t="shared" si="7"/>
        <v>43599.178919999977</v>
      </c>
      <c r="J7" s="3">
        <f t="shared" si="8"/>
        <v>0.21930013831258632</v>
      </c>
      <c r="K7">
        <v>27498</v>
      </c>
      <c r="M7" s="4"/>
      <c r="N7" s="4"/>
      <c r="O7" s="4"/>
      <c r="Q7" s="17"/>
      <c r="T7" s="3"/>
      <c r="V7" s="3"/>
      <c r="AB7" s="3"/>
      <c r="AC7" s="3"/>
      <c r="AD7" s="3"/>
    </row>
    <row r="8" spans="1:30" x14ac:dyDescent="0.25">
      <c r="A8" t="s">
        <v>101</v>
      </c>
      <c r="B8" t="s">
        <v>224</v>
      </c>
      <c r="C8" t="s">
        <v>364</v>
      </c>
      <c r="D8" s="2">
        <v>45786</v>
      </c>
      <c r="E8">
        <v>3.64</v>
      </c>
      <c r="F8" s="19">
        <v>45940</v>
      </c>
      <c r="G8" s="4">
        <v>3.77</v>
      </c>
      <c r="H8" s="3">
        <f t="shared" si="6"/>
        <v>3.5714285714285587E-2</v>
      </c>
      <c r="I8">
        <f t="shared" si="7"/>
        <v>6884.8374399999739</v>
      </c>
      <c r="J8" s="3">
        <f t="shared" si="8"/>
        <v>3.3714285714285586E-2</v>
      </c>
      <c r="K8">
        <v>56102</v>
      </c>
      <c r="M8" s="4"/>
      <c r="N8" s="4"/>
      <c r="O8" s="4"/>
      <c r="Q8" s="17"/>
      <c r="T8" s="3"/>
      <c r="V8" s="3"/>
      <c r="AB8" s="3"/>
      <c r="AC8" s="3"/>
      <c r="AD8" s="3"/>
    </row>
    <row r="9" spans="1:30" x14ac:dyDescent="0.25">
      <c r="A9" t="s">
        <v>54</v>
      </c>
      <c r="B9" t="s">
        <v>226</v>
      </c>
      <c r="C9" t="s">
        <v>364</v>
      </c>
      <c r="D9" s="2">
        <v>45786</v>
      </c>
      <c r="E9">
        <v>5.18</v>
      </c>
      <c r="F9" s="19">
        <v>45940</v>
      </c>
      <c r="G9" s="4">
        <v>4.8</v>
      </c>
      <c r="H9" s="3">
        <f t="shared" si="6"/>
        <v>-7.3359073359073323E-2</v>
      </c>
      <c r="I9">
        <f t="shared" si="7"/>
        <v>-14985.920399999992</v>
      </c>
      <c r="J9" s="3">
        <f t="shared" si="8"/>
        <v>-7.5359073359073325E-2</v>
      </c>
      <c r="K9">
        <v>38390</v>
      </c>
      <c r="M9" s="4"/>
      <c r="N9" s="4"/>
      <c r="O9" s="4"/>
      <c r="Q9" s="17"/>
      <c r="T9" s="3"/>
      <c r="V9" s="3"/>
      <c r="AB9" s="3"/>
      <c r="AC9" s="3"/>
      <c r="AD9" s="3"/>
    </row>
    <row r="10" spans="1:30" x14ac:dyDescent="0.25">
      <c r="A10" t="s">
        <v>44</v>
      </c>
      <c r="B10" t="s">
        <v>43</v>
      </c>
      <c r="C10" t="s">
        <v>364</v>
      </c>
      <c r="D10" s="2">
        <v>45786</v>
      </c>
      <c r="E10">
        <v>2.2999999999999998</v>
      </c>
      <c r="F10" s="19">
        <v>45940</v>
      </c>
      <c r="G10" s="4">
        <v>2.2999999999999998</v>
      </c>
      <c r="H10" s="3">
        <f t="shared" si="6"/>
        <v>0</v>
      </c>
      <c r="I10">
        <f t="shared" si="7"/>
        <v>-406.01899999999995</v>
      </c>
      <c r="J10" s="3">
        <f t="shared" si="8"/>
        <v>-2E-3</v>
      </c>
      <c r="K10">
        <v>88265</v>
      </c>
      <c r="M10" s="4"/>
      <c r="N10" s="4"/>
      <c r="O10" s="4"/>
      <c r="Q10" s="17"/>
      <c r="T10" s="3"/>
      <c r="V10" s="3"/>
      <c r="AB10" s="3"/>
      <c r="AC10" s="3"/>
      <c r="AD10" s="3"/>
    </row>
    <row r="11" spans="1:30" x14ac:dyDescent="0.25">
      <c r="A11" t="s">
        <v>39</v>
      </c>
      <c r="B11" t="s">
        <v>38</v>
      </c>
      <c r="C11" t="s">
        <v>364</v>
      </c>
      <c r="D11" s="2">
        <v>45786</v>
      </c>
      <c r="E11">
        <v>4.3499999999999996</v>
      </c>
      <c r="F11" s="19">
        <v>45940</v>
      </c>
      <c r="G11" s="4">
        <v>5.39</v>
      </c>
      <c r="H11" s="3">
        <f t="shared" si="6"/>
        <v>0.23908045977011505</v>
      </c>
      <c r="I11">
        <f t="shared" si="7"/>
        <v>47163.411600000014</v>
      </c>
      <c r="J11" s="3">
        <f t="shared" si="8"/>
        <v>0.23708045977011505</v>
      </c>
      <c r="K11">
        <v>45732</v>
      </c>
      <c r="M11" s="4"/>
      <c r="N11" s="4"/>
      <c r="O11" s="4"/>
      <c r="Q11" s="17"/>
      <c r="T11" s="3"/>
      <c r="V11" s="3"/>
      <c r="AB11" s="3"/>
      <c r="AC11" s="3"/>
      <c r="AD11" s="3"/>
    </row>
    <row r="12" spans="1:30" x14ac:dyDescent="0.25">
      <c r="A12" t="s">
        <v>35</v>
      </c>
      <c r="B12" t="s">
        <v>34</v>
      </c>
      <c r="C12" t="s">
        <v>364</v>
      </c>
      <c r="D12" s="2">
        <v>45709</v>
      </c>
      <c r="E12">
        <v>12.2315</v>
      </c>
      <c r="F12" s="19">
        <v>45940</v>
      </c>
      <c r="G12" s="4">
        <v>13.23</v>
      </c>
      <c r="H12" s="3">
        <f t="shared" si="6"/>
        <v>8.1633487307362085E-2</v>
      </c>
      <c r="I12">
        <f t="shared" si="7"/>
        <v>16008.298094999989</v>
      </c>
      <c r="J12" s="3">
        <f t="shared" si="8"/>
        <v>7.9633487307362083E-2</v>
      </c>
      <c r="K12">
        <v>16435</v>
      </c>
      <c r="M12" s="4"/>
      <c r="N12" s="4"/>
      <c r="O12" s="4"/>
      <c r="Q12" s="17"/>
      <c r="T12" s="3"/>
      <c r="V12" s="3"/>
      <c r="AB12" s="3"/>
      <c r="AC12" s="3"/>
      <c r="AD12" s="3"/>
    </row>
    <row r="13" spans="1:30" x14ac:dyDescent="0.25">
      <c r="A13" t="s">
        <v>22</v>
      </c>
      <c r="B13" t="s">
        <v>21</v>
      </c>
      <c r="C13" t="s">
        <v>364</v>
      </c>
      <c r="D13" s="2">
        <v>45128</v>
      </c>
      <c r="E13">
        <v>4.2682180000000001</v>
      </c>
      <c r="F13" s="19">
        <v>45940</v>
      </c>
      <c r="G13" s="4">
        <v>7.5</v>
      </c>
      <c r="H13" s="3">
        <f t="shared" si="6"/>
        <v>0.75717360266040767</v>
      </c>
      <c r="I13">
        <f t="shared" si="7"/>
        <v>105857.83081288802</v>
      </c>
      <c r="J13" s="3">
        <f t="shared" si="8"/>
        <v>0.75517360266040767</v>
      </c>
      <c r="K13">
        <v>32842</v>
      </c>
      <c r="M13" s="4"/>
      <c r="N13" s="4"/>
      <c r="O13" s="4"/>
      <c r="Q13" s="17"/>
      <c r="T13" s="3"/>
      <c r="V13" s="3"/>
      <c r="AB13" s="3"/>
      <c r="AC13" s="3"/>
      <c r="AD13" s="3"/>
    </row>
    <row r="14" spans="1:30" x14ac:dyDescent="0.25">
      <c r="A14" t="s">
        <v>27</v>
      </c>
      <c r="B14" t="s">
        <v>26</v>
      </c>
      <c r="C14" t="s">
        <v>364</v>
      </c>
      <c r="D14" s="2">
        <v>45037</v>
      </c>
      <c r="E14">
        <v>3.2149679999999998</v>
      </c>
      <c r="F14" s="19">
        <v>45940</v>
      </c>
      <c r="G14" s="4">
        <v>4.83</v>
      </c>
      <c r="H14" s="3">
        <f t="shared" si="6"/>
        <v>0.50234776831371275</v>
      </c>
      <c r="I14">
        <f t="shared" si="7"/>
        <v>71471.798305584016</v>
      </c>
      <c r="J14" s="3">
        <f t="shared" si="8"/>
        <v>0.50034776831371275</v>
      </c>
      <c r="K14">
        <v>44431</v>
      </c>
      <c r="M14" s="4"/>
      <c r="N14" s="4"/>
      <c r="O14" s="4"/>
      <c r="Q14" s="17"/>
      <c r="T14" s="3"/>
      <c r="V14" s="3"/>
      <c r="AB14" s="3"/>
      <c r="AC14" s="3"/>
      <c r="AD14" s="3"/>
    </row>
    <row r="15" spans="1:30" x14ac:dyDescent="0.25">
      <c r="A15" t="s">
        <v>90</v>
      </c>
      <c r="B15" t="s">
        <v>227</v>
      </c>
      <c r="C15" t="s">
        <v>364</v>
      </c>
      <c r="D15" s="2">
        <v>44876</v>
      </c>
      <c r="E15">
        <v>25.921890000000001</v>
      </c>
      <c r="F15" s="19">
        <v>45940</v>
      </c>
      <c r="G15" s="4">
        <v>38.729999999999997</v>
      </c>
      <c r="H15" s="3">
        <f t="shared" si="6"/>
        <v>0.49410401787832581</v>
      </c>
      <c r="I15">
        <f t="shared" si="7"/>
        <v>70593.17726147997</v>
      </c>
      <c r="J15" s="3">
        <f t="shared" si="8"/>
        <v>0.49210401787832581</v>
      </c>
      <c r="K15">
        <v>5534</v>
      </c>
      <c r="M15" s="4"/>
      <c r="N15" s="4"/>
      <c r="O15" s="4"/>
      <c r="Q15" s="17"/>
      <c r="T15" s="3"/>
      <c r="V15" s="3"/>
      <c r="AB15" s="3"/>
      <c r="AC15" s="3"/>
      <c r="AD15" s="3"/>
    </row>
    <row r="16" spans="1:30" x14ac:dyDescent="0.25">
      <c r="A16" t="s">
        <v>31</v>
      </c>
      <c r="B16" t="s">
        <v>30</v>
      </c>
      <c r="C16" t="s">
        <v>364</v>
      </c>
      <c r="D16" s="2">
        <v>44785</v>
      </c>
      <c r="E16">
        <v>4.9811699999999997</v>
      </c>
      <c r="F16" s="19">
        <v>45940</v>
      </c>
      <c r="G16" s="4">
        <v>6.08</v>
      </c>
      <c r="H16" s="3">
        <f t="shared" si="6"/>
        <v>0.22059676742612688</v>
      </c>
      <c r="I16">
        <f t="shared" si="7"/>
        <v>32650.785652760012</v>
      </c>
      <c r="J16" s="3">
        <f t="shared" si="8"/>
        <v>0.21859676742612688</v>
      </c>
      <c r="K16">
        <v>29986</v>
      </c>
      <c r="M16" s="4"/>
      <c r="N16" s="4"/>
      <c r="O16" s="4"/>
      <c r="Q16" s="17"/>
      <c r="T16" s="3"/>
      <c r="V16" s="3"/>
      <c r="AB16" s="3"/>
      <c r="AC16" s="3"/>
      <c r="AD16" s="3"/>
    </row>
    <row r="17" spans="1:30" x14ac:dyDescent="0.25">
      <c r="A17" t="s">
        <v>98</v>
      </c>
      <c r="B17" t="s">
        <v>218</v>
      </c>
      <c r="C17" t="s">
        <v>365</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49</v>
      </c>
      <c r="B18" t="s">
        <v>48</v>
      </c>
      <c r="C18" t="s">
        <v>365</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2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S19" sqref="S19"/>
    </sheetView>
  </sheetViews>
  <sheetFormatPr defaultRowHeight="15" x14ac:dyDescent="0.25"/>
  <cols>
    <col min="9" max="9" width="9.5703125" customWidth="1"/>
  </cols>
  <sheetData>
    <row r="1" spans="1:29" x14ac:dyDescent="0.25">
      <c r="A1" t="s">
        <v>230</v>
      </c>
      <c r="B1" t="s">
        <v>231</v>
      </c>
      <c r="C1" t="s">
        <v>232</v>
      </c>
      <c r="D1" t="s">
        <v>233</v>
      </c>
      <c r="E1" t="s">
        <v>234</v>
      </c>
      <c r="F1" t="s">
        <v>235</v>
      </c>
      <c r="G1" t="s">
        <v>236</v>
      </c>
      <c r="H1" t="s">
        <v>237</v>
      </c>
      <c r="I1" t="s">
        <v>238</v>
      </c>
      <c r="J1" t="s">
        <v>239</v>
      </c>
      <c r="K1" t="s">
        <v>240</v>
      </c>
      <c r="L1" t="s">
        <v>241</v>
      </c>
      <c r="M1" t="s">
        <v>242</v>
      </c>
      <c r="N1" t="s">
        <v>243</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t="s">
        <v>244</v>
      </c>
      <c r="L27" t="s">
        <v>244</v>
      </c>
      <c r="M27" t="s">
        <v>244</v>
      </c>
      <c r="N27" s="3">
        <v>7.7871289852302406E-2</v>
      </c>
      <c r="Q27" s="3"/>
      <c r="R27" s="3"/>
      <c r="S27" s="3"/>
      <c r="T27" s="3"/>
      <c r="U27" s="3"/>
      <c r="V27" s="3"/>
      <c r="W27" s="3"/>
      <c r="X27" s="3"/>
      <c r="Y27" s="3"/>
      <c r="Z27" s="3"/>
      <c r="AA27" s="3"/>
      <c r="AB27" s="3"/>
      <c r="AC27" s="16"/>
    </row>
    <row r="28" spans="1:29" x14ac:dyDescent="0.2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8"/>
  <sheetViews>
    <sheetView topLeftCell="A1347" workbookViewId="0">
      <selection activeCell="H1358" sqref="H1358"/>
    </sheetView>
  </sheetViews>
  <sheetFormatPr defaultRowHeight="15" x14ac:dyDescent="0.25"/>
  <cols>
    <col min="1" max="1" width="10.7109375" bestFit="1" customWidth="1"/>
    <col min="6" max="7" width="13.85546875" bestFit="1" customWidth="1"/>
  </cols>
  <sheetData>
    <row r="1" spans="1:8" x14ac:dyDescent="0.25">
      <c r="A1" s="8" t="s">
        <v>616</v>
      </c>
      <c r="B1" s="7" t="s">
        <v>364</v>
      </c>
      <c r="C1" s="7" t="s">
        <v>617</v>
      </c>
      <c r="D1" s="7" t="s">
        <v>618</v>
      </c>
      <c r="E1" s="7" t="s">
        <v>619</v>
      </c>
      <c r="F1" s="7" t="s">
        <v>620</v>
      </c>
      <c r="G1" s="7" t="s">
        <v>621</v>
      </c>
      <c r="H1" s="7" t="s">
        <v>724</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58"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2025-10-17T04:27:57Z</dcterms:modified>
</cp:coreProperties>
</file>