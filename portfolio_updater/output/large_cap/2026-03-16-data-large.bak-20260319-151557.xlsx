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280" yWindow="-120" windowWidth="38640" windowHeight="21120" tabRatio="832" firstSheet="0" activeTab="5" autoFilterDateGrouping="1"/>
  </bookViews>
  <sheets>
    <sheet name="Strategy" sheetId="1" state="visible" r:id="rId1"/>
    <sheet name="Company Page Data" sheetId="2" state="visible" r:id="rId2"/>
    <sheet name="Buy Sell Alerts" sheetId="3" state="visible" r:id="rId3"/>
    <sheet name="Analytics" sheetId="4" state="visible" r:id="rId4"/>
    <sheet name="Equity Curve" sheetId="5" state="visible" r:id="rId5"/>
    <sheet name="Trades" sheetId="6" state="visible" r:id="rId6"/>
    <sheet name="Monthly Performance" sheetId="7" state="visible" r:id="rId7"/>
    <sheet name="XJO" sheetId="8" state="visible" r:id="rId8"/>
  </sheets>
  <definedNames/>
  <calcPr calcId="191029" fullCalcOnLoad="1"/>
</workbook>
</file>

<file path=xl/styles.xml><?xml version="1.0" encoding="utf-8"?>
<styleSheet xmlns="http://schemas.openxmlformats.org/spreadsheetml/2006/main">
  <numFmts count="9">
    <numFmt numFmtId="164" formatCode="&quot;$&quot;#,##0.00;[Red]\-&quot;$&quot;#,##0.00"/>
    <numFmt numFmtId="165" formatCode="&quot;$&quot;#,##0.000;[Red]\-&quot;$&quot;#,##0.000"/>
    <numFmt numFmtId="166" formatCode="0.000%"/>
    <numFmt numFmtId="167" formatCode="0.000000000000000%"/>
    <numFmt numFmtId="168" formatCode="0.0000000000000000%"/>
    <numFmt numFmtId="169" formatCode="0.000000000000%"/>
    <numFmt numFmtId="170" formatCode="0.00000000000000000%"/>
    <numFmt numFmtId="171" formatCode="YYYY-MM-DD HH:MM:SS"/>
    <numFmt numFmtId="172" formatCode="yyyy-mm-dd h:mm:ss"/>
  </numFmts>
  <fonts count="23">
    <font>
      <name val="Calibri"/>
      <family val="2"/>
      <color theme="1"/>
      <sz val="11"/>
      <scheme val="minor"/>
    </font>
    <font>
      <name val="Calibri"/>
      <family val="2"/>
      <b val="1"/>
      <sz val="11"/>
    </font>
    <font>
      <name val="Calibri"/>
      <family val="2"/>
      <b val="1"/>
      <sz val="11"/>
    </font>
    <font>
      <name val="Calibri"/>
      <family val="2"/>
      <color theme="1"/>
      <sz val="11"/>
      <scheme val="minor"/>
    </font>
    <font>
      <name val="Cambria"/>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family val="2"/>
      <sz val="11"/>
    </font>
    <font>
      <name val="Consolas"/>
      <family val="3"/>
      <sz val="11"/>
    </font>
    <font>
      <b val="1"/>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right style="thin"/>
      <top style="thin"/>
      <bottom style="thin"/>
    </border>
  </borders>
  <cellStyleXfs count="43">
    <xf numFmtId="0" fontId="3" fillId="0" borderId="0"/>
    <xf numFmtId="0" fontId="4" fillId="0" borderId="0"/>
    <xf numFmtId="0" fontId="5" fillId="0" borderId="2"/>
    <xf numFmtId="0" fontId="6" fillId="0" borderId="3"/>
    <xf numFmtId="0" fontId="7" fillId="0" borderId="4"/>
    <xf numFmtId="0" fontId="7" fillId="0" borderId="0"/>
    <xf numFmtId="0" fontId="8" fillId="2" borderId="0"/>
    <xf numFmtId="0" fontId="9" fillId="3" borderId="0"/>
    <xf numFmtId="0" fontId="10" fillId="4" borderId="0"/>
    <xf numFmtId="0" fontId="11" fillId="5" borderId="5"/>
    <xf numFmtId="0" fontId="12" fillId="6" borderId="6"/>
    <xf numFmtId="0" fontId="13" fillId="6" borderId="5"/>
    <xf numFmtId="0" fontId="14" fillId="0" borderId="7"/>
    <xf numFmtId="0" fontId="15" fillId="7" borderId="8"/>
    <xf numFmtId="0" fontId="16" fillId="0" borderId="0"/>
    <xf numFmtId="0" fontId="3" fillId="8" borderId="9"/>
    <xf numFmtId="0" fontId="17" fillId="0" borderId="0"/>
    <xf numFmtId="0" fontId="18" fillId="0" borderId="10"/>
    <xf numFmtId="0" fontId="19" fillId="9" borderId="0"/>
    <xf numFmtId="0" fontId="3" fillId="10" borderId="0"/>
    <xf numFmtId="0" fontId="3" fillId="11" borderId="0"/>
    <xf numFmtId="0" fontId="3" fillId="12" borderId="0"/>
    <xf numFmtId="0" fontId="19" fillId="13" borderId="0"/>
    <xf numFmtId="0" fontId="3" fillId="14" borderId="0"/>
    <xf numFmtId="0" fontId="3" fillId="15" borderId="0"/>
    <xf numFmtId="0" fontId="3" fillId="16" borderId="0"/>
    <xf numFmtId="0" fontId="19" fillId="17" borderId="0"/>
    <xf numFmtId="0" fontId="3" fillId="18" borderId="0"/>
    <xf numFmtId="0" fontId="3" fillId="19" borderId="0"/>
    <xf numFmtId="0" fontId="3" fillId="20" borderId="0"/>
    <xf numFmtId="0" fontId="19" fillId="21" borderId="0"/>
    <xf numFmtId="0" fontId="3" fillId="22" borderId="0"/>
    <xf numFmtId="0" fontId="3" fillId="23" borderId="0"/>
    <xf numFmtId="0" fontId="3" fillId="24" borderId="0"/>
    <xf numFmtId="0" fontId="19" fillId="25" borderId="0"/>
    <xf numFmtId="0" fontId="3" fillId="26" borderId="0"/>
    <xf numFmtId="0" fontId="3" fillId="27" borderId="0"/>
    <xf numFmtId="0" fontId="3" fillId="28" borderId="0"/>
    <xf numFmtId="0" fontId="19" fillId="29" borderId="0"/>
    <xf numFmtId="0" fontId="3" fillId="30" borderId="0"/>
    <xf numFmtId="0" fontId="3" fillId="31" borderId="0"/>
    <xf numFmtId="0" fontId="3" fillId="32" borderId="0"/>
    <xf numFmtId="9" fontId="3" fillId="0" borderId="0"/>
  </cellStyleXfs>
  <cellXfs count="36">
    <xf numFmtId="0" fontId="0" fillId="0" borderId="0" pivotButton="0" quotePrefix="0" xfId="0"/>
    <xf numFmtId="0" fontId="1" fillId="0" borderId="1" applyAlignment="1" pivotButton="0" quotePrefix="0" xfId="0">
      <alignment horizontal="center" vertical="top"/>
    </xf>
    <xf numFmtId="14" fontId="0" fillId="0" borderId="0" pivotButton="0" quotePrefix="0" xfId="0"/>
    <xf numFmtId="10" fontId="0" fillId="0" borderId="0" pivotButton="0" quotePrefix="0" xfId="0"/>
    <xf numFmtId="164" fontId="0" fillId="0" borderId="0" pivotButton="0" quotePrefix="0" xfId="0"/>
    <xf numFmtId="0" fontId="2" fillId="0" borderId="1" applyAlignment="1" pivotButton="0" quotePrefix="0" xfId="0">
      <alignment horizontal="center" vertical="top"/>
    </xf>
    <xf numFmtId="2" fontId="0" fillId="0" borderId="0" pivotButton="0" quotePrefix="0" xfId="0"/>
    <xf numFmtId="0" fontId="0" fillId="0" borderId="0" applyAlignment="1" pivotButton="0" quotePrefix="0" xfId="0">
      <alignment vertical="center" wrapText="1"/>
    </xf>
    <xf numFmtId="14" fontId="0" fillId="0" borderId="0" applyAlignment="1" pivotButton="0" quotePrefix="0" xfId="0">
      <alignment vertical="center" wrapText="1"/>
    </xf>
    <xf numFmtId="3" fontId="0" fillId="0" borderId="0" applyAlignment="1" pivotButton="0" quotePrefix="0" xfId="0">
      <alignment vertical="center" wrapText="1"/>
    </xf>
    <xf numFmtId="0" fontId="2" fillId="0" borderId="0" applyAlignment="1" pivotButton="0" quotePrefix="0" xfId="0">
      <alignment horizontal="center" vertical="top"/>
    </xf>
    <xf numFmtId="0" fontId="20" fillId="0" borderId="0" applyAlignment="1" pivotButton="0" quotePrefix="0" xfId="0">
      <alignment horizontal="center" vertical="top"/>
    </xf>
    <xf numFmtId="14" fontId="20" fillId="0" borderId="0" applyAlignment="1" pivotButton="0" quotePrefix="0" xfId="0">
      <alignment horizontal="right" vertical="top"/>
    </xf>
    <xf numFmtId="165" fontId="0" fillId="0" borderId="0" pivotButton="0" quotePrefix="0" xfId="0"/>
    <xf numFmtId="2" fontId="20" fillId="0" borderId="0" applyAlignment="1" pivotButton="0" quotePrefix="0" xfId="0">
      <alignment horizontal="right" vertical="top"/>
    </xf>
    <xf numFmtId="0" fontId="0" fillId="0" borderId="0" applyAlignment="1" pivotButton="0" quotePrefix="0" xfId="0">
      <alignment horizontal="center"/>
    </xf>
    <xf numFmtId="10" fontId="0" fillId="0" borderId="0" pivotButton="0" quotePrefix="0" xfId="42"/>
    <xf numFmtId="166" fontId="0" fillId="0" borderId="0" pivotButton="0" quotePrefix="0" xfId="0"/>
    <xf numFmtId="167" fontId="0" fillId="0" borderId="0" pivotButton="0" quotePrefix="0" xfId="0"/>
    <xf numFmtId="14" fontId="20" fillId="0" borderId="0" applyAlignment="1" pivotButton="0" quotePrefix="0" xfId="0">
      <alignment horizontal="center" vertical="top"/>
    </xf>
    <xf numFmtId="0" fontId="20" fillId="0" borderId="0" applyAlignment="1" pivotButton="0" quotePrefix="0" xfId="42">
      <alignment horizontal="center" vertical="top"/>
    </xf>
    <xf numFmtId="0" fontId="0" fillId="0" borderId="0" applyAlignment="1" pivotButton="0" quotePrefix="0" xfId="0">
      <alignment horizontal="left"/>
    </xf>
    <xf numFmtId="168" fontId="0" fillId="0" borderId="0" pivotButton="0" quotePrefix="0" xfId="0"/>
    <xf numFmtId="169" fontId="0" fillId="0" borderId="0" pivotButton="0" quotePrefix="0" xfId="0"/>
    <xf numFmtId="170" fontId="0" fillId="0" borderId="0" pivotButton="0" quotePrefix="0" xfId="0"/>
    <xf numFmtId="164" fontId="21" fillId="0" borderId="0" pivotButton="0" quotePrefix="0" xfId="0"/>
    <xf numFmtId="0" fontId="0" fillId="0" borderId="0" pivotButton="0" quotePrefix="0" xfId="0"/>
    <xf numFmtId="164" fontId="0" fillId="0" borderId="0" pivotButton="0" quotePrefix="0" xfId="0"/>
    <xf numFmtId="165" fontId="0" fillId="0" borderId="0" pivotButton="0" quotePrefix="0" xfId="0"/>
    <xf numFmtId="0" fontId="22" fillId="0" borderId="11" applyAlignment="1" pivotButton="0" quotePrefix="0" xfId="0">
      <alignment horizontal="center" vertical="top"/>
    </xf>
    <xf numFmtId="171" fontId="0" fillId="0" borderId="0" pivotButton="0" quotePrefix="0" xfId="0"/>
    <xf numFmtId="167" fontId="0" fillId="0" borderId="0" pivotButton="0" quotePrefix="0" xfId="0"/>
    <xf numFmtId="170" fontId="0" fillId="0" borderId="0" pivotButton="0" quotePrefix="0" xfId="0"/>
    <xf numFmtId="168" fontId="0" fillId="0" borderId="0" pivotButton="0" quotePrefix="0" xfId="0"/>
    <xf numFmtId="169" fontId="0" fillId="0" borderId="0" pivotButton="0" quotePrefix="0" xfId="0"/>
    <xf numFmtId="171" fontId="0" fillId="0" borderId="0" pivotButton="0" quotePrefix="0" xfId="0"/>
  </cellXfs>
  <cellStyles count="43">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 name="Percent" xfId="42" builtinId="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C34" sqref="C34"/>
    </sheetView>
  </sheetViews>
  <sheetFormatPr baseColWidth="8" defaultRowHeight="15"/>
  <cols>
    <col width="30.140625" bestFit="1" customWidth="1" style="26" min="1" max="1"/>
    <col width="12.7109375" bestFit="1" customWidth="1" style="26" min="2" max="2"/>
  </cols>
  <sheetData>
    <row r="1">
      <c r="B1" s="15" t="inlineStr">
        <is>
          <t>Large Cap</t>
        </is>
      </c>
    </row>
    <row r="2">
      <c r="A2" t="inlineStr">
        <is>
          <t>Universe</t>
        </is>
      </c>
      <c r="B2" s="15" t="inlineStr">
        <is>
          <t>ASX 200</t>
        </is>
      </c>
    </row>
    <row r="3">
      <c r="A3" t="inlineStr">
        <is>
          <t>Number of Holdings</t>
        </is>
      </c>
      <c r="B3" s="15" t="n">
        <v>15</v>
      </c>
    </row>
    <row r="4">
      <c r="A4" t="inlineStr">
        <is>
          <t>Allocation</t>
        </is>
      </c>
      <c r="B4" s="15" t="inlineStr">
        <is>
          <t>Equal Weight</t>
        </is>
      </c>
    </row>
    <row r="5">
      <c r="A5" t="inlineStr">
        <is>
          <t>Index Filter</t>
        </is>
      </c>
      <c r="B5" s="15" t="inlineStr">
        <is>
          <t>Yes</t>
        </is>
      </c>
    </row>
    <row r="6">
      <c r="A6" t="inlineStr">
        <is>
          <t>Portfolio Adjustment Frequency</t>
        </is>
      </c>
      <c r="B6" s="15" t="inlineStr">
        <is>
          <t>Weekly</t>
        </is>
      </c>
    </row>
    <row r="7">
      <c r="A7" t="inlineStr">
        <is>
          <t>Average Trades Per Month</t>
        </is>
      </c>
      <c r="B7" s="15" t="n">
        <v>2.46</v>
      </c>
    </row>
    <row r="8">
      <c r="A8" t="inlineStr">
        <is>
          <t>Turnover Filter (average)</t>
        </is>
      </c>
      <c r="B8" s="15" t="inlineStr">
        <is>
          <t>&gt; $500k</t>
        </is>
      </c>
    </row>
    <row r="9">
      <c r="A9" t="inlineStr">
        <is>
          <t>Volume Filter (average)</t>
        </is>
      </c>
      <c r="B9" s="15" t="inlineStr">
        <is>
          <t>&gt; 500k shares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X30"/>
  <sheetViews>
    <sheetView workbookViewId="0">
      <selection activeCell="B29" sqref="B29"/>
    </sheetView>
  </sheetViews>
  <sheetFormatPr baseColWidth="8" defaultColWidth="66.28515625" defaultRowHeight="15"/>
  <cols>
    <col width="53.7109375" bestFit="1" customWidth="1" style="26" min="1" max="1"/>
    <col width="10.140625" bestFit="1" customWidth="1" style="26" min="2" max="2"/>
    <col width="23.140625" bestFit="1" customWidth="1" style="26" min="3" max="3"/>
    <col width="10.85546875" bestFit="1" customWidth="1" style="26" min="4" max="4"/>
    <col width="9.85546875" bestFit="1" customWidth="1" style="26" min="5" max="5"/>
    <col width="18.140625" bestFit="1" customWidth="1" style="26" min="6" max="6"/>
    <col width="18.140625" customWidth="1" style="26" min="7" max="7"/>
    <col width="14.140625" bestFit="1" customWidth="1" style="26" min="8" max="8"/>
    <col width="13.7109375" bestFit="1" customWidth="1" style="26" min="9" max="9"/>
    <col width="11.7109375" bestFit="1" customWidth="1" style="26" min="10" max="10"/>
    <col width="14.42578125" bestFit="1" customWidth="1" style="26" min="11" max="11"/>
    <col width="255.7109375" bestFit="1" customWidth="1" style="26" min="12" max="12"/>
    <col width="9.5703125" bestFit="1" customWidth="1" style="26" min="13" max="13"/>
    <col width="14.7109375" bestFit="1" customWidth="1" style="26" min="14" max="14"/>
    <col width="9.5703125" bestFit="1" customWidth="1" style="26" min="15" max="15"/>
    <col width="11.7109375" bestFit="1" customWidth="1" style="26" min="16" max="16"/>
    <col width="11.28515625" bestFit="1" customWidth="1" style="26" min="17" max="17"/>
    <col width="20" bestFit="1" customWidth="1" style="26" min="18" max="18"/>
    <col width="13.42578125" bestFit="1" customWidth="1" style="26" min="19" max="19"/>
    <col width="15" bestFit="1" customWidth="1" style="26" min="20" max="20"/>
    <col width="17.28515625" bestFit="1" customWidth="1" style="26" min="21" max="21"/>
    <col width="30.28515625" bestFit="1" customWidth="1" style="26" min="22" max="22"/>
    <col width="25.28515625" bestFit="1" customWidth="1" style="26" min="23" max="23"/>
    <col width="7.140625" bestFit="1" customWidth="1" style="26" min="24" max="24"/>
  </cols>
  <sheetData>
    <row r="1">
      <c r="A1" s="1" t="inlineStr">
        <is>
          <t>Name:</t>
        </is>
      </c>
      <c r="B1" s="1" t="inlineStr">
        <is>
          <t>Code:</t>
        </is>
      </c>
      <c r="C1" s="1" t="inlineStr">
        <is>
          <t>Sector:</t>
        </is>
      </c>
      <c r="D1" s="1" t="inlineStr">
        <is>
          <t>Alert Price:</t>
        </is>
      </c>
      <c r="E1" s="1" t="inlineStr">
        <is>
          <t>Last Price:</t>
        </is>
      </c>
      <c r="F1" s="1" t="inlineStr">
        <is>
          <t>% From Alert Price:</t>
        </is>
      </c>
      <c r="G1" s="1" t="inlineStr">
        <is>
          <t>Stop Price:</t>
        </is>
      </c>
      <c r="H1" s="1" t="inlineStr">
        <is>
          <t>52-Week High:</t>
        </is>
      </c>
      <c r="I1" s="1" t="inlineStr">
        <is>
          <t>52-Week Low:</t>
        </is>
      </c>
      <c r="J1" s="1" t="inlineStr">
        <is>
          <t>Market Cap:</t>
        </is>
      </c>
      <c r="K1" s="1" t="inlineStr">
        <is>
          <t>Franking Level:</t>
        </is>
      </c>
      <c r="L1" s="1" t="inlineStr">
        <is>
          <t>Business Summary:</t>
        </is>
      </c>
      <c r="M1" s="1" t="inlineStr">
        <is>
          <t>P/E Ratio:</t>
        </is>
      </c>
      <c r="N1" s="1" t="inlineStr">
        <is>
          <t>Dividend Yield:</t>
        </is>
      </c>
      <c r="O1" s="1" t="inlineStr">
        <is>
          <t>P/S Ratio:</t>
        </is>
      </c>
      <c r="P1" s="1" t="inlineStr">
        <is>
          <t>P/FCF Ratio:</t>
        </is>
      </c>
      <c r="Q1" s="1" t="inlineStr">
        <is>
          <t>Net Debt:</t>
        </is>
      </c>
      <c r="R1" s="1" t="inlineStr">
        <is>
          <t>Debt-to-Equity Ratio:</t>
        </is>
      </c>
      <c r="S1" s="1" t="inlineStr">
        <is>
          <t>Current Ratio:</t>
        </is>
      </c>
      <c r="T1" s="1" t="inlineStr">
        <is>
          <t>Free Cash Flow:</t>
        </is>
      </c>
      <c r="U1" s="1" t="inlineStr">
        <is>
          <t>Net Profit Margin:</t>
        </is>
      </c>
      <c r="V1" s="1" t="inlineStr">
        <is>
          <t>Revenue Growth (3-Year CAGR):</t>
        </is>
      </c>
      <c r="W1" s="1" t="inlineStr">
        <is>
          <t>EPS Growth (3-Year CAGR):</t>
        </is>
      </c>
      <c r="X1" s="1" t="inlineStr">
        <is>
          <t>ROE:</t>
        </is>
      </c>
    </row>
    <row r="2">
      <c r="A2" t="inlineStr">
        <is>
          <t>Ramsay Health Care Limited Ordinary</t>
        </is>
      </c>
      <c r="B2" t="inlineStr">
        <is>
          <t>RHC</t>
        </is>
      </c>
      <c r="C2" t="inlineStr">
        <is>
          <t>Health Care</t>
        </is>
      </c>
      <c r="D2" s="27" t="n">
        <v>44.1</v>
      </c>
      <c r="E2" s="27" t="n">
        <v>42.23</v>
      </c>
      <c r="F2">
        <f>(E2/D2-1)*100</f>
        <v/>
      </c>
      <c r="G2" t="n">
        <v>30.0998878479003</v>
      </c>
      <c r="H2" s="27" t="n">
        <v>44.3</v>
      </c>
      <c r="I2" s="27" t="n">
        <v>30.1</v>
      </c>
      <c r="J2" t="inlineStr">
        <is>
          <t>$8.1B</t>
        </is>
      </c>
      <c r="K2" s="3" t="n">
        <v>1</v>
      </c>
      <c r="L2" t="inlineStr">
        <is>
          <t>Ramsay Health Care Limited is a provider of hospital and healthcare services in Australia, Europe and the United Kingdom. Its segments include Australia, the UK, France and the Nordics. Its businesses include Ramsay Australia, Ramsay Sante, Ramsay UK, and Elysium Healthcare. Ramsay Health Care is Australia's private hospital operator, with more than 70 modern hospitals, clinics and surgical centers in cities and towns across the country. Ramsay Sante is a private care provider in Europe with hundreds of modern hospitals, clinics, primary care and imaging centers across France, Sweden, Norway, Denmark and Italy. Ramsay UK has a network of hospitals and day surgeries across the UK providing a range of clinical specialties to private and self-insured patients. Elysium Healthcare is an independent provider of specialist health and care services. Elysium's four core service streams are mental health and wellbeing, learning disabilities and autism, neurological, and children and education.</t>
        </is>
      </c>
      <c r="M2" t="inlineStr">
        <is>
          <t>1296.0x</t>
        </is>
      </c>
      <c r="N2" s="3" t="n">
        <v>0.019</v>
      </c>
      <c r="O2" t="inlineStr">
        <is>
          <t>0.5x</t>
        </is>
      </c>
      <c r="P2" t="inlineStr">
        <is>
          <t>14.9x</t>
        </is>
      </c>
      <c r="Q2" t="inlineStr">
        <is>
          <t>$11335.5M</t>
        </is>
      </c>
      <c r="R2" s="3" t="n">
        <v>2.413</v>
      </c>
      <c r="S2" s="3" t="n">
        <v>0.008999999999999999</v>
      </c>
      <c r="T2" t="inlineStr">
        <is>
          <t>$542.6M</t>
        </is>
      </c>
      <c r="U2" s="3" t="n">
        <v>0.003</v>
      </c>
      <c r="V2" s="3" t="n">
        <v>0.105</v>
      </c>
      <c r="W2" s="3" t="n">
        <v>-0.7</v>
      </c>
      <c r="X2" s="3" t="n">
        <v>0.001</v>
      </c>
    </row>
    <row r="3">
      <c r="A3" t="inlineStr">
        <is>
          <t>Rio Tinto Limited Ordinary</t>
        </is>
      </c>
      <c r="B3" t="inlineStr">
        <is>
          <t>RIO</t>
        </is>
      </c>
      <c r="C3" t="inlineStr">
        <is>
          <t>Materials</t>
        </is>
      </c>
      <c r="D3" s="27" t="n">
        <v>169.74</v>
      </c>
      <c r="E3" s="27" t="n">
        <v>157.89</v>
      </c>
      <c r="F3">
        <f>(E3/D3-1)*100</f>
        <v/>
      </c>
      <c r="G3" t="n">
        <v>109.080184936523</v>
      </c>
      <c r="H3" s="27" t="n">
        <v>166.93</v>
      </c>
      <c r="I3" s="27" t="n">
        <v>96.66</v>
      </c>
      <c r="J3" t="inlineStr">
        <is>
          <t>$206.5B</t>
        </is>
      </c>
      <c r="K3" s="3" t="n">
        <v>1</v>
      </c>
      <c r="L3" t="inlineStr">
        <is>
          <t>Rio Tinto Limited is a mining and materials company. It operates in 35 countries and produces iron ore, copper, aluminum, critical minerals and other materials needed for the global energy transition. Its segments include Iron Ore, Aluminum, Copper, and Minerals. The iron ore segment includes iron ore mining and salt and gypsum production in Western Australia. Its iron ore operations in the Pilbara comprise an integrated network of 18 iron ore mines and four independent port terminals. The aluminum segment includes bauxite mining, alumina refining, and aluminum smelting and recycling. The copper segment includes mining and refining of copper, gold, silver, molybdenum, other by-products and licensing of extraction technologies. The minerals segment includes mining and processing of borates, diamonds, iron concentrate and pellets from the Iron Ore Company of Canada, lithium and titanium dioxide feedstock.</t>
        </is>
      </c>
      <c r="M3" t="inlineStr">
        <is>
          <t>11.1x</t>
        </is>
      </c>
      <c r="N3" s="3" t="n">
        <v>0.037</v>
      </c>
      <c r="O3" t="inlineStr">
        <is>
          <t>2.6x</t>
        </is>
      </c>
      <c r="Q3" t="inlineStr">
        <is>
          <t>$22572.8M</t>
        </is>
      </c>
      <c r="R3" s="3" t="n">
        <v>0.406</v>
      </c>
      <c r="S3" s="3" t="n">
        <v>0.015</v>
      </c>
      <c r="T3" t="inlineStr">
        <is>
          <t>$-1587.8M</t>
        </is>
      </c>
      <c r="U3" s="3" t="n">
        <v>0.19</v>
      </c>
      <c r="V3" s="3" t="n">
        <v>-0.055</v>
      </c>
      <c r="W3" s="3" t="n">
        <v>-0.183</v>
      </c>
      <c r="X3" s="3" t="n">
        <v>0.181</v>
      </c>
    </row>
    <row r="4">
      <c r="A4" t="inlineStr">
        <is>
          <t>Dalrymple Bay Infrastructure Limited Ordinary/Notes Stapled Securities</t>
        </is>
      </c>
      <c r="B4" t="inlineStr">
        <is>
          <t>DBI</t>
        </is>
      </c>
      <c r="C4" t="inlineStr">
        <is>
          <t>Industrials</t>
        </is>
      </c>
      <c r="D4" s="27" t="n">
        <v>5.08</v>
      </c>
      <c r="E4" s="27" t="n">
        <v>4.93</v>
      </c>
      <c r="F4">
        <f>(E4/D4-1)*100</f>
        <v/>
      </c>
      <c r="G4" t="n">
        <v>3.94311809539794</v>
      </c>
      <c r="H4" s="27" t="n">
        <v>5.51</v>
      </c>
      <c r="I4" s="27" t="n">
        <v>3.4</v>
      </c>
      <c r="J4" t="inlineStr">
        <is>
          <t>$2.4B</t>
        </is>
      </c>
      <c r="K4" s="3" t="n">
        <v>0</v>
      </c>
      <c r="L4" t="inlineStr">
        <is>
          <t>Dalrymple Bay Infrastructure Limited is an Australian infrastructure company. The Company, through its foundation asset, the Dalrymple Bay Terminal (DBT), is focused on providing terminal infrastructure and services for producers and consumers of Australian coal exports. The DBT, as the metallurgical coal export facility, serves as a global gateway from the Bowen Basin and is a critical link in the global steelmaking supply chain. The DBT is a multi-user export terminal located within the Port of Hay Point, approximately 38 kilometers (kms) south of Mackay and 900 kms north of Brisbane. The DBT supply chain is capable of handling up to 84.2 million tons per annum (Mtpa) of coal. Coal handled by DBT is exported to over 25 countries, with core markets comprising China, Japan, Korea, Taiwan and India. The Company's subsidiaries include Dalrymple Bay Infrastructure Holdings Pty Ltd, Dalrymple Bay Infrastructure Management Pty Ltd and Dalrymple Bay Finance Pty Ltd.</t>
        </is>
      </c>
      <c r="M4" t="inlineStr">
        <is>
          <t>23.9x</t>
        </is>
      </c>
      <c r="N4" s="3" t="n">
        <v>0.05</v>
      </c>
      <c r="O4" t="inlineStr">
        <is>
          <t>3.2x</t>
        </is>
      </c>
      <c r="P4" t="inlineStr">
        <is>
          <t>213.1x</t>
        </is>
      </c>
      <c r="Q4" t="inlineStr">
        <is>
          <t>$1869.4M</t>
        </is>
      </c>
      <c r="R4" s="3" t="n">
        <v>1.802</v>
      </c>
      <c r="S4" s="3" t="n">
        <v>0.011</v>
      </c>
      <c r="T4" t="inlineStr">
        <is>
          <t>$11.4M</t>
        </is>
      </c>
      <c r="U4" s="3" t="n">
        <v>0.111</v>
      </c>
      <c r="V4" s="3" t="n">
        <v>0.149</v>
      </c>
      <c r="W4" s="3" t="n">
        <v>-0.14</v>
      </c>
      <c r="X4" s="3" t="n">
        <v>0.082</v>
      </c>
    </row>
    <row r="5">
      <c r="A5" t="inlineStr">
        <is>
          <t>ANZ Group Holdings Limited Ordinary</t>
        </is>
      </c>
      <c r="B5" t="inlineStr">
        <is>
          <t>ANZ</t>
        </is>
      </c>
      <c r="C5" t="inlineStr">
        <is>
          <t>Financials</t>
        </is>
      </c>
      <c r="D5" s="27" t="n">
        <v>40.89</v>
      </c>
      <c r="E5" s="27" t="n">
        <v>37.2</v>
      </c>
      <c r="F5">
        <f>(E5/D5-1)*100</f>
        <v/>
      </c>
      <c r="G5" t="n">
        <v>31.698013305664</v>
      </c>
      <c r="H5" s="27" t="n">
        <v>41</v>
      </c>
      <c r="I5" s="27" t="n">
        <v>24.93</v>
      </c>
      <c r="J5" t="inlineStr">
        <is>
          <t>$110.6B</t>
        </is>
      </c>
      <c r="K5" s="3" t="n">
        <v>0.7</v>
      </c>
      <c r="L5" t="inlineStr">
        <is>
          <t xml:space="preserve">ANZ Group Holdings Limited is a non-operating holding company. Its divisions include Australia Retail, Australia Commercial, Institutional, New Zealand, Suncorp Bank, Pacific, and Group Center. The Australia Retail division provides a full range of banking services to Australian consumers. This includes Home Loans, Deposits, Credit Cards and Personal Loans. The Australia Commercial division offers a range of banking products and financial services. The Institutional division services institutional and corporate customers, and governments across Australia, New Zealand and International, including Papua New Guinea, via the business units, such as Transaction Banking, Corporate Finance, and Markets. New Zealand division comprises of business unit, such as Personal and Business &amp; Agri. The Suncorp Bank division provides banking and related services to retail, commercial, small and medium enterprises and agribusiness customers in Australia. </t>
        </is>
      </c>
      <c r="M5" t="inlineStr">
        <is>
          <t>16.8x</t>
        </is>
      </c>
      <c r="N5" s="3" t="n">
        <v>0.045</v>
      </c>
      <c r="O5" t="inlineStr">
        <is>
          <t>4.7x</t>
        </is>
      </c>
      <c r="P5" t="inlineStr">
        <is>
          <t>5.1x</t>
        </is>
      </c>
      <c r="Q5" t="inlineStr">
        <is>
          <t>$40981.0M</t>
        </is>
      </c>
      <c r="R5" s="3" t="n">
        <v>3.179</v>
      </c>
      <c r="T5" t="inlineStr">
        <is>
          <t>$21537.0M</t>
        </is>
      </c>
      <c r="U5" s="3" t="n">
        <v>0.251</v>
      </c>
      <c r="V5" s="3" t="n">
        <v>0.394</v>
      </c>
      <c r="W5" s="3" t="n">
        <v>-0.056</v>
      </c>
      <c r="X5" s="3" t="n">
        <v>0.08400000000000001</v>
      </c>
    </row>
    <row r="6">
      <c r="A6" t="inlineStr">
        <is>
          <t>AGL Energy Limited Ordinary</t>
        </is>
      </c>
      <c r="B6" t="inlineStr">
        <is>
          <t>AGL</t>
        </is>
      </c>
      <c r="C6" t="inlineStr">
        <is>
          <t>Utilities</t>
        </is>
      </c>
      <c r="D6" s="27" t="n">
        <v>10.42</v>
      </c>
      <c r="E6" s="27" t="n">
        <v>8.93</v>
      </c>
      <c r="F6">
        <f>(E6/D6-1)*100</f>
        <v/>
      </c>
      <c r="G6" t="n">
        <v>7.84307432174682</v>
      </c>
      <c r="H6" s="27" t="n">
        <v>10.65</v>
      </c>
      <c r="I6" s="27" t="n">
        <v>7.84</v>
      </c>
      <c r="J6" t="inlineStr">
        <is>
          <t>$6.3B</t>
        </is>
      </c>
      <c r="K6" s="3" t="n">
        <v>1</v>
      </c>
      <c r="L6" t="inlineStr">
        <is>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is>
      </c>
      <c r="N6" s="3" t="n">
        <v>0.055</v>
      </c>
      <c r="O6" t="inlineStr">
        <is>
          <t>0.4x</t>
        </is>
      </c>
      <c r="Q6" t="inlineStr">
        <is>
          <t>$2214.0M</t>
        </is>
      </c>
      <c r="R6" s="3" t="n">
        <v>0.681</v>
      </c>
      <c r="S6" s="3" t="n">
        <v>0.008999999999999999</v>
      </c>
      <c r="T6" t="inlineStr">
        <is>
          <t>$-674.0M</t>
        </is>
      </c>
      <c r="U6" s="3" t="n">
        <v>-0.007</v>
      </c>
      <c r="V6" s="3" t="n">
        <v>0.029</v>
      </c>
      <c r="X6" s="3" t="n">
        <v>-0.019</v>
      </c>
    </row>
    <row r="7">
      <c r="A7" t="inlineStr">
        <is>
          <t>National Australia Bank Limited Ordinary</t>
        </is>
      </c>
      <c r="B7" t="inlineStr">
        <is>
          <t>NAB</t>
        </is>
      </c>
      <c r="C7" t="inlineStr">
        <is>
          <t>Financials</t>
        </is>
      </c>
      <c r="D7" s="27" t="n">
        <v>46.01</v>
      </c>
      <c r="E7" s="27" t="n">
        <v>47.11</v>
      </c>
      <c r="F7">
        <f>(E7/D7-1)*100</f>
        <v/>
      </c>
      <c r="G7" t="n">
        <v>37.8907585144043</v>
      </c>
      <c r="H7" s="27" t="n">
        <v>49.45</v>
      </c>
      <c r="I7" s="27" t="n">
        <v>29.81</v>
      </c>
      <c r="J7" t="inlineStr">
        <is>
          <t>$130.5B</t>
        </is>
      </c>
      <c r="K7" s="3" t="n">
        <v>1</v>
      </c>
      <c r="L7" t="inlineStr">
        <is>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is>
      </c>
      <c r="M7" t="inlineStr">
        <is>
          <t>19.9x</t>
        </is>
      </c>
      <c r="N7" s="3" t="n">
        <v>0.036</v>
      </c>
      <c r="O7" t="inlineStr">
        <is>
          <t>5.2x</t>
        </is>
      </c>
      <c r="P7" t="inlineStr">
        <is>
          <t>57.4x</t>
        </is>
      </c>
      <c r="Q7" t="inlineStr">
        <is>
          <t>$95462.0M</t>
        </is>
      </c>
      <c r="R7" s="3" t="n">
        <v>3.02</v>
      </c>
      <c r="T7" t="inlineStr">
        <is>
          <t>$2275.0M</t>
        </is>
      </c>
      <c r="U7" s="3" t="n">
        <v>0.324</v>
      </c>
      <c r="V7" s="3" t="n">
        <v>0.364</v>
      </c>
      <c r="W7" s="3" t="n">
        <v>0.016</v>
      </c>
      <c r="X7" s="3" t="n">
        <v>0.109</v>
      </c>
    </row>
    <row r="8">
      <c r="A8" t="inlineStr">
        <is>
          <t>Alcoa Corporation CDI 1:1 Foreign Exempt NYSE</t>
        </is>
      </c>
      <c r="B8" t="inlineStr">
        <is>
          <t>AAI</t>
        </is>
      </c>
      <c r="C8" t="inlineStr">
        <is>
          <t>Materials</t>
        </is>
      </c>
      <c r="D8" s="27" t="n">
        <v>95.28</v>
      </c>
      <c r="E8" s="27" t="n">
        <v>93.7</v>
      </c>
      <c r="F8">
        <f>(E8/D8-1)*100</f>
        <v/>
      </c>
      <c r="G8" t="n">
        <v>45.1187667846679</v>
      </c>
      <c r="H8" s="27" t="n">
        <v>98.20999999999999</v>
      </c>
      <c r="I8" s="27" t="n">
        <v>35.92</v>
      </c>
      <c r="K8" s="3" t="n">
        <v>0</v>
      </c>
      <c r="L8" t="inlineStr">
        <is>
          <t>n/a</t>
        </is>
      </c>
      <c r="N8" s="3" t="n">
        <v>0.005</v>
      </c>
    </row>
    <row r="9">
      <c r="A9" t="inlineStr">
        <is>
          <t>Domino's Pizza Enterprises Limited Ordinary</t>
        </is>
      </c>
      <c r="B9" t="inlineStr">
        <is>
          <t>DMP</t>
        </is>
      </c>
      <c r="C9" t="inlineStr">
        <is>
          <t>Consumer Discretionary</t>
        </is>
      </c>
      <c r="D9" s="27" t="n">
        <v>23.97</v>
      </c>
      <c r="E9" s="27" t="n">
        <v>18.6</v>
      </c>
      <c r="F9">
        <f>(E9/D9-1)*100</f>
        <v/>
      </c>
      <c r="G9" t="n">
        <v>12.9400930404663</v>
      </c>
      <c r="H9" s="27" t="n">
        <v>26.94</v>
      </c>
      <c r="I9" s="27" t="n">
        <v>12.94</v>
      </c>
      <c r="J9" t="inlineStr">
        <is>
          <t>$2.1B</t>
        </is>
      </c>
      <c r="K9" s="3" t="n">
        <v>0</v>
      </c>
      <c r="L9" t="inlineStr">
        <is>
          <t>Domino's Pizza Enterprises Limited is an Australia-based company, which is engaged in the operation of retail food outlets and the operation of franchise services. The Company operates through three segments: Australia/New Zealand (ANZ), Europe and Asia. The Company's menu consists of Domino's Pizzas, including Premium Pizzas, Traditional Pizzas, Value Max Range, Value Range, Value Range Pizzas, Vegan Range, Make Your Own, Meltzz, Loaded fries, Pizza Pasta, Sides, Chicken, drinks, and Desserts. Its Sides include Savoury Sides and Chicken Sides. Its Loaded Fries include BBQ Meatlovers Loaded Fries, Firebreather Loaded Fries, Bacon &amp; Cheese Loaded Fries, And Cheesy Loaded Fries. Its Pizza Pasta include Smokehouse Pork Belly Pasta, The Lot Pasta, Buffalo Chicken &amp; Bacon Pasta, Simply Mac &amp; Cheese Pasta, Simply Bacon Mac &amp; Cheese Pasta. The Company Drinks include Malted Vanilla Thickshake, Chocolate Malt Thickshake, and Chocolate Malt Thickshake With Cream.</t>
        </is>
      </c>
      <c r="N9" s="3" t="n">
        <v>0.025</v>
      </c>
      <c r="O9" t="inlineStr">
        <is>
          <t>0.9x</t>
        </is>
      </c>
      <c r="P9" t="inlineStr">
        <is>
          <t>88.8x</t>
        </is>
      </c>
      <c r="Q9" t="inlineStr">
        <is>
          <t>$1293.5M</t>
        </is>
      </c>
      <c r="R9" s="3" t="n">
        <v>2.236</v>
      </c>
      <c r="S9" s="3" t="n">
        <v>0.01</v>
      </c>
      <c r="T9" t="inlineStr">
        <is>
          <t>$23.2M</t>
        </is>
      </c>
      <c r="U9" s="3" t="n">
        <v>-0.002</v>
      </c>
      <c r="V9" s="3" t="n">
        <v>0.005</v>
      </c>
      <c r="X9" s="3" t="n">
        <v>-0.006</v>
      </c>
    </row>
    <row r="10">
      <c r="A10" t="inlineStr">
        <is>
          <t>South32 Limited Ordinary</t>
        </is>
      </c>
      <c r="B10" t="inlineStr">
        <is>
          <t>S32</t>
        </is>
      </c>
      <c r="C10" t="inlineStr">
        <is>
          <t>Materials</t>
        </is>
      </c>
      <c r="D10" s="27" t="n">
        <v>4.16</v>
      </c>
      <c r="E10" s="27" t="n">
        <v>4.41</v>
      </c>
      <c r="F10">
        <f>(E10/D10-1)*100</f>
        <v/>
      </c>
      <c r="G10" t="n">
        <v>2.45222949981689</v>
      </c>
      <c r="H10" s="27" t="n">
        <v>4.85</v>
      </c>
      <c r="I10" s="27" t="n">
        <v>2.4</v>
      </c>
      <c r="J10" t="inlineStr">
        <is>
          <t>$16.4B</t>
        </is>
      </c>
      <c r="K10" s="3" t="n">
        <v>1</v>
      </c>
      <c r="L10" t="inlineStr">
        <is>
          <t>South32 Limited is a global mining and metals company. It is developing natural resources and producing minerals and metals critical to the energy transition. Its segments include Worsley Alumina, Brazil Alumina, Brazil Aluminium, Hillside Aluminium, Mozal Aluminium, Sierra Gorda, Cannington, Hermosa, Australia Manganese and South Africa Manganese. Worsley Alumina segment includes an integrated bauxite mine and an alumina refinery in Australia. Brazil Alumina segment consists of an integrated bauxite mine and an alumina refinery in Brazil. Brazil Aluminium segment is engaged in aluminum smelter in Brazil. Hillside Aluminium segment is focused on aluminum smelter in South Africa. Mozal Aluminium segment is engaged in an aluminum smelter in Mozambique. Sierra Gorda segment is focused on copper mines in Chile. Cannington segment includes silver, lead and zinc mines in Australia. Hermosa segment includes base metals exploration and development projects in the United States.</t>
        </is>
      </c>
      <c r="M10" t="inlineStr">
        <is>
          <t>27.2x</t>
        </is>
      </c>
      <c r="N10" s="3" t="n">
        <v>0.021</v>
      </c>
      <c r="O10" t="inlineStr">
        <is>
          <t>1.9x</t>
        </is>
      </c>
      <c r="P10" t="inlineStr">
        <is>
          <t>289.5x</t>
        </is>
      </c>
      <c r="Q10" t="inlineStr">
        <is>
          <t>$-67.8M</t>
        </is>
      </c>
      <c r="R10" s="3" t="n">
        <v>0.185</v>
      </c>
      <c r="S10" s="3" t="n">
        <v>0.024</v>
      </c>
      <c r="T10" t="inlineStr">
        <is>
          <t>$58.7M</t>
        </is>
      </c>
      <c r="U10" s="3" t="n">
        <v>0.054</v>
      </c>
      <c r="V10" s="3" t="n">
        <v>-0.146</v>
      </c>
      <c r="W10" s="3" t="n">
        <v>-0.502</v>
      </c>
      <c r="X10" s="3" t="n">
        <v>0.036</v>
      </c>
    </row>
    <row r="11">
      <c r="A11" t="inlineStr">
        <is>
          <t>BWP Group Ordinary/Units Stapled Securities</t>
        </is>
      </c>
      <c r="B11" t="inlineStr">
        <is>
          <t>BWP</t>
        </is>
      </c>
      <c r="C11" t="inlineStr">
        <is>
          <t>Real Estate</t>
        </is>
      </c>
      <c r="D11" t="n">
        <v>3.64</v>
      </c>
      <c r="E11" s="27" t="n">
        <v>3.75</v>
      </c>
      <c r="F11">
        <f>(E11/D11-1)*100</f>
        <v/>
      </c>
      <c r="G11" t="n">
        <v>3.42778539657592</v>
      </c>
      <c r="H11" s="27" t="n">
        <v>4.03</v>
      </c>
      <c r="I11" s="27" t="n">
        <v>3.18</v>
      </c>
      <c r="J11" t="inlineStr">
        <is>
          <t>$2.9B</t>
        </is>
      </c>
      <c r="K11" s="3" t="n">
        <v>0</v>
      </c>
      <c r="L11" t="inlineStr">
        <is>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is>
      </c>
      <c r="M11" t="inlineStr">
        <is>
          <t>9.5x</t>
        </is>
      </c>
      <c r="N11" s="3" t="n">
        <v>0.051</v>
      </c>
      <c r="O11" t="inlineStr">
        <is>
          <t>14.0x</t>
        </is>
      </c>
      <c r="Q11" t="inlineStr">
        <is>
          <t>$782.9M</t>
        </is>
      </c>
      <c r="R11" s="3" t="n">
        <v>0.285</v>
      </c>
      <c r="S11" s="3" t="n">
        <v>0.003</v>
      </c>
      <c r="T11" t="inlineStr">
        <is>
          <t>$-12.0M</t>
        </is>
      </c>
      <c r="U11" s="3" t="n">
        <v>1.306</v>
      </c>
      <c r="V11" s="3" t="n">
        <v>0.098</v>
      </c>
      <c r="W11" s="3" t="n">
        <v>-0.211</v>
      </c>
      <c r="X11" s="3" t="n">
        <v>0.096</v>
      </c>
    </row>
    <row r="16">
      <c r="H16" s="27" t="n"/>
      <c r="I16" s="27" t="n"/>
    </row>
    <row r="21">
      <c r="L21" s="21" t="n"/>
    </row>
    <row r="22">
      <c r="L22" s="21" t="n"/>
    </row>
    <row r="23">
      <c r="L23" s="21" t="n"/>
    </row>
    <row r="24">
      <c r="L24" s="21" t="n"/>
    </row>
    <row r="25">
      <c r="L25" s="21" t="n"/>
    </row>
    <row r="26">
      <c r="L26" s="21" t="n"/>
    </row>
    <row r="27">
      <c r="L27" s="21" t="n"/>
    </row>
    <row r="28">
      <c r="L28" s="21" t="n"/>
    </row>
    <row r="29">
      <c r="L29" s="21" t="n"/>
    </row>
    <row r="30">
      <c r="L30" s="21" t="n"/>
    </row>
  </sheetData>
  <pageMargins left="0.75" right="0.75" top="1" bottom="1" header="0.5" footer="0.5"/>
  <pageSetup orientation="portrait" paperSize="9"/>
</worksheet>
</file>

<file path=xl/worksheets/sheet3.xml><?xml version="1.0" encoding="utf-8"?>
<worksheet xmlns="http://schemas.openxmlformats.org/spreadsheetml/2006/main">
  <sheetPr>
    <outlinePr summaryBelow="1" summaryRight="1"/>
    <pageSetUpPr/>
  </sheetPr>
  <dimension ref="A1:AB77"/>
  <sheetViews>
    <sheetView zoomScale="90" zoomScaleNormal="90" workbookViewId="0">
      <selection activeCell="E6" sqref="E6"/>
    </sheetView>
  </sheetViews>
  <sheetFormatPr baseColWidth="8" defaultRowHeight="15"/>
  <cols>
    <col width="15.42578125" bestFit="1" customWidth="1" style="26" min="1" max="2"/>
    <col width="15" customWidth="1" style="26" min="3" max="3"/>
    <col width="13" customWidth="1" style="26" min="4" max="4"/>
    <col width="18" bestFit="1" customWidth="1" style="26" min="5" max="5"/>
    <col width="18.5703125" bestFit="1" customWidth="1" style="26" min="6" max="6"/>
    <col width="78.42578125" bestFit="1" customWidth="1" style="26" min="7" max="7"/>
    <col width="53.85546875" bestFit="1" customWidth="1" style="26" min="8" max="8"/>
    <col width="22.5703125" bestFit="1" customWidth="1" style="26" min="9" max="9"/>
    <col width="9.85546875" bestFit="1" customWidth="1" style="26" min="10" max="10"/>
    <col width="17.5703125" bestFit="1" customWidth="1" style="26" min="11" max="11"/>
    <col width="14.140625" bestFit="1" customWidth="1" style="26" min="12" max="12"/>
    <col width="13.7109375" bestFit="1" customWidth="1" style="26" min="13" max="13"/>
    <col width="11.7109375" bestFit="1" customWidth="1" style="26" min="14" max="14"/>
    <col width="14.42578125" bestFit="1" customWidth="1" style="26" min="15" max="15"/>
    <col width="18.28515625" bestFit="1" customWidth="1" style="26" min="16" max="16"/>
    <col width="9.5703125" bestFit="1" customWidth="1" style="26" min="17" max="17"/>
    <col width="14.7109375" bestFit="1" customWidth="1" style="26" min="18" max="18"/>
    <col width="9.5703125" bestFit="1" customWidth="1" style="26" min="19" max="19"/>
    <col width="11.7109375" bestFit="1" customWidth="1" style="26" min="20" max="20"/>
    <col width="9.5703125" bestFit="1" customWidth="1" style="26" min="21" max="21"/>
    <col width="20" bestFit="1" customWidth="1" style="26" min="22" max="22"/>
    <col width="13.42578125" bestFit="1" customWidth="1" style="26" min="23" max="23"/>
    <col width="15" bestFit="1" customWidth="1" style="26" min="24" max="24"/>
    <col width="17.28515625" bestFit="1" customWidth="1" style="26" min="25" max="25"/>
    <col width="30.28515625" bestFit="1" customWidth="1" style="26" min="26" max="26"/>
    <col width="25.28515625" bestFit="1" customWidth="1" style="26" min="27" max="27"/>
    <col width="8.140625" bestFit="1" customWidth="1" style="26" min="28" max="28"/>
  </cols>
  <sheetData>
    <row r="1">
      <c r="A1" s="1" t="inlineStr">
        <is>
          <t>Date:</t>
        </is>
      </c>
      <c r="B1" s="1" t="inlineStr">
        <is>
          <t>Code:</t>
        </is>
      </c>
      <c r="C1" s="1" t="inlineStr">
        <is>
          <t>Alert Price:</t>
        </is>
      </c>
      <c r="D1" s="1" t="inlineStr">
        <is>
          <t>Action:</t>
        </is>
      </c>
      <c r="E1" s="1" t="inlineStr">
        <is>
          <t>Stop Type:</t>
        </is>
      </c>
      <c r="F1" s="1" t="inlineStr">
        <is>
          <t>Buy Trigger Reason:</t>
        </is>
      </c>
      <c r="G1" s="1" t="inlineStr">
        <is>
          <t>Market State:</t>
        </is>
      </c>
      <c r="H1" s="1" t="inlineStr">
        <is>
          <t>Name:</t>
        </is>
      </c>
      <c r="I1" s="1" t="inlineStr">
        <is>
          <t>Sector:</t>
        </is>
      </c>
      <c r="J1" s="1" t="inlineStr">
        <is>
          <t>Last Price:</t>
        </is>
      </c>
      <c r="K1" s="5" t="inlineStr">
        <is>
          <t>% From Alert Price</t>
        </is>
      </c>
      <c r="L1" s="1" t="inlineStr">
        <is>
          <t>52-Week High:</t>
        </is>
      </c>
      <c r="M1" s="1" t="inlineStr">
        <is>
          <t>52-Week Low:</t>
        </is>
      </c>
      <c r="N1" s="1" t="inlineStr">
        <is>
          <t>Market Cap:</t>
        </is>
      </c>
      <c r="O1" s="1" t="inlineStr">
        <is>
          <t>Franking Level:</t>
        </is>
      </c>
      <c r="P1" s="1" t="inlineStr">
        <is>
          <t>Business Summary:</t>
        </is>
      </c>
      <c r="Q1" s="1" t="inlineStr">
        <is>
          <t>P/E Ratio:</t>
        </is>
      </c>
      <c r="R1" s="1" t="inlineStr">
        <is>
          <t>Dividend Yield:</t>
        </is>
      </c>
      <c r="S1" s="1" t="inlineStr">
        <is>
          <t>P/S Ratio:</t>
        </is>
      </c>
      <c r="T1" s="1" t="inlineStr">
        <is>
          <t>P/FCF Ratio:</t>
        </is>
      </c>
      <c r="U1" s="1" t="inlineStr">
        <is>
          <t>Net Debt:</t>
        </is>
      </c>
      <c r="V1" s="1" t="inlineStr">
        <is>
          <t>Debt-to-Equity Ratio:</t>
        </is>
      </c>
      <c r="W1" s="1" t="inlineStr">
        <is>
          <t>Current Ratio:</t>
        </is>
      </c>
      <c r="X1" s="1" t="inlineStr">
        <is>
          <t>Free Cash Flow:</t>
        </is>
      </c>
      <c r="Y1" s="1" t="inlineStr">
        <is>
          <t>Net Profit Margin:</t>
        </is>
      </c>
      <c r="Z1" s="1" t="inlineStr">
        <is>
          <t>Revenue Growth (3-Year CAGR):</t>
        </is>
      </c>
      <c r="AA1" s="1" t="inlineStr">
        <is>
          <t>EPS Growth (3-Year CAGR):</t>
        </is>
      </c>
      <c r="AB1" s="1" t="inlineStr">
        <is>
          <t>ROE:</t>
        </is>
      </c>
    </row>
    <row r="2">
      <c r="A2" s="19" t="n">
        <v>46097</v>
      </c>
      <c r="B2" s="11" t="inlineStr">
        <is>
          <t>AMC.ASX</t>
        </is>
      </c>
      <c r="C2" s="27" t="n">
        <v>56.96</v>
      </c>
      <c r="D2" s="11" t="inlineStr">
        <is>
          <t>Sell</t>
        </is>
      </c>
      <c r="E2" t="inlineStr">
        <is>
          <t>30wk Low</t>
        </is>
      </c>
      <c r="F2" s="11" t="inlineStr">
        <is>
          <t>-</t>
        </is>
      </c>
      <c r="G2" t="inlineStr">
        <is>
          <t>The momentum filter has been activated, indicating the market is no longer trending.</t>
        </is>
      </c>
      <c r="H2" t="inlineStr">
        <is>
          <t>Amcor PLC CDI 1:1 Foreign Exempt NYSE</t>
        </is>
      </c>
      <c r="I2" t="inlineStr">
        <is>
          <t>Materials</t>
        </is>
      </c>
      <c r="J2" s="27" t="n">
        <v>56.96</v>
      </c>
      <c r="K2" s="11">
        <f>(J2/C2-1)*100</f>
        <v/>
      </c>
      <c r="L2" s="27" t="n">
        <v>74.15000000000001</v>
      </c>
      <c r="M2" s="27" t="n">
        <v>56.51</v>
      </c>
      <c r="N2" t="inlineStr">
        <is>
          <t>$29.1B</t>
        </is>
      </c>
      <c r="O2" s="3" t="n">
        <v>0</v>
      </c>
      <c r="P2" t="inlineStr">
        <is>
          <t>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t>
        </is>
      </c>
      <c r="Q2" t="inlineStr">
        <is>
          <t>23.9x</t>
        </is>
      </c>
      <c r="R2" s="3" t="n">
        <v>0.068</v>
      </c>
      <c r="S2" t="inlineStr">
        <is>
          <t>1.3x</t>
        </is>
      </c>
      <c r="U2" t="inlineStr">
        <is>
          <t>$21632.6M</t>
        </is>
      </c>
      <c r="V2" s="3" t="n">
        <v>1.265</v>
      </c>
      <c r="W2" s="3" t="n">
        <v>0.01</v>
      </c>
      <c r="X2" t="inlineStr">
        <is>
          <t>$-54.1M</t>
        </is>
      </c>
      <c r="Y2" s="3" t="n">
        <v>0.033</v>
      </c>
      <c r="Z2" s="3" t="n">
        <v>0.011</v>
      </c>
      <c r="AA2" s="3" t="n">
        <v>-0.154</v>
      </c>
      <c r="AB2" s="3" t="n">
        <v>0.074</v>
      </c>
    </row>
    <row r="3">
      <c r="A3" s="19" t="n">
        <v>46097</v>
      </c>
      <c r="B3" s="11" t="inlineStr">
        <is>
          <t>JHX.ASX</t>
        </is>
      </c>
      <c r="C3" s="27" t="n">
        <v>28.28</v>
      </c>
      <c r="D3" s="11" t="inlineStr">
        <is>
          <t>Sell</t>
        </is>
      </c>
      <c r="E3" t="inlineStr">
        <is>
          <t>10% from 2wk High</t>
        </is>
      </c>
      <c r="F3" s="11" t="inlineStr">
        <is>
          <t>-</t>
        </is>
      </c>
      <c r="G3" t="inlineStr">
        <is>
          <t>The momentum filter has been activated, indicating the market is no longer trending.</t>
        </is>
      </c>
      <c r="H3" t="inlineStr">
        <is>
          <t>James Hardie Industries PLC CDI 1:1</t>
        </is>
      </c>
      <c r="I3" t="inlineStr">
        <is>
          <t>Materials</t>
        </is>
      </c>
      <c r="J3" s="27" t="n">
        <v>28.28</v>
      </c>
      <c r="K3" s="11">
        <f>(J3/C3-1)*100</f>
        <v/>
      </c>
      <c r="L3" s="27" t="n">
        <v>51.05</v>
      </c>
      <c r="M3" s="27" t="n">
        <v>24.41</v>
      </c>
      <c r="N3" t="inlineStr">
        <is>
          <t>$18.0B</t>
        </is>
      </c>
      <c r="O3" s="3" t="n">
        <v>0</v>
      </c>
      <c r="P3" t="inlineStr">
        <is>
          <t>James Hardie Industries plc is an Ireland-based company, which is engaged in providing exterior home and outdoor living solutions, with a portfolio that includes fiber cement, fiber gypsum, and composite and PVC decking and railing products. The Company's segments include North America Fiber Cement, Asia Pacific Fiber Cement and Europe Building Products. The Company's North America Fiber Cement segment manufactures fiber cement interior linings, exterior siding products and related accessories in the United States and these products are sold in the United States and Canada. The Company's Asia Pacific Fiber Cement segment includes fiber cement products manufactured in Australia and sold in Australia and New Zealand. Its Europe Building Products segment includes fiber gypsum products manufactured in Europe, and fiber cement products manufactured in the United States that are sold in Europe. The Company's brands include Hardie, TimberTech, AZEK Exteriors, Versatex, fermacell and StruXure.</t>
        </is>
      </c>
      <c r="Q3" t="inlineStr">
        <is>
          <t>38.6x</t>
        </is>
      </c>
      <c r="R3" s="3" t="n">
        <v>0</v>
      </c>
      <c r="S3" t="inlineStr">
        <is>
          <t>3.1x</t>
        </is>
      </c>
      <c r="T3" t="inlineStr">
        <is>
          <t>31.7x</t>
        </is>
      </c>
      <c r="U3" t="inlineStr">
        <is>
          <t>$7032.7M</t>
        </is>
      </c>
      <c r="V3" s="3" t="n">
        <v>0.8090000000000001</v>
      </c>
      <c r="W3" s="3" t="n">
        <v>0.018</v>
      </c>
      <c r="X3" t="inlineStr">
        <is>
          <t>$584.0M</t>
        </is>
      </c>
      <c r="Y3" s="3" t="n">
        <v>0.047</v>
      </c>
      <c r="Z3" s="3" t="n">
        <v>0.024</v>
      </c>
      <c r="AA3" s="3" t="n">
        <v>-0.016</v>
      </c>
      <c r="AB3" s="3" t="n">
        <v>0.046</v>
      </c>
    </row>
    <row r="4">
      <c r="A4" s="19" t="n">
        <v>46097</v>
      </c>
      <c r="B4" s="11" t="inlineStr">
        <is>
          <t>SGM.ASX</t>
        </is>
      </c>
      <c r="C4" s="27" t="n">
        <v>18.36</v>
      </c>
      <c r="D4" s="11" t="inlineStr">
        <is>
          <t>Sell</t>
        </is>
      </c>
      <c r="E4" t="inlineStr">
        <is>
          <t>10% from 2wk High</t>
        </is>
      </c>
      <c r="F4" s="11" t="inlineStr">
        <is>
          <t>-</t>
        </is>
      </c>
      <c r="G4" t="inlineStr">
        <is>
          <t>The momentum filter has been activated, indicating the market is no longer trending.</t>
        </is>
      </c>
      <c r="H4" t="inlineStr">
        <is>
          <t>Sims Limited Ordinary</t>
        </is>
      </c>
      <c r="I4" t="inlineStr">
        <is>
          <t>Materials</t>
        </is>
      </c>
      <c r="J4" s="27" t="n">
        <v>18.36</v>
      </c>
      <c r="K4" s="11">
        <f>(J4/C4-1)*100</f>
        <v/>
      </c>
      <c r="L4" s="27" t="n">
        <v>22.56</v>
      </c>
      <c r="M4" s="27" t="n">
        <v>12.07</v>
      </c>
      <c r="N4" t="inlineStr">
        <is>
          <t>$3.5B</t>
        </is>
      </c>
      <c r="O4" s="3" t="n">
        <v>1</v>
      </c>
      <c r="P4" t="inlineStr">
        <is>
          <t>Sims Limited is engaged in metal recycling and the provision of circular solutions for technology. Its activities include the buying, processing, and selling of ferrous and non-ferrous recycled metals, and the provision of environmentally responsible solutions for the recycling and repurposing of post-consumer electronic products and IT assets. The NAM segment comprises subsidiaries and joint ventures in the United States of America and Canada which perform ferrous and non-ferrous secondary recycling functions. The ANZ segment comprises subsidiaries in Australia, New Zealand and Papua New Guinea which perform ferrous and non-ferrous secondary recycling functions. The SAR comprises its investment in the SA Recycling joint venture in the United States of America. The SLS segment comprises subsidiaries which provide IT asset and cloud infrastructure reuse, redeployment and recycling in various countries. The GTO segment comprises its ferrous and non-ferrous marketing subsidiaries.</t>
        </is>
      </c>
      <c r="Q4" t="inlineStr">
        <is>
          <t>1238.1x</t>
        </is>
      </c>
      <c r="R4" s="3" t="n">
        <v>0.015</v>
      </c>
      <c r="S4" t="inlineStr">
        <is>
          <t>0.5x</t>
        </is>
      </c>
      <c r="T4" t="inlineStr">
        <is>
          <t>54.5x</t>
        </is>
      </c>
      <c r="U4" t="inlineStr">
        <is>
          <t>$601.7M</t>
        </is>
      </c>
      <c r="V4" s="3" t="n">
        <v>0.305</v>
      </c>
      <c r="W4" s="3" t="n">
        <v>0.017</v>
      </c>
      <c r="X4" t="inlineStr">
        <is>
          <t>$64.4M</t>
        </is>
      </c>
      <c r="Y4" s="3" t="n">
        <v>0</v>
      </c>
      <c r="Z4" s="3" t="n">
        <v>-0.067</v>
      </c>
      <c r="AA4" s="3" t="n">
        <v>-0.839</v>
      </c>
      <c r="AB4" s="3" t="n">
        <v>0.001</v>
      </c>
    </row>
    <row r="5">
      <c r="A5" s="19" t="n">
        <v>46097</v>
      </c>
      <c r="B5" s="11" t="inlineStr">
        <is>
          <t>CGF.ASX</t>
        </is>
      </c>
      <c r="C5" s="27" t="n">
        <v>7.38</v>
      </c>
      <c r="D5" s="11" t="inlineStr">
        <is>
          <t>Sell</t>
        </is>
      </c>
      <c r="E5" t="inlineStr">
        <is>
          <t>30wk Low</t>
        </is>
      </c>
      <c r="F5" s="11" t="inlineStr">
        <is>
          <t>-</t>
        </is>
      </c>
      <c r="G5" t="inlineStr">
        <is>
          <t>The momentum filter has been activated, indicating the market is no longer trending.</t>
        </is>
      </c>
      <c r="H5" t="inlineStr">
        <is>
          <t>Challenger Limited Ordinary</t>
        </is>
      </c>
      <c r="I5" t="inlineStr">
        <is>
          <t>Financials</t>
        </is>
      </c>
      <c r="J5" s="27" t="n">
        <v>7.38</v>
      </c>
      <c r="K5" s="11">
        <f>(J5/C5-1)*100</f>
        <v/>
      </c>
      <c r="L5" s="27" t="n">
        <v>9.44</v>
      </c>
      <c r="M5" s="27" t="n">
        <v>5.2</v>
      </c>
      <c r="N5" t="inlineStr">
        <is>
          <t>$6.5B</t>
        </is>
      </c>
      <c r="O5" s="3" t="n">
        <v>1</v>
      </c>
      <c r="P5" t="inlineStr">
        <is>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is>
      </c>
      <c r="Q5" t="inlineStr">
        <is>
          <t>28.9x</t>
        </is>
      </c>
      <c r="R5" s="3" t="n">
        <v>0.041</v>
      </c>
      <c r="S5" t="inlineStr">
        <is>
          <t>2.6x</t>
        </is>
      </c>
      <c r="T5" t="inlineStr">
        <is>
          <t>31.4x</t>
        </is>
      </c>
      <c r="U5" t="inlineStr">
        <is>
          <t>$7617.7M</t>
        </is>
      </c>
      <c r="V5" s="3" t="n">
        <v>2.139</v>
      </c>
      <c r="X5" t="inlineStr">
        <is>
          <t>$208.1M</t>
        </is>
      </c>
      <c r="Y5" s="3" t="n">
        <v>0.076</v>
      </c>
      <c r="Z5" s="3" t="n">
        <v>0.218</v>
      </c>
      <c r="AA5" s="3" t="n">
        <v>-0.059</v>
      </c>
      <c r="AB5" s="3" t="n">
        <v>0.05</v>
      </c>
    </row>
    <row r="6">
      <c r="A6" s="19" t="n">
        <v>46097</v>
      </c>
      <c r="B6" s="11" t="inlineStr">
        <is>
          <t>DOW.ASX</t>
        </is>
      </c>
      <c r="C6" s="27" t="n">
        <v>7.51</v>
      </c>
      <c r="D6" s="11" t="inlineStr">
        <is>
          <t>Sell</t>
        </is>
      </c>
      <c r="E6" t="inlineStr">
        <is>
          <t>10% from 2wk High</t>
        </is>
      </c>
      <c r="F6" s="11" t="inlineStr">
        <is>
          <t>-</t>
        </is>
      </c>
      <c r="G6" t="inlineStr">
        <is>
          <t>The momentum filter has been activated, indicating the market is no longer trending.</t>
        </is>
      </c>
      <c r="H6" t="inlineStr">
        <is>
          <t>Downer EDI Limited Ordinary</t>
        </is>
      </c>
      <c r="I6" t="inlineStr">
        <is>
          <t>Industrials</t>
        </is>
      </c>
      <c r="J6" s="27" t="n">
        <v>7.51</v>
      </c>
      <c r="K6" s="11">
        <f>(J6/C6-1)*100</f>
        <v/>
      </c>
      <c r="L6" s="27" t="n">
        <v>8.529999999999999</v>
      </c>
      <c r="M6" s="27" t="n">
        <v>4.84</v>
      </c>
      <c r="N6" t="inlineStr">
        <is>
          <t>$5.3B</t>
        </is>
      </c>
      <c r="O6" s="3" t="n">
        <v>1</v>
      </c>
      <c r="P6" t="inlineStr">
        <is>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is>
      </c>
      <c r="Q6" t="inlineStr">
        <is>
          <t>31.1x</t>
        </is>
      </c>
      <c r="R6" s="3" t="n">
        <v>0.036</v>
      </c>
      <c r="S6" t="inlineStr">
        <is>
          <t>0.5x</t>
        </is>
      </c>
      <c r="T6" t="inlineStr">
        <is>
          <t>18.8x</t>
        </is>
      </c>
      <c r="U6" t="inlineStr">
        <is>
          <t>$672.7M</t>
        </is>
      </c>
      <c r="V6" s="3" t="n">
        <v>0.6860000000000001</v>
      </c>
      <c r="W6" s="3" t="n">
        <v>0.008999999999999999</v>
      </c>
      <c r="X6" t="inlineStr">
        <is>
          <t>$280.8M</t>
        </is>
      </c>
      <c r="Y6" s="3" t="n">
        <v>0.014</v>
      </c>
      <c r="Z6" s="3" t="n">
        <v>-0.014</v>
      </c>
      <c r="AA6" s="3" t="n">
        <v>-0.003</v>
      </c>
      <c r="AB6" s="3" t="n">
        <v>0.066</v>
      </c>
    </row>
    <row r="7">
      <c r="A7" s="19" t="n">
        <v>46090</v>
      </c>
      <c r="B7" s="11" t="inlineStr">
        <is>
          <t>CIP.ASX</t>
        </is>
      </c>
      <c r="C7" s="27" t="n">
        <v>3.13</v>
      </c>
      <c r="D7" s="11" t="inlineStr">
        <is>
          <t>Sell</t>
        </is>
      </c>
      <c r="E7" t="inlineStr">
        <is>
          <t>30wk Low</t>
        </is>
      </c>
      <c r="F7" s="11" t="inlineStr">
        <is>
          <t>-</t>
        </is>
      </c>
      <c r="G7" t="inlineStr">
        <is>
          <t>The momentum filter has been activated, indicating the market is no longer trending.</t>
        </is>
      </c>
      <c r="H7" t="inlineStr">
        <is>
          <t>Centuria Industrial Reit Ordinary Units</t>
        </is>
      </c>
      <c r="I7" t="inlineStr">
        <is>
          <t>Real Estate</t>
        </is>
      </c>
      <c r="J7" s="27" t="n">
        <v>3.13</v>
      </c>
      <c r="K7" s="11">
        <f>(J7/C7-1)*100</f>
        <v/>
      </c>
      <c r="L7" s="27" t="n">
        <v>3.54</v>
      </c>
      <c r="M7" s="27" t="n">
        <v>2.68</v>
      </c>
      <c r="N7" t="inlineStr">
        <is>
          <t>$2.1B</t>
        </is>
      </c>
      <c r="O7" s="3" t="n">
        <v>0</v>
      </c>
      <c r="P7" t="inlineStr">
        <is>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is>
      </c>
      <c r="Q7" t="inlineStr">
        <is>
          <t>14.9x</t>
        </is>
      </c>
      <c r="R7" s="3" t="n">
        <v>0.053</v>
      </c>
      <c r="S7" t="inlineStr">
        <is>
          <t>8.9x</t>
        </is>
      </c>
      <c r="U7" t="inlineStr">
        <is>
          <t>$1344.2M</t>
        </is>
      </c>
      <c r="V7" s="3" t="n">
        <v>0.546</v>
      </c>
      <c r="W7" s="3" t="n">
        <v>0.002</v>
      </c>
      <c r="X7" t="inlineStr">
        <is>
          <t>$-7.1M</t>
        </is>
      </c>
      <c r="Y7" s="3" t="n">
        <v>0.57</v>
      </c>
      <c r="Z7" s="3" t="n">
        <v>0.047</v>
      </c>
      <c r="AA7" s="3" t="n">
        <v>-0.295</v>
      </c>
      <c r="AB7" s="3" t="n">
        <v>0.054</v>
      </c>
    </row>
    <row r="8">
      <c r="A8" s="19" t="n">
        <v>46090</v>
      </c>
      <c r="B8" s="11" t="inlineStr">
        <is>
          <t>RHC.ASX</t>
        </is>
      </c>
      <c r="C8" s="27" t="n">
        <v>44.1</v>
      </c>
      <c r="D8" s="11" t="inlineStr">
        <is>
          <t>Buy</t>
        </is>
      </c>
      <c r="E8" t="inlineStr">
        <is>
          <t>30wk Low</t>
        </is>
      </c>
      <c r="F8" t="inlineStr">
        <is>
          <t>20 Week High</t>
        </is>
      </c>
      <c r="G8" t="inlineStr">
        <is>
          <t>The momentum filter is off, indicating the market is continuing to trend.</t>
        </is>
      </c>
      <c r="H8" t="inlineStr">
        <is>
          <t>Ramsay Health Care Limited Ordinary</t>
        </is>
      </c>
      <c r="I8" t="inlineStr">
        <is>
          <t>Health Care</t>
        </is>
      </c>
      <c r="J8" s="27" t="n">
        <v>42.23</v>
      </c>
      <c r="K8" s="11">
        <f>(J8/C8-1)*100</f>
        <v/>
      </c>
      <c r="L8" s="27" t="n">
        <v>44.3</v>
      </c>
      <c r="M8" s="27" t="n">
        <v>30.1</v>
      </c>
      <c r="N8" t="inlineStr">
        <is>
          <t>$8.1B</t>
        </is>
      </c>
      <c r="O8" s="3" t="n">
        <v>1</v>
      </c>
      <c r="P8" t="inlineStr">
        <is>
          <t>Ramsay Health Care Limited is a provider of hospital and healthcare services in Australia, Europe and the United Kingdom. Its segments include Australia, the UK, France and the Nordics. Its businesses include Ramsay Australia, Ramsay Sante, Ramsay UK, and Elysium Healthcare. Ramsay Health Care is Australia's private hospital operator, with more than 70 modern hospitals, clinics and surgical centers in cities and towns across the country. Ramsay Sante is a private care provider in Europe with hundreds of modern hospitals, clinics, primary care and imaging centers across France, Sweden, Norway, Denmark and Italy. Ramsay UK has a network of hospitals and day surgeries across the UK providing a range of clinical specialties to private and self-insured patients. Elysium Healthcare is an independent provider of specialist health and care services. Elysium's four core service streams are mental health and wellbeing, learning disabilities and autism, neurological, and children and education.</t>
        </is>
      </c>
      <c r="Q8" t="inlineStr">
        <is>
          <t>1296.0x</t>
        </is>
      </c>
      <c r="R8" s="3" t="n">
        <v>0.019</v>
      </c>
      <c r="S8" t="inlineStr">
        <is>
          <t>0.5x</t>
        </is>
      </c>
      <c r="T8" t="inlineStr">
        <is>
          <t>14.9x</t>
        </is>
      </c>
      <c r="U8" t="inlineStr">
        <is>
          <t>$11335.5M</t>
        </is>
      </c>
      <c r="V8" s="3" t="n">
        <v>2.413</v>
      </c>
      <c r="W8" s="3" t="n">
        <v>0.008999999999999999</v>
      </c>
      <c r="X8" t="inlineStr">
        <is>
          <t>$542.6M</t>
        </is>
      </c>
      <c r="Y8" s="3" t="n">
        <v>0.003</v>
      </c>
      <c r="Z8" s="3" t="n">
        <v>0.105</v>
      </c>
      <c r="AA8" s="3" t="n">
        <v>-0.7</v>
      </c>
      <c r="AB8" s="3" t="n">
        <v>0.001</v>
      </c>
    </row>
    <row r="9">
      <c r="A9" s="19" t="n">
        <v>46069</v>
      </c>
      <c r="B9" s="11" t="inlineStr">
        <is>
          <t>RIO.ASX</t>
        </is>
      </c>
      <c r="C9" s="27" t="n">
        <v>169.74</v>
      </c>
      <c r="D9" t="inlineStr">
        <is>
          <t>Buy</t>
        </is>
      </c>
      <c r="E9" t="inlineStr">
        <is>
          <t>30wk Low</t>
        </is>
      </c>
      <c r="F9" t="inlineStr">
        <is>
          <t>20 Week High</t>
        </is>
      </c>
      <c r="G9" t="inlineStr">
        <is>
          <t>The momentum filter is off, indicating the market is continuing to trend.</t>
        </is>
      </c>
      <c r="H9" t="inlineStr">
        <is>
          <t>Rio Tinto Limited Ordinary</t>
        </is>
      </c>
      <c r="I9" t="inlineStr">
        <is>
          <t>Materials</t>
        </is>
      </c>
      <c r="J9" s="27" t="n">
        <v>157.89</v>
      </c>
      <c r="K9" s="11">
        <f>(J9/C9-1)*100</f>
        <v/>
      </c>
      <c r="L9" s="27" t="n">
        <v>166.93</v>
      </c>
      <c r="M9" s="27" t="n">
        <v>96.66</v>
      </c>
      <c r="N9" t="inlineStr">
        <is>
          <t>$206.5B</t>
        </is>
      </c>
      <c r="O9" s="3" t="n">
        <v>1</v>
      </c>
      <c r="P9" t="inlineStr">
        <is>
          <t>Rio Tinto Limited is a mining and materials company. It operates in 35 countries and produces iron ore, copper, aluminum, critical minerals and other materials needed for the global energy transition. Its segments include Iron Ore, Aluminum, Copper, and Minerals. The iron ore segment includes iron ore mining and salt and gypsum production in Western Australia. Its iron ore operations in the Pilbara comprise an integrated network of 18 iron ore mines and four independent port terminals. The aluminum segment includes bauxite mining, alumina refining, and aluminum smelting and recycling. The copper segment includes mining and refining of copper, gold, silver, molybdenum, other by-products and licensing of extraction technologies. The minerals segment includes mining and processing of borates, diamonds, iron concentrate and pellets from the Iron Ore Company of Canada, lithium and titanium dioxide feedstock.</t>
        </is>
      </c>
      <c r="Q9" t="inlineStr">
        <is>
          <t>11.1x</t>
        </is>
      </c>
      <c r="R9" s="3" t="n">
        <v>0.037</v>
      </c>
      <c r="S9" t="inlineStr">
        <is>
          <t>2.6x</t>
        </is>
      </c>
      <c r="U9" t="inlineStr">
        <is>
          <t>$22572.8M</t>
        </is>
      </c>
      <c r="V9" s="3" t="n">
        <v>0.406</v>
      </c>
      <c r="W9" s="3" t="n">
        <v>0.015</v>
      </c>
      <c r="X9" t="inlineStr">
        <is>
          <t>$-1587.8M</t>
        </is>
      </c>
      <c r="Y9" s="3" t="n">
        <v>0.19</v>
      </c>
      <c r="Z9" s="3" t="n">
        <v>-0.055</v>
      </c>
      <c r="AA9" s="3" t="n">
        <v>-0.183</v>
      </c>
      <c r="AB9" s="3" t="n">
        <v>0.181</v>
      </c>
    </row>
    <row r="10">
      <c r="A10" s="19" t="n">
        <v>46069</v>
      </c>
      <c r="B10" s="11" t="inlineStr">
        <is>
          <t>DBI.ASX</t>
        </is>
      </c>
      <c r="C10" s="27" t="n">
        <v>5.08</v>
      </c>
      <c r="D10" t="inlineStr">
        <is>
          <t>Buy</t>
        </is>
      </c>
      <c r="E10" t="inlineStr">
        <is>
          <t>30wk Low</t>
        </is>
      </c>
      <c r="F10" t="inlineStr">
        <is>
          <t>20 Week High</t>
        </is>
      </c>
      <c r="G10" t="inlineStr">
        <is>
          <t>The momentum filter is off, indicating the market is continuing to trend.</t>
        </is>
      </c>
      <c r="H10" t="inlineStr">
        <is>
          <t>Dalrymple Bay Infrastructure Limited Ordinary/Notes Stapled Securities</t>
        </is>
      </c>
      <c r="I10" t="inlineStr">
        <is>
          <t>Industrials</t>
        </is>
      </c>
      <c r="J10" s="27" t="n">
        <v>4.93</v>
      </c>
      <c r="K10" s="11">
        <f>(J10/C10-1)*100</f>
        <v/>
      </c>
      <c r="L10" s="27" t="n">
        <v>5.51</v>
      </c>
      <c r="M10" s="27" t="n">
        <v>3.4</v>
      </c>
      <c r="N10" t="inlineStr">
        <is>
          <t>$2.4B</t>
        </is>
      </c>
      <c r="O10" s="3" t="n">
        <v>0</v>
      </c>
      <c r="P10" t="inlineStr">
        <is>
          <t>Dalrymple Bay Infrastructure Limited is an Australian infrastructure company. The Company, through its foundation asset, the Dalrymple Bay Terminal (DBT), is focused on providing terminal infrastructure and services for producers and consumers of Australian coal exports. The DBT, as the metallurgical coal export facility, serves as a global gateway from the Bowen Basin and is a critical link in the global steelmaking supply chain. The DBT is a multi-user export terminal located within the Port of Hay Point, approximately 38 kilometers (kms) south of Mackay and 900 kms north of Brisbane. The DBT supply chain is capable of handling up to 84.2 million tons per annum (Mtpa) of coal. Coal handled by DBT is exported to over 25 countries, with core markets comprising China, Japan, Korea, Taiwan and India. The Company's subsidiaries include Dalrymple Bay Infrastructure Holdings Pty Ltd, Dalrymple Bay Infrastructure Management Pty Ltd and Dalrymple Bay Finance Pty Ltd.</t>
        </is>
      </c>
      <c r="Q10" t="inlineStr">
        <is>
          <t>23.9x</t>
        </is>
      </c>
      <c r="R10" s="3" t="n">
        <v>0.05</v>
      </c>
      <c r="S10" t="inlineStr">
        <is>
          <t>3.2x</t>
        </is>
      </c>
      <c r="T10" t="inlineStr">
        <is>
          <t>213.1x</t>
        </is>
      </c>
      <c r="U10" t="inlineStr">
        <is>
          <t>$1869.4M</t>
        </is>
      </c>
      <c r="V10" s="3" t="n">
        <v>1.802</v>
      </c>
      <c r="W10" s="3" t="n">
        <v>0.011</v>
      </c>
      <c r="X10" t="inlineStr">
        <is>
          <t>$11.4M</t>
        </is>
      </c>
      <c r="Y10" s="3" t="n">
        <v>0.111</v>
      </c>
      <c r="Z10" s="3" t="n">
        <v>0.149</v>
      </c>
      <c r="AA10" s="3" t="n">
        <v>-0.14</v>
      </c>
      <c r="AB10" s="3" t="n">
        <v>0.082</v>
      </c>
    </row>
    <row r="11">
      <c r="A11" s="19" t="n">
        <v>46069</v>
      </c>
      <c r="B11" s="11" t="inlineStr">
        <is>
          <t>ANZ.ASX</t>
        </is>
      </c>
      <c r="C11" s="27" t="n">
        <v>40.89</v>
      </c>
      <c r="D11" t="inlineStr">
        <is>
          <t>Buy</t>
        </is>
      </c>
      <c r="E11" t="inlineStr">
        <is>
          <t>30wk Low</t>
        </is>
      </c>
      <c r="F11" t="inlineStr">
        <is>
          <t>20 Week High</t>
        </is>
      </c>
      <c r="G11" t="inlineStr">
        <is>
          <t>The momentum filter is off, indicating the market is continuing to trend.</t>
        </is>
      </c>
      <c r="H11" t="inlineStr">
        <is>
          <t>ANZ Group Holdings Limited Ordinary</t>
        </is>
      </c>
      <c r="I11" t="inlineStr">
        <is>
          <t>Financials</t>
        </is>
      </c>
      <c r="J11" s="27" t="n">
        <v>37.2</v>
      </c>
      <c r="K11" s="11">
        <f>(J11/C11-1)*100</f>
        <v/>
      </c>
      <c r="L11" s="27" t="n">
        <v>41</v>
      </c>
      <c r="M11" s="27" t="n">
        <v>24.93</v>
      </c>
      <c r="N11" t="inlineStr">
        <is>
          <t>$110.6B</t>
        </is>
      </c>
      <c r="O11" s="3" t="n">
        <v>0.7</v>
      </c>
      <c r="P11" t="inlineStr">
        <is>
          <t xml:space="preserve">ANZ Group Holdings Limited is a non-operating holding company. Its divisions include Australia Retail, Australia Commercial, Institutional, New Zealand, Suncorp Bank, Pacific, and Group Center. The Australia Retail division provides a full range of banking services to Australian consumers. This includes Home Loans, Deposits, Credit Cards and Personal Loans. The Australia Commercial division offers a range of banking products and financial services. The Institutional division services institutional and corporate customers, and governments across Australia, New Zealand and International, including Papua New Guinea, via the business units, such as Transaction Banking, Corporate Finance, and Markets. New Zealand division comprises of business unit, such as Personal and Business &amp; Agri. The Suncorp Bank division provides banking and related services to retail, commercial, small and medium enterprises and agribusiness customers in Australia. </t>
        </is>
      </c>
      <c r="Q11" t="inlineStr">
        <is>
          <t>16.8x</t>
        </is>
      </c>
      <c r="R11" s="3" t="n">
        <v>0.045</v>
      </c>
      <c r="S11" t="inlineStr">
        <is>
          <t>4.7x</t>
        </is>
      </c>
      <c r="T11" t="inlineStr">
        <is>
          <t>5.1x</t>
        </is>
      </c>
      <c r="U11" t="inlineStr">
        <is>
          <t>$40981.0M</t>
        </is>
      </c>
      <c r="V11" s="3" t="n">
        <v>3.179</v>
      </c>
      <c r="X11" t="inlineStr">
        <is>
          <t>$21537.0M</t>
        </is>
      </c>
      <c r="Y11" s="3" t="n">
        <v>0.251</v>
      </c>
      <c r="Z11" s="3" t="n">
        <v>0.394</v>
      </c>
      <c r="AA11" s="3" t="n">
        <v>-0.056</v>
      </c>
      <c r="AB11" s="3" t="n">
        <v>0.08400000000000001</v>
      </c>
    </row>
    <row r="12">
      <c r="A12" s="19" t="n">
        <v>46069</v>
      </c>
      <c r="B12" s="11" t="inlineStr">
        <is>
          <t>AMC.ASX</t>
        </is>
      </c>
      <c r="C12" s="27" t="n">
        <v>70.06</v>
      </c>
      <c r="D12" t="inlineStr">
        <is>
          <t>Buy</t>
        </is>
      </c>
      <c r="E12" t="inlineStr">
        <is>
          <t>30wk Low</t>
        </is>
      </c>
      <c r="F12" t="inlineStr">
        <is>
          <t>20 Week High</t>
        </is>
      </c>
      <c r="G12" t="inlineStr">
        <is>
          <t>The momentum filter is off, indicating the market is continuing to trend.</t>
        </is>
      </c>
      <c r="H12" t="inlineStr">
        <is>
          <t>Amcor PLC CDI 1:1 Foreign Exempt NYSE</t>
        </is>
      </c>
      <c r="I12" t="inlineStr">
        <is>
          <t>Materials</t>
        </is>
      </c>
      <c r="J12" s="27" t="n">
        <v>56.96</v>
      </c>
      <c r="K12" s="11">
        <f>(J12/C12-1)*100</f>
        <v/>
      </c>
      <c r="L12" s="27" t="n">
        <v>74.15000000000001</v>
      </c>
      <c r="M12" s="27" t="n">
        <v>56.51</v>
      </c>
      <c r="N12" t="inlineStr">
        <is>
          <t>$29.1B</t>
        </is>
      </c>
      <c r="O12" s="3" t="n">
        <v>0</v>
      </c>
      <c r="P12" t="inlineStr">
        <is>
          <t>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t>
        </is>
      </c>
      <c r="Q12" t="inlineStr">
        <is>
          <t>23.9x</t>
        </is>
      </c>
      <c r="R12" s="3" t="n">
        <v>0.068</v>
      </c>
      <c r="S12" t="inlineStr">
        <is>
          <t>1.3x</t>
        </is>
      </c>
      <c r="U12" t="inlineStr">
        <is>
          <t>$21632.6M</t>
        </is>
      </c>
      <c r="V12" s="3" t="n">
        <v>1.265</v>
      </c>
      <c r="W12" s="3" t="n">
        <v>0.01</v>
      </c>
      <c r="X12" t="inlineStr">
        <is>
          <t>$-54.1M</t>
        </is>
      </c>
      <c r="Y12" s="3" t="n">
        <v>0.033</v>
      </c>
      <c r="Z12" s="3" t="n">
        <v>0.011</v>
      </c>
      <c r="AA12" s="3" t="n">
        <v>-0.154</v>
      </c>
      <c r="AB12" s="3" t="n">
        <v>0.074</v>
      </c>
    </row>
    <row r="13">
      <c r="A13" s="19" t="n">
        <v>46069</v>
      </c>
      <c r="B13" s="11" t="inlineStr">
        <is>
          <t>JHX.ASX</t>
        </is>
      </c>
      <c r="C13" s="27" t="n">
        <v>36.54</v>
      </c>
      <c r="D13" t="inlineStr">
        <is>
          <t>Buy</t>
        </is>
      </c>
      <c r="E13" t="inlineStr">
        <is>
          <t>30wk Low</t>
        </is>
      </c>
      <c r="F13" t="inlineStr">
        <is>
          <t>20 Week High</t>
        </is>
      </c>
      <c r="G13" t="inlineStr">
        <is>
          <t>The momentum filter is off, indicating the market is continuing to trend.</t>
        </is>
      </c>
      <c r="H13" t="inlineStr">
        <is>
          <t>James Hardie Industries PLC CDI 1:1</t>
        </is>
      </c>
      <c r="I13" t="inlineStr">
        <is>
          <t>Materials</t>
        </is>
      </c>
      <c r="J13" s="27" t="n">
        <v>28.28</v>
      </c>
      <c r="K13" s="11">
        <f>(J13/C13-1)*100</f>
        <v/>
      </c>
      <c r="L13" s="27" t="n">
        <v>51.05</v>
      </c>
      <c r="M13" s="27" t="n">
        <v>24.41</v>
      </c>
      <c r="N13" t="inlineStr">
        <is>
          <t>$18.0B</t>
        </is>
      </c>
      <c r="O13" s="3" t="n">
        <v>0</v>
      </c>
      <c r="P13" t="inlineStr">
        <is>
          <t>James Hardie Industries plc is an Ireland-based company, which is engaged in providing exterior home and outdoor living solutions, with a portfolio that includes fiber cement, fiber gypsum, and composite and PVC decking and railing products. The Company's segments include North America Fiber Cement, Asia Pacific Fiber Cement and Europe Building Products. The Company's North America Fiber Cement segment manufactures fiber cement interior linings, exterior siding products and related accessories in the United States and these products are sold in the United States and Canada. The Company's Asia Pacific Fiber Cement segment includes fiber cement products manufactured in Australia and sold in Australia and New Zealand. Its Europe Building Products segment includes fiber gypsum products manufactured in Europe, and fiber cement products manufactured in the United States that are sold in Europe. The Company's brands include Hardie, TimberTech, AZEK Exteriors, Versatex, fermacell and StruXure.</t>
        </is>
      </c>
      <c r="Q13" t="inlineStr">
        <is>
          <t>38.6x</t>
        </is>
      </c>
      <c r="R13" s="3" t="n">
        <v>0</v>
      </c>
      <c r="S13" t="inlineStr">
        <is>
          <t>3.1x</t>
        </is>
      </c>
      <c r="T13" t="inlineStr">
        <is>
          <t>31.7x</t>
        </is>
      </c>
      <c r="U13" t="inlineStr">
        <is>
          <t>$7032.7M</t>
        </is>
      </c>
      <c r="V13" s="3" t="n">
        <v>0.8090000000000001</v>
      </c>
      <c r="W13" s="3" t="n">
        <v>0.018</v>
      </c>
      <c r="X13" t="inlineStr">
        <is>
          <t>$584.0M</t>
        </is>
      </c>
      <c r="Y13" s="3" t="n">
        <v>0.047</v>
      </c>
      <c r="Z13" s="3" t="n">
        <v>0.024</v>
      </c>
      <c r="AA13" s="3" t="n">
        <v>-0.016</v>
      </c>
      <c r="AB13" s="3" t="n">
        <v>0.046</v>
      </c>
    </row>
    <row r="14">
      <c r="A14" s="19" t="n">
        <v>46069</v>
      </c>
      <c r="B14" s="11" t="inlineStr">
        <is>
          <t>AGL.ASX</t>
        </is>
      </c>
      <c r="C14" s="27" t="n">
        <v>10.42</v>
      </c>
      <c r="D14" t="inlineStr">
        <is>
          <t>Buy</t>
        </is>
      </c>
      <c r="E14" t="inlineStr">
        <is>
          <t>30wk Low</t>
        </is>
      </c>
      <c r="F14" t="inlineStr">
        <is>
          <t>20 Week High</t>
        </is>
      </c>
      <c r="G14" t="inlineStr">
        <is>
          <t>The momentum filter is off, indicating the market is continuing to trend.</t>
        </is>
      </c>
      <c r="H14" t="inlineStr">
        <is>
          <t>AGL Energy Limited Ordinary</t>
        </is>
      </c>
      <c r="I14" t="inlineStr">
        <is>
          <t>Utilities</t>
        </is>
      </c>
      <c r="J14" s="27" t="n">
        <v>8.93</v>
      </c>
      <c r="K14" s="11">
        <f>(J14/C14-1)*100</f>
        <v/>
      </c>
      <c r="L14" s="27" t="n">
        <v>10.65</v>
      </c>
      <c r="M14" s="27" t="n">
        <v>7.84</v>
      </c>
      <c r="N14" t="inlineStr">
        <is>
          <t>$6.3B</t>
        </is>
      </c>
      <c r="O14" s="3" t="n">
        <v>1</v>
      </c>
      <c r="P14" t="inlineStr">
        <is>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is>
      </c>
      <c r="R14" s="3" t="n">
        <v>0.055</v>
      </c>
      <c r="S14" t="inlineStr">
        <is>
          <t>0.4x</t>
        </is>
      </c>
      <c r="U14" t="inlineStr">
        <is>
          <t>$2214.0M</t>
        </is>
      </c>
      <c r="V14" s="3" t="n">
        <v>0.681</v>
      </c>
      <c r="W14" s="3" t="n">
        <v>0.008999999999999999</v>
      </c>
      <c r="X14" t="inlineStr">
        <is>
          <t>$-674.0M</t>
        </is>
      </c>
      <c r="Y14" s="3" t="n">
        <v>-0.007</v>
      </c>
      <c r="Z14" s="3" t="n">
        <v>0.029</v>
      </c>
      <c r="AB14" s="3" t="n">
        <v>-0.019</v>
      </c>
    </row>
    <row r="15">
      <c r="A15" s="19" t="n">
        <v>46069</v>
      </c>
      <c r="B15" s="11" t="inlineStr">
        <is>
          <t>NAB.ASX</t>
        </is>
      </c>
      <c r="C15" s="27" t="n">
        <v>46.01</v>
      </c>
      <c r="D15" t="inlineStr">
        <is>
          <t>Buy</t>
        </is>
      </c>
      <c r="E15" t="inlineStr">
        <is>
          <t>30wk Low</t>
        </is>
      </c>
      <c r="F15" t="inlineStr">
        <is>
          <t>20 Week High</t>
        </is>
      </c>
      <c r="G15" t="inlineStr">
        <is>
          <t>The momentum filter is off, indicating the market is continuing to trend.</t>
        </is>
      </c>
      <c r="H15" t="inlineStr">
        <is>
          <t>National Australia Bank Limited Ordinary</t>
        </is>
      </c>
      <c r="I15" t="inlineStr">
        <is>
          <t>Financials</t>
        </is>
      </c>
      <c r="J15" s="27" t="n">
        <v>47.11</v>
      </c>
      <c r="K15" s="11">
        <f>(J15/C15-1)*100</f>
        <v/>
      </c>
      <c r="L15" s="27" t="n">
        <v>49.45</v>
      </c>
      <c r="M15" s="27" t="n">
        <v>29.81</v>
      </c>
      <c r="N15" t="inlineStr">
        <is>
          <t>$130.5B</t>
        </is>
      </c>
      <c r="O15" s="3" t="n">
        <v>1</v>
      </c>
      <c r="P15" t="inlineStr">
        <is>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is>
      </c>
      <c r="Q15" t="inlineStr">
        <is>
          <t>19.9x</t>
        </is>
      </c>
      <c r="R15" s="3" t="n">
        <v>0.036</v>
      </c>
      <c r="S15" t="inlineStr">
        <is>
          <t>5.2x</t>
        </is>
      </c>
      <c r="T15" t="inlineStr">
        <is>
          <t>57.4x</t>
        </is>
      </c>
      <c r="U15" t="inlineStr">
        <is>
          <t>$95462.0M</t>
        </is>
      </c>
      <c r="V15" s="3" t="n">
        <v>3.02</v>
      </c>
      <c r="X15" t="inlineStr">
        <is>
          <t>$2275.0M</t>
        </is>
      </c>
      <c r="Y15" s="3" t="n">
        <v>0.324</v>
      </c>
      <c r="Z15" s="3" t="n">
        <v>0.364</v>
      </c>
      <c r="AA15" s="3" t="n">
        <v>0.016</v>
      </c>
      <c r="AB15" s="3" t="n">
        <v>0.109</v>
      </c>
    </row>
    <row r="16">
      <c r="A16" s="19" t="n">
        <v>46062</v>
      </c>
      <c r="B16" t="inlineStr">
        <is>
          <t>LTR.ASX</t>
        </is>
      </c>
      <c r="C16" s="27" t="n">
        <v>1.67</v>
      </c>
      <c r="D16" s="11" t="inlineStr">
        <is>
          <t>Sell</t>
        </is>
      </c>
      <c r="E16" t="inlineStr">
        <is>
          <t>10% from 2wk High</t>
        </is>
      </c>
      <c r="F16" s="11" t="inlineStr">
        <is>
          <t>-</t>
        </is>
      </c>
      <c r="G16" t="inlineStr">
        <is>
          <t>The momentum filter has been activated, indicating the market is no longer trending.</t>
        </is>
      </c>
      <c r="H16" t="inlineStr">
        <is>
          <t>Liontown Limited Ordinary</t>
        </is>
      </c>
      <c r="I16" t="inlineStr">
        <is>
          <t>Materials</t>
        </is>
      </c>
      <c r="J16" s="27" t="n">
        <v>1.67</v>
      </c>
      <c r="K16" s="11">
        <f>(J16/C16-1)*100</f>
        <v/>
      </c>
      <c r="L16" s="27" t="n">
        <v>2.26</v>
      </c>
      <c r="M16" s="27" t="n">
        <v>0.42</v>
      </c>
      <c r="N16" t="inlineStr">
        <is>
          <t>$5.0B</t>
        </is>
      </c>
      <c r="P16" t="inlineStr">
        <is>
          <t>Liontown Limited, formerly Liontown Resources Ltd, is an Australia-based battery minerals producer. The Company controls two major hard rock lithium deposits. The Company's projects include Kathleen Valley Project and Buldania Project. The Kathleen Valley Project is located in an established mining region about 60 kilometers north of Leinster and 680 kilometers north-east of Perth, Western Australia. The Kathleen Valley Lithium Project is a Tier-1 battery metals asset. The Buldania Project is in the Eastern Goldfields Province of Western Australia, approximately 600 kilometers east of Perth. The Project is close to major road and rail infrastructure with direct access to the Port of Esperance 200 kilometers to the south. The Company's downstream expansion project includes investigating the potential for an integrated refinery to upgrade its spodumene from the Kathleen Valley mine to higher value lithium products.</t>
        </is>
      </c>
      <c r="R16" s="3" t="n">
        <v>0</v>
      </c>
      <c r="S16" t="inlineStr">
        <is>
          <t>16.7x</t>
        </is>
      </c>
      <c r="U16" t="inlineStr">
        <is>
          <t>$649.2M</t>
        </is>
      </c>
      <c r="V16" s="3" t="n">
        <v>1.432</v>
      </c>
      <c r="W16" s="3" t="n">
        <v>0.004</v>
      </c>
      <c r="X16" t="inlineStr">
        <is>
          <t>$-330.0M</t>
        </is>
      </c>
      <c r="Y16" s="3" t="n">
        <v>-0.65</v>
      </c>
      <c r="AB16" s="3" t="n">
        <v>-0.286</v>
      </c>
    </row>
    <row r="17">
      <c r="A17" s="19" t="n">
        <v>46062</v>
      </c>
      <c r="B17" t="inlineStr">
        <is>
          <t>GGP.ASX</t>
        </is>
      </c>
      <c r="C17" s="27" t="n">
        <v>11.87</v>
      </c>
      <c r="D17" s="11" t="inlineStr">
        <is>
          <t>Sell</t>
        </is>
      </c>
      <c r="E17" t="inlineStr">
        <is>
          <t>10% from 2wk High</t>
        </is>
      </c>
      <c r="F17" s="11" t="inlineStr">
        <is>
          <t>-</t>
        </is>
      </c>
      <c r="G17" t="inlineStr">
        <is>
          <t>The momentum filter has been activated, indicating the market is no longer trending.</t>
        </is>
      </c>
      <c r="H17" t="inlineStr">
        <is>
          <t>Greatland Resources Limited Ordinary</t>
        </is>
      </c>
      <c r="I17" t="inlineStr">
        <is>
          <t>Materials</t>
        </is>
      </c>
      <c r="J17" s="27" t="n">
        <v>11.87</v>
      </c>
      <c r="K17" s="11">
        <f>(J17/C17-1)*100</f>
        <v/>
      </c>
      <c r="L17" s="27" t="n">
        <v>4.91</v>
      </c>
      <c r="M17" s="27" t="n">
        <v>14.43</v>
      </c>
      <c r="N17" t="inlineStr">
        <is>
          <t>$7.2B</t>
        </is>
      </c>
      <c r="P17" t="inlineStr">
        <is>
          <t xml:space="preserve">Greatland Resources Ltd is an Australia-based gold and copper producer. The Company operates the Telfer gold mine and is developing the nearby Havieron gold-copper project and exploring across a significant regional portfolio. Telfer gold mine is an operating gold-copper mine located in the Paterson Province of the East Pilbara region in Western Australia, approximately 1,300 kilometers (km) northeast of Perth and 485 km east-southeast of Port Hedland. Telfer gold mine is engaged in mining from the West Dome Open Pit and Main Dome underground using contractors Macmahon for surface mining and Byrnecut for underground mining. The Havieron gold-copper project is a brownfield, underground gold-copper deposit located in the Paterson province in the East Pilbara region of Western Australia, approximately 45km east of the Telfer gold-copper mine. </t>
        </is>
      </c>
      <c r="Q17" t="inlineStr">
        <is>
          <t>8.6x</t>
        </is>
      </c>
      <c r="R17" s="3" t="n">
        <v>0</v>
      </c>
      <c r="S17" t="inlineStr">
        <is>
          <t>7.5x</t>
        </is>
      </c>
      <c r="T17" t="inlineStr">
        <is>
          <t>16.6x</t>
        </is>
      </c>
      <c r="U17" t="inlineStr">
        <is>
          <t>$-543.1M</t>
        </is>
      </c>
      <c r="V17" s="3" t="n">
        <v>0.024</v>
      </c>
      <c r="W17" s="3" t="n">
        <v>0.026</v>
      </c>
      <c r="X17" t="inlineStr">
        <is>
          <t>$431.9M</t>
        </is>
      </c>
      <c r="Y17" s="3" t="n">
        <v>0.352</v>
      </c>
    </row>
    <row r="18">
      <c r="A18" s="19" t="n">
        <v>46062</v>
      </c>
      <c r="B18" t="inlineStr">
        <is>
          <t>MIN.ASX</t>
        </is>
      </c>
      <c r="C18" s="27" t="n">
        <v>51.81</v>
      </c>
      <c r="D18" s="11" t="inlineStr">
        <is>
          <t>Sell</t>
        </is>
      </c>
      <c r="E18" t="inlineStr">
        <is>
          <t>10% from 2wk High</t>
        </is>
      </c>
      <c r="F18" s="11" t="inlineStr">
        <is>
          <t>-</t>
        </is>
      </c>
      <c r="G18" t="inlineStr">
        <is>
          <t>The momentum filter has been activated, indicating the market is no longer trending.</t>
        </is>
      </c>
      <c r="H18" t="inlineStr">
        <is>
          <t>Mineral Resources Limited Ordinary</t>
        </is>
      </c>
      <c r="I18" t="inlineStr">
        <is>
          <t>Materials</t>
        </is>
      </c>
      <c r="J18" s="27" t="n">
        <v>51.81</v>
      </c>
      <c r="K18" s="11">
        <f>(J18/C18-1)*100</f>
        <v/>
      </c>
      <c r="L18" s="27" t="n">
        <v>65.79000000000001</v>
      </c>
      <c r="M18" s="27" t="n">
        <v>14.05</v>
      </c>
      <c r="N18" t="inlineStr">
        <is>
          <t>$11.0B</t>
        </is>
      </c>
      <c r="O18" s="3" t="n">
        <v>1</v>
      </c>
      <c r="P18" t="inlineStr">
        <is>
          <t>Mineral Resources Ltd is a diversified resources company with operations in lithium, iron ore, energy and mining services across Western Australia. The principal activities of the Company include mining activities and the integrated supply of goods and services to the resource sectors. It operates in five segments: Mining Services, Iron Ore, Lithium, Energy and Other Commodities. The Company, through its wholly owned subsidiary, CSI Mining Services (CSI), is a provider of pit-to-ship mining services to the resource industry. Its offerings include mining and processing, transport and logistics, and manufacturing, rehabilitation services, and equipment and parts. Its engineering and construction division consolidates project delivery and offers a range of complex projects across several commodities, including iron ore, lithium and gas, as well as road and port construction projects. It has a portfolio of iron ore operations spanning the Pilbara and Onslow regions.</t>
        </is>
      </c>
      <c r="R18" s="3" t="n">
        <v>0</v>
      </c>
      <c r="S18" t="inlineStr">
        <is>
          <t>2.5x</t>
        </is>
      </c>
      <c r="U18" t="inlineStr">
        <is>
          <t>$5319.0M</t>
        </is>
      </c>
      <c r="V18" s="3" t="n">
        <v>1.786</v>
      </c>
      <c r="W18" s="3" t="n">
        <v>0.011</v>
      </c>
      <c r="X18" t="inlineStr">
        <is>
          <t>$-2429.0M</t>
        </is>
      </c>
      <c r="Y18" s="3" t="n">
        <v>-0.2</v>
      </c>
      <c r="Z18" s="3" t="n">
        <v>0.094</v>
      </c>
      <c r="AB18" s="3" t="n">
        <v>-0.267</v>
      </c>
    </row>
    <row r="19">
      <c r="A19" s="19" t="n">
        <v>46062</v>
      </c>
      <c r="B19" t="inlineStr">
        <is>
          <t>WAF.ASX</t>
        </is>
      </c>
      <c r="C19" s="27" t="n">
        <v>3.2</v>
      </c>
      <c r="D19" s="11" t="inlineStr">
        <is>
          <t>Sell</t>
        </is>
      </c>
      <c r="E19" t="inlineStr">
        <is>
          <t>10% from 2wk High</t>
        </is>
      </c>
      <c r="F19" s="11" t="inlineStr">
        <is>
          <t>-</t>
        </is>
      </c>
      <c r="G19" t="inlineStr">
        <is>
          <t>The momentum filter has been activated, indicating the market is no longer trending.</t>
        </is>
      </c>
      <c r="H19" t="inlineStr">
        <is>
          <t>West African Resources Limited Ordinary</t>
        </is>
      </c>
      <c r="I19" t="inlineStr">
        <is>
          <t>Materials</t>
        </is>
      </c>
      <c r="J19" s="27" t="n">
        <v>3.2</v>
      </c>
      <c r="K19" s="11">
        <f>(J19/C19-1)*100</f>
        <v/>
      </c>
      <c r="L19" s="27" t="n">
        <v>3.97</v>
      </c>
      <c r="M19" s="27" t="n">
        <v>1.4</v>
      </c>
      <c r="N19" t="inlineStr">
        <is>
          <t>$3.6B</t>
        </is>
      </c>
      <c r="P19" t="inlineStr">
        <is>
          <t>West African Resources Limited is an Australia-based gold mining company. The Company is engaged in mining, mineral processing, exploration, project development, community and social sustainability, and rehabilitation within the West African country of Burkina Faso. It operates through two segments: the Mining Operations, which comprises the Sanbrado Gold Project operations located in Burkina Faso, and Construction and Exploration &amp; Evaluation (E&amp;E) segment comprises mines under construction and exploration and evaluation projects in locations other than Sanbrado. Its Sanbrado Gold Project is located approximately 90 kilometers (kms) east-southeast of Ouagadougou, the capital of Burkina Faso. Its Kiaka Gold Project is approximately 45 km south of Sanbrado Gold Mine in Burkina Faso. Its Toega Gold Project is located 14 km southwest of the Company's Sanbrado gold operation. Its tenement portfolio comprises over 1,334 km2 over the Markoye fault region in central and southern Burkina Faso.</t>
        </is>
      </c>
      <c r="Q19" t="inlineStr">
        <is>
          <t>7.9x</t>
        </is>
      </c>
      <c r="R19" s="3" t="n">
        <v>0</v>
      </c>
      <c r="S19" t="inlineStr">
        <is>
          <t>5.0x</t>
        </is>
      </c>
      <c r="U19" t="inlineStr">
        <is>
          <t>$151.7M</t>
        </is>
      </c>
      <c r="V19" s="3" t="n">
        <v>0.298</v>
      </c>
      <c r="W19" s="3" t="n">
        <v>0.018</v>
      </c>
      <c r="X19" t="inlineStr">
        <is>
          <t>$-235.7M</t>
        </is>
      </c>
      <c r="Y19" s="3" t="n">
        <v>0.427</v>
      </c>
      <c r="Z19" s="3" t="n">
        <v>0.008</v>
      </c>
      <c r="AA19" s="3" t="n">
        <v>-0.002</v>
      </c>
      <c r="AB19" s="3" t="n">
        <v>0.274</v>
      </c>
    </row>
    <row r="20">
      <c r="A20" s="19" t="n">
        <v>46062</v>
      </c>
      <c r="B20" t="inlineStr">
        <is>
          <t>EMR.ASX</t>
        </is>
      </c>
      <c r="C20" s="27" t="n">
        <v>6.37</v>
      </c>
      <c r="D20" s="11" t="inlineStr">
        <is>
          <t>Sell</t>
        </is>
      </c>
      <c r="E20" t="inlineStr">
        <is>
          <t>10% from 2wk High</t>
        </is>
      </c>
      <c r="F20" s="11" t="inlineStr">
        <is>
          <t>-</t>
        </is>
      </c>
      <c r="G20" t="inlineStr">
        <is>
          <t>The momentum filter has been activated, indicating the market is no longer trending.</t>
        </is>
      </c>
      <c r="H20" t="inlineStr">
        <is>
          <t>Emerald Resources NL Ordinary</t>
        </is>
      </c>
      <c r="I20" t="inlineStr">
        <is>
          <t>Materials</t>
        </is>
      </c>
      <c r="J20" s="27" t="n">
        <v>6.37</v>
      </c>
      <c r="K20" s="11">
        <f>(J20/C20-1)*100</f>
        <v/>
      </c>
      <c r="L20" s="27" t="n">
        <v>8.109999999999999</v>
      </c>
      <c r="M20" s="27" t="n">
        <v>3.24</v>
      </c>
      <c r="N20" t="inlineStr">
        <is>
          <t>$4.2B</t>
        </is>
      </c>
      <c r="P20" t="inlineStr">
        <is>
          <t>Emerald Resources NL is an Australia-based gold exploration and mining company. The Company's four operating segments include mine operations, exploration and evaluation of mineral reserves, mine development and others. It operates the Okvau Gold Deposit in the Mondulkiri province of eastern Cambodia and is exploring, with the view to developing other prospective gold projects in Cambodia. Its interest in its Cambodian Projects covers a combined area of over 1,428 square kilometers (km2). Okvau Gold Mine is located over 275 km north-east of Cambodia's capital city of Phnom Penh in the province of Mondulkiri. Its 100% owned Memot Gold Project is located over 100 km southwest of the Okvau Gold Mine and has approximately 107 km2 of a highly prospective area for gold exploration. The Company's Australian operations are focused on the North Laverton Gold Project's tenements, in the Dingo Range greenstone belt.</t>
        </is>
      </c>
      <c r="Q20" t="inlineStr">
        <is>
          <t>29.4x</t>
        </is>
      </c>
      <c r="R20" s="3" t="n">
        <v>0</v>
      </c>
      <c r="S20" t="inlineStr">
        <is>
          <t>9.7x</t>
        </is>
      </c>
      <c r="T20" t="inlineStr">
        <is>
          <t>30.9x</t>
        </is>
      </c>
      <c r="U20" t="inlineStr">
        <is>
          <t>$-179.5M</t>
        </is>
      </c>
      <c r="V20" s="3" t="n">
        <v>0.033</v>
      </c>
      <c r="W20" s="3" t="n">
        <v>0.036</v>
      </c>
      <c r="X20" t="inlineStr">
        <is>
          <t>$137.0M</t>
        </is>
      </c>
      <c r="Y20" s="3" t="n">
        <v>0.2</v>
      </c>
      <c r="Z20" s="3" t="n">
        <v>0.285</v>
      </c>
      <c r="AA20" s="3" t="n">
        <v>0.164</v>
      </c>
      <c r="AB20" s="3" t="n">
        <v>0.144</v>
      </c>
    </row>
    <row r="21">
      <c r="A21" s="19" t="n">
        <v>46062</v>
      </c>
      <c r="B21" t="inlineStr">
        <is>
          <t>ALX.ASX</t>
        </is>
      </c>
      <c r="C21" s="27" t="n">
        <v>4.58</v>
      </c>
      <c r="D21" s="11" t="inlineStr">
        <is>
          <t>Sell</t>
        </is>
      </c>
      <c r="E21" t="inlineStr">
        <is>
          <t>30wk Low</t>
        </is>
      </c>
      <c r="F21" s="11" t="inlineStr">
        <is>
          <t>-</t>
        </is>
      </c>
      <c r="G21" t="inlineStr">
        <is>
          <t>The momentum filter has been activated, indicating the market is no longer trending.</t>
        </is>
      </c>
      <c r="H21" t="inlineStr">
        <is>
          <t>Atlas Arteria FPO Stap US Prohibited Excluding QIB/QP</t>
        </is>
      </c>
      <c r="I21" t="inlineStr">
        <is>
          <t>Industrials</t>
        </is>
      </c>
      <c r="J21" s="27" t="n">
        <v>4.58</v>
      </c>
      <c r="K21" s="11">
        <f>(J21/C21-1)*100</f>
        <v/>
      </c>
      <c r="L21" s="27" t="n">
        <v>5.33</v>
      </c>
      <c r="M21" s="27" t="n">
        <v>4.35</v>
      </c>
      <c r="N21" t="inlineStr">
        <is>
          <t>$7.0B</t>
        </is>
      </c>
      <c r="O21" s="3" t="n">
        <v>0</v>
      </c>
      <c r="P21" t="inlineStr">
        <is>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is>
      </c>
      <c r="Q21" t="inlineStr">
        <is>
          <t>31.2x</t>
        </is>
      </c>
      <c r="R21" s="3" t="n">
        <v>0.08699999999999999</v>
      </c>
      <c r="S21" t="inlineStr">
        <is>
          <t>48.0x</t>
        </is>
      </c>
      <c r="U21" t="inlineStr">
        <is>
          <t>$1406.8M</t>
        </is>
      </c>
      <c r="V21" s="3" t="n">
        <v>0.278</v>
      </c>
      <c r="W21" s="3" t="n">
        <v>0.024</v>
      </c>
      <c r="X21" t="inlineStr">
        <is>
          <t>$-488.3M</t>
        </is>
      </c>
      <c r="Y21" s="3" t="n">
        <v>1.524</v>
      </c>
      <c r="Z21" s="3" t="n">
        <v>0.132</v>
      </c>
      <c r="AA21" s="3" t="n">
        <v>0.06</v>
      </c>
      <c r="AB21" s="3" t="n">
        <v>0.038</v>
      </c>
    </row>
    <row r="22">
      <c r="A22" s="19" t="n">
        <v>46062</v>
      </c>
      <c r="B22" t="inlineStr">
        <is>
          <t>VNT.ASX</t>
        </is>
      </c>
      <c r="C22" s="27" t="n">
        <v>5.16</v>
      </c>
      <c r="D22" s="11" t="inlineStr">
        <is>
          <t>Sell</t>
        </is>
      </c>
      <c r="E22" t="inlineStr">
        <is>
          <t>10% from 2wk High</t>
        </is>
      </c>
      <c r="F22" s="11" t="inlineStr">
        <is>
          <t>-</t>
        </is>
      </c>
      <c r="G22" t="inlineStr">
        <is>
          <t>The momentum filter has been activated, indicating the market is no longer trending.</t>
        </is>
      </c>
      <c r="H22" t="inlineStr">
        <is>
          <t>Ventia Services Group Limited Ordinary</t>
        </is>
      </c>
      <c r="I22" t="inlineStr">
        <is>
          <t>Industrials</t>
        </is>
      </c>
      <c r="J22" s="27" t="n">
        <v>5.16</v>
      </c>
      <c r="K22" s="11">
        <f>(J22/C22-1)*100</f>
        <v/>
      </c>
      <c r="L22" s="27" t="n">
        <v>6.41</v>
      </c>
      <c r="M22" s="27" t="n">
        <v>3.58</v>
      </c>
      <c r="N22" t="inlineStr">
        <is>
          <t>$5.0B</t>
        </is>
      </c>
      <c r="O22" s="3" t="n">
        <v>0.9</v>
      </c>
      <c r="P22" t="inlineStr">
        <is>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is>
      </c>
      <c r="Q22" t="inlineStr">
        <is>
          <t>17.4x</t>
        </is>
      </c>
      <c r="R22" s="3" t="n">
        <v>0.041</v>
      </c>
      <c r="S22" t="inlineStr">
        <is>
          <t>0.8x</t>
        </is>
      </c>
      <c r="T22" t="inlineStr">
        <is>
          <t>39.1x</t>
        </is>
      </c>
      <c r="U22" t="inlineStr">
        <is>
          <t>$571.1M</t>
        </is>
      </c>
      <c r="V22" s="3" t="n">
        <v>1.525</v>
      </c>
      <c r="W22" s="3" t="n">
        <v>0.01</v>
      </c>
      <c r="X22" t="inlineStr">
        <is>
          <t>$128.6M</t>
        </is>
      </c>
      <c r="Y22" s="3" t="n">
        <v>0.042</v>
      </c>
      <c r="Z22" s="3" t="n">
        <v>0.103</v>
      </c>
      <c r="AB22" s="3" t="n">
        <v>0.429</v>
      </c>
    </row>
    <row r="23">
      <c r="A23" s="19" t="n">
        <v>46041</v>
      </c>
      <c r="B23" s="11" t="inlineStr">
        <is>
          <t>LTR.ASX</t>
        </is>
      </c>
      <c r="C23" s="27" t="n">
        <v>2.15</v>
      </c>
      <c r="D23" t="inlineStr">
        <is>
          <t>Buy</t>
        </is>
      </c>
      <c r="E23" t="inlineStr">
        <is>
          <t>30wk Low</t>
        </is>
      </c>
      <c r="F23" t="inlineStr">
        <is>
          <t>20 Week High</t>
        </is>
      </c>
      <c r="G23" t="inlineStr">
        <is>
          <t>The momentum filter is off, indicating the market is continuing to trend.</t>
        </is>
      </c>
      <c r="H23" t="inlineStr">
        <is>
          <t>Liontown Limited Ordinary</t>
        </is>
      </c>
      <c r="I23" t="inlineStr">
        <is>
          <t>Materials</t>
        </is>
      </c>
      <c r="J23" s="27" t="n">
        <v>1.67</v>
      </c>
      <c r="K23" s="11">
        <f>(J23/C23-1)*100</f>
        <v/>
      </c>
      <c r="L23" s="27" t="n">
        <v>2.26</v>
      </c>
      <c r="M23" s="27" t="n">
        <v>0.42</v>
      </c>
      <c r="N23" t="inlineStr">
        <is>
          <t>$5.0B</t>
        </is>
      </c>
      <c r="P23" t="inlineStr">
        <is>
          <t>Liontown Limited, formerly Liontown Resources Ltd, is an Australia-based battery minerals producer. The Company controls two major hard rock lithium deposits. The Company's projects include Kathleen Valley Project and Buldania Project. The Kathleen Valley Project is located in an established mining region about 60 kilometers north of Leinster and 680 kilometers north-east of Perth, Western Australia. The Kathleen Valley Lithium Project is a Tier-1 battery metals asset. The Buldania Project is in the Eastern Goldfields Province of Western Australia, approximately 600 kilometers east of Perth. The Project is close to major road and rail infrastructure with direct access to the Port of Esperance 200 kilometers to the south. The Company's downstream expansion project includes investigating the potential for an integrated refinery to upgrade its spodumene from the Kathleen Valley mine to higher value lithium products.</t>
        </is>
      </c>
      <c r="R23" s="3" t="n">
        <v>0</v>
      </c>
      <c r="S23" t="inlineStr">
        <is>
          <t>16.7x</t>
        </is>
      </c>
      <c r="U23" t="inlineStr">
        <is>
          <t>$649.2M</t>
        </is>
      </c>
      <c r="V23" s="3" t="n">
        <v>1.432</v>
      </c>
      <c r="W23" s="3" t="n">
        <v>0.004</v>
      </c>
      <c r="X23" t="inlineStr">
        <is>
          <t>$-330.0M</t>
        </is>
      </c>
      <c r="Y23" s="3" t="n">
        <v>-0.65</v>
      </c>
      <c r="AB23" s="3" t="n">
        <v>-0.286</v>
      </c>
    </row>
    <row r="24">
      <c r="A24" s="19" t="n">
        <v>46041</v>
      </c>
      <c r="B24" s="11" t="inlineStr">
        <is>
          <t>AAI.ASX</t>
        </is>
      </c>
      <c r="C24" s="27" t="n">
        <v>95.28</v>
      </c>
      <c r="D24" t="inlineStr">
        <is>
          <t>Buy</t>
        </is>
      </c>
      <c r="E24" t="inlineStr">
        <is>
          <t>30wk Low</t>
        </is>
      </c>
      <c r="F24" t="inlineStr">
        <is>
          <t>20 Week High</t>
        </is>
      </c>
      <c r="G24" t="inlineStr">
        <is>
          <t>The momentum filter is off, indicating the market is continuing to trend.</t>
        </is>
      </c>
      <c r="H24" t="inlineStr">
        <is>
          <t>Alcoa Corporation CDI 1:1 Foreign Exempt NYSE</t>
        </is>
      </c>
      <c r="I24" t="inlineStr">
        <is>
          <t>Materials</t>
        </is>
      </c>
      <c r="J24" s="27" t="n">
        <v>93.7</v>
      </c>
      <c r="K24" s="11">
        <f>(J24/C24-1)*100</f>
        <v/>
      </c>
      <c r="L24" s="27" t="n">
        <v>98.20999999999999</v>
      </c>
      <c r="M24" s="27" t="n">
        <v>35.92</v>
      </c>
      <c r="O24" s="3" t="n">
        <v>0</v>
      </c>
      <c r="P24" t="inlineStr">
        <is>
          <t>n/a</t>
        </is>
      </c>
      <c r="R24" s="3" t="n">
        <v>0.005</v>
      </c>
    </row>
    <row r="25">
      <c r="A25" s="19" t="n">
        <v>46041</v>
      </c>
      <c r="B25" s="11" t="inlineStr">
        <is>
          <t>DMP.ASX</t>
        </is>
      </c>
      <c r="C25" s="27" t="n">
        <v>23.97</v>
      </c>
      <c r="D25" t="inlineStr">
        <is>
          <t>Buy</t>
        </is>
      </c>
      <c r="E25" t="inlineStr">
        <is>
          <t>30wk Low</t>
        </is>
      </c>
      <c r="F25" t="inlineStr">
        <is>
          <t>20 Week High</t>
        </is>
      </c>
      <c r="G25" t="inlineStr">
        <is>
          <t>The momentum filter is off, indicating the market is continuing to trend.</t>
        </is>
      </c>
      <c r="H25" t="inlineStr">
        <is>
          <t>Domino's Pizza Enterprises Limited Ordinary</t>
        </is>
      </c>
      <c r="I25" t="inlineStr">
        <is>
          <t>Consumer Discretionary</t>
        </is>
      </c>
      <c r="J25" s="27" t="n">
        <v>18.6</v>
      </c>
      <c r="K25" s="11">
        <f>(J25/C25-1)*100</f>
        <v/>
      </c>
      <c r="L25" s="27" t="n">
        <v>26.94</v>
      </c>
      <c r="M25" s="27" t="n">
        <v>12.94</v>
      </c>
      <c r="N25" t="inlineStr">
        <is>
          <t>$2.1B</t>
        </is>
      </c>
      <c r="O25" s="3" t="n">
        <v>0</v>
      </c>
      <c r="P25" t="inlineStr">
        <is>
          <t>Domino's Pizza Enterprises Limited is an Australia-based company, which is engaged in the operation of retail food outlets and the operation of franchise services. The Company operates through three segments: Australia/New Zealand (ANZ), Europe and Asia. The Company's menu consists of Domino's Pizzas, including Premium Pizzas, Traditional Pizzas, Value Max Range, Value Range, Value Range Pizzas, Vegan Range, Make Your Own, Meltzz, Loaded fries, Pizza Pasta, Sides, Chicken, drinks, and Desserts. Its Sides include Savoury Sides and Chicken Sides. Its Loaded Fries include BBQ Meatlovers Loaded Fries, Firebreather Loaded Fries, Bacon &amp; Cheese Loaded Fries, And Cheesy Loaded Fries. Its Pizza Pasta include Smokehouse Pork Belly Pasta, The Lot Pasta, Buffalo Chicken &amp; Bacon Pasta, Simply Mac &amp; Cheese Pasta, Simply Bacon Mac &amp; Cheese Pasta. The Company Drinks include Malted Vanilla Thickshake, Chocolate Malt Thickshake, and Chocolate Malt Thickshake With Cream.</t>
        </is>
      </c>
      <c r="R25" s="3" t="n">
        <v>0.025</v>
      </c>
      <c r="S25" t="inlineStr">
        <is>
          <t>0.9x</t>
        </is>
      </c>
      <c r="T25" t="inlineStr">
        <is>
          <t>88.8x</t>
        </is>
      </c>
      <c r="U25" t="inlineStr">
        <is>
          <t>$1293.5M</t>
        </is>
      </c>
      <c r="V25" s="3" t="n">
        <v>2.236</v>
      </c>
      <c r="W25" s="3" t="n">
        <v>0.01</v>
      </c>
      <c r="X25" t="inlineStr">
        <is>
          <t>$23.2M</t>
        </is>
      </c>
      <c r="Y25" s="3" t="n">
        <v>-0.002</v>
      </c>
      <c r="Z25" s="3" t="n">
        <v>0.005</v>
      </c>
      <c r="AB25" s="3" t="n">
        <v>-0.006</v>
      </c>
    </row>
    <row r="26">
      <c r="A26" s="19" t="n">
        <v>46041</v>
      </c>
      <c r="B26" s="11" t="inlineStr">
        <is>
          <t>GGP.ASX</t>
        </is>
      </c>
      <c r="C26" s="27" t="n">
        <v>12.72</v>
      </c>
      <c r="D26" t="inlineStr">
        <is>
          <t>Buy</t>
        </is>
      </c>
      <c r="E26" t="inlineStr">
        <is>
          <t>30wk Low</t>
        </is>
      </c>
      <c r="F26" t="inlineStr">
        <is>
          <t>20 Week High</t>
        </is>
      </c>
      <c r="G26" t="inlineStr">
        <is>
          <t>The momentum filter is off, indicating the market is continuing to trend.</t>
        </is>
      </c>
      <c r="H26" t="inlineStr">
        <is>
          <t>Greatland Resources Limited Ordinary</t>
        </is>
      </c>
      <c r="I26" t="inlineStr">
        <is>
          <t>Materials</t>
        </is>
      </c>
      <c r="J26" s="27" t="n">
        <v>11.87</v>
      </c>
      <c r="K26" s="11">
        <f>(J26/C26-1)*100</f>
        <v/>
      </c>
      <c r="L26" s="27" t="n">
        <v>4.91</v>
      </c>
      <c r="M26" s="27" t="n">
        <v>14.43</v>
      </c>
      <c r="N26" t="inlineStr">
        <is>
          <t>$7.2B</t>
        </is>
      </c>
      <c r="P26" t="inlineStr">
        <is>
          <t xml:space="preserve">Greatland Resources Ltd is an Australia-based gold and copper producer. The Company operates the Telfer gold mine and is developing the nearby Havieron gold-copper project and exploring across a significant regional portfolio. Telfer gold mine is an operating gold-copper mine located in the Paterson Province of the East Pilbara region in Western Australia, approximately 1,300 kilometers (km) northeast of Perth and 485 km east-southeast of Port Hedland. Telfer gold mine is engaged in mining from the West Dome Open Pit and Main Dome underground using contractors Macmahon for surface mining and Byrnecut for underground mining. The Havieron gold-copper project is a brownfield, underground gold-copper deposit located in the Paterson province in the East Pilbara region of Western Australia, approximately 45km east of the Telfer gold-copper mine. </t>
        </is>
      </c>
      <c r="Q26" t="inlineStr">
        <is>
          <t>8.6x</t>
        </is>
      </c>
      <c r="R26" s="3" t="n">
        <v>0</v>
      </c>
      <c r="S26" t="inlineStr">
        <is>
          <t>7.5x</t>
        </is>
      </c>
      <c r="T26" t="inlineStr">
        <is>
          <t>16.6x</t>
        </is>
      </c>
      <c r="U26" t="inlineStr">
        <is>
          <t>$-543.1M</t>
        </is>
      </c>
      <c r="V26" s="3" t="n">
        <v>0.024</v>
      </c>
      <c r="W26" s="3" t="n">
        <v>0.026</v>
      </c>
      <c r="X26" t="inlineStr">
        <is>
          <t>$431.9M</t>
        </is>
      </c>
      <c r="Y26" s="3" t="n">
        <v>0.352</v>
      </c>
    </row>
    <row r="27">
      <c r="A27" s="19" t="n">
        <v>46041</v>
      </c>
      <c r="B27" s="11" t="inlineStr">
        <is>
          <t>MIN.ASX</t>
        </is>
      </c>
      <c r="C27" s="27" t="n">
        <v>59.78</v>
      </c>
      <c r="D27" t="inlineStr">
        <is>
          <t>Buy</t>
        </is>
      </c>
      <c r="E27" t="inlineStr">
        <is>
          <t>30wk Low</t>
        </is>
      </c>
      <c r="F27" t="inlineStr">
        <is>
          <t>20 Week High</t>
        </is>
      </c>
      <c r="G27" t="inlineStr">
        <is>
          <t>The momentum filter is off, indicating the market is continuing to trend.</t>
        </is>
      </c>
      <c r="H27" t="inlineStr">
        <is>
          <t>Mineral Resources Limited Ordinary</t>
        </is>
      </c>
      <c r="I27" t="inlineStr">
        <is>
          <t>Materials</t>
        </is>
      </c>
      <c r="J27" s="27" t="n">
        <v>51.81</v>
      </c>
      <c r="K27" s="11">
        <f>(J27/C27-1)*100</f>
        <v/>
      </c>
      <c r="L27" s="27" t="n">
        <v>65.79000000000001</v>
      </c>
      <c r="M27" s="27" t="n">
        <v>14.05</v>
      </c>
      <c r="N27" t="inlineStr">
        <is>
          <t>$11.0B</t>
        </is>
      </c>
      <c r="O27" s="3" t="n">
        <v>1</v>
      </c>
      <c r="P27" t="inlineStr">
        <is>
          <t>Mineral Resources Ltd is a diversified resources company with operations in lithium, iron ore, energy and mining services across Western Australia. The principal activities of the Company include mining activities and the integrated supply of goods and services to the resource sectors. It operates in five segments: Mining Services, Iron Ore, Lithium, Energy and Other Commodities. The Company, through its wholly owned subsidiary, CSI Mining Services (CSI), is a provider of pit-to-ship mining services to the resource industry. Its offerings include mining and processing, transport and logistics, and manufacturing, rehabilitation services, and equipment and parts. Its engineering and construction division consolidates project delivery and offers a range of complex projects across several commodities, including iron ore, lithium and gas, as well as road and port construction projects. It has a portfolio of iron ore operations spanning the Pilbara and Onslow regions.</t>
        </is>
      </c>
      <c r="R27" s="3" t="n">
        <v>0</v>
      </c>
      <c r="S27" t="inlineStr">
        <is>
          <t>2.5x</t>
        </is>
      </c>
      <c r="U27" t="inlineStr">
        <is>
          <t>$5319.0M</t>
        </is>
      </c>
      <c r="V27" s="3" t="n">
        <v>1.786</v>
      </c>
      <c r="W27" s="3" t="n">
        <v>0.011</v>
      </c>
      <c r="X27" t="inlineStr">
        <is>
          <t>$-2429.0M</t>
        </is>
      </c>
      <c r="Y27" s="3" t="n">
        <v>-0.2</v>
      </c>
      <c r="Z27" s="3" t="n">
        <v>0.094</v>
      </c>
      <c r="AB27" s="3" t="n">
        <v>-0.267</v>
      </c>
    </row>
    <row r="28">
      <c r="A28" s="19" t="n">
        <v>46041</v>
      </c>
      <c r="B28" s="11" t="inlineStr">
        <is>
          <t>WAF.ASX</t>
        </is>
      </c>
      <c r="C28" s="27" t="n">
        <v>3.42</v>
      </c>
      <c r="D28" t="inlineStr">
        <is>
          <t>Buy</t>
        </is>
      </c>
      <c r="E28" t="inlineStr">
        <is>
          <t>30wk Low</t>
        </is>
      </c>
      <c r="F28" t="inlineStr">
        <is>
          <t>20 Week High</t>
        </is>
      </c>
      <c r="G28" t="inlineStr">
        <is>
          <t>The momentum filter is off, indicating the market is continuing to trend.</t>
        </is>
      </c>
      <c r="H28" t="inlineStr">
        <is>
          <t>West African Resources Limited Ordinary</t>
        </is>
      </c>
      <c r="I28" t="inlineStr">
        <is>
          <t>Materials</t>
        </is>
      </c>
      <c r="J28" s="27" t="n">
        <v>3.2</v>
      </c>
      <c r="K28" s="11">
        <f>(J28/C28-1)*100</f>
        <v/>
      </c>
      <c r="L28" s="27" t="n">
        <v>3.97</v>
      </c>
      <c r="M28" s="27" t="n">
        <v>1.4</v>
      </c>
      <c r="N28" t="inlineStr">
        <is>
          <t>$3.6B</t>
        </is>
      </c>
      <c r="P28" t="inlineStr">
        <is>
          <t>West African Resources Limited is an Australia-based gold mining company. The Company is engaged in mining, mineral processing, exploration, project development, community and social sustainability, and rehabilitation within the West African country of Burkina Faso. It operates through two segments: the Mining Operations, which comprises the Sanbrado Gold Project operations located in Burkina Faso, and Construction and Exploration &amp; Evaluation (E&amp;E) segment comprises mines under construction and exploration and evaluation projects in locations other than Sanbrado. Its Sanbrado Gold Project is located approximately 90 kilometers (kms) east-southeast of Ouagadougou, the capital of Burkina Faso. Its Kiaka Gold Project is approximately 45 km south of Sanbrado Gold Mine in Burkina Faso. Its Toega Gold Project is located 14 km southwest of the Company's Sanbrado gold operation. Its tenement portfolio comprises over 1,334 km2 over the Markoye fault region in central and southern Burkina Faso.</t>
        </is>
      </c>
      <c r="Q28" t="inlineStr">
        <is>
          <t>7.9x</t>
        </is>
      </c>
      <c r="R28" s="3" t="n">
        <v>0</v>
      </c>
      <c r="S28" t="inlineStr">
        <is>
          <t>5.0x</t>
        </is>
      </c>
      <c r="U28" t="inlineStr">
        <is>
          <t>$151.7M</t>
        </is>
      </c>
      <c r="V28" s="3" t="n">
        <v>0.298</v>
      </c>
      <c r="W28" s="3" t="n">
        <v>0.018</v>
      </c>
      <c r="X28" t="inlineStr">
        <is>
          <t>$-235.7M</t>
        </is>
      </c>
      <c r="Y28" s="3" t="n">
        <v>0.427</v>
      </c>
      <c r="Z28" s="3" t="n">
        <v>0.008</v>
      </c>
      <c r="AA28" s="3" t="n">
        <v>-0.002</v>
      </c>
      <c r="AB28" s="3" t="n">
        <v>0.274</v>
      </c>
    </row>
    <row r="29">
      <c r="A29" s="19" t="n">
        <v>46041</v>
      </c>
      <c r="B29" s="11" t="inlineStr">
        <is>
          <t>EMR.ASX</t>
        </is>
      </c>
      <c r="C29" s="27" t="n">
        <v>6.84</v>
      </c>
      <c r="D29" t="inlineStr">
        <is>
          <t>Buy</t>
        </is>
      </c>
      <c r="E29" t="inlineStr">
        <is>
          <t>30wk Low</t>
        </is>
      </c>
      <c r="F29" t="inlineStr">
        <is>
          <t>20 Week High</t>
        </is>
      </c>
      <c r="G29" t="inlineStr">
        <is>
          <t>The momentum filter is off, indicating the market is continuing to trend.</t>
        </is>
      </c>
      <c r="H29" t="inlineStr">
        <is>
          <t>Emerald Resources NL Ordinary</t>
        </is>
      </c>
      <c r="I29" t="inlineStr">
        <is>
          <t>Materials</t>
        </is>
      </c>
      <c r="J29" s="27" t="n">
        <v>6.37</v>
      </c>
      <c r="K29" s="11">
        <f>(J29/C29-1)*100</f>
        <v/>
      </c>
      <c r="L29" s="27" t="n">
        <v>8.109999999999999</v>
      </c>
      <c r="M29" s="27" t="n">
        <v>3.24</v>
      </c>
      <c r="N29" t="inlineStr">
        <is>
          <t>$4.2B</t>
        </is>
      </c>
      <c r="P29" t="inlineStr">
        <is>
          <t>Emerald Resources NL is an Australia-based gold exploration and mining company. The Company's four operating segments include mine operations, exploration and evaluation of mineral reserves, mine development and others. It operates the Okvau Gold Deposit in the Mondulkiri province of eastern Cambodia and is exploring, with the view to developing other prospective gold projects in Cambodia. Its interest in its Cambodian Projects covers a combined area of over 1,428 square kilometers (km2). Okvau Gold Mine is located over 275 km north-east of Cambodia's capital city of Phnom Penh in the province of Mondulkiri. Its 100% owned Memot Gold Project is located over 100 km southwest of the Okvau Gold Mine and has approximately 107 km2 of a highly prospective area for gold exploration. The Company's Australian operations are focused on the North Laverton Gold Project's tenements, in the Dingo Range greenstone belt.</t>
        </is>
      </c>
      <c r="Q29" t="inlineStr">
        <is>
          <t>29.4x</t>
        </is>
      </c>
      <c r="R29" s="3" t="n">
        <v>0</v>
      </c>
      <c r="S29" t="inlineStr">
        <is>
          <t>9.7x</t>
        </is>
      </c>
      <c r="T29" t="inlineStr">
        <is>
          <t>30.9x</t>
        </is>
      </c>
      <c r="U29" t="inlineStr">
        <is>
          <t>$-179.5M</t>
        </is>
      </c>
      <c r="V29" s="3" t="n">
        <v>0.033</v>
      </c>
      <c r="W29" s="3" t="n">
        <v>0.036</v>
      </c>
      <c r="X29" t="inlineStr">
        <is>
          <t>$137.0M</t>
        </is>
      </c>
      <c r="Y29" s="3" t="n">
        <v>0.2</v>
      </c>
      <c r="Z29" s="3" t="n">
        <v>0.285</v>
      </c>
      <c r="AA29" s="3" t="n">
        <v>0.164</v>
      </c>
      <c r="AB29" s="3" t="n">
        <v>0.144</v>
      </c>
    </row>
    <row r="30">
      <c r="A30" s="19" t="n">
        <v>46041</v>
      </c>
      <c r="B30" s="11" t="inlineStr">
        <is>
          <t>SGM.ASX</t>
        </is>
      </c>
      <c r="C30" s="27" t="n">
        <v>20.07</v>
      </c>
      <c r="D30" t="inlineStr">
        <is>
          <t>Buy</t>
        </is>
      </c>
      <c r="E30" t="inlineStr">
        <is>
          <t>30wk Low</t>
        </is>
      </c>
      <c r="F30" t="inlineStr">
        <is>
          <t>20 Week High</t>
        </is>
      </c>
      <c r="G30" t="inlineStr">
        <is>
          <t>The momentum filter is off, indicating the market is continuing to trend.</t>
        </is>
      </c>
      <c r="H30" t="inlineStr">
        <is>
          <t>Sims Limited Ordinary</t>
        </is>
      </c>
      <c r="I30" t="inlineStr">
        <is>
          <t>Materials</t>
        </is>
      </c>
      <c r="J30" s="27" t="n">
        <v>18.36</v>
      </c>
      <c r="K30" s="11">
        <f>(J30/C30-1)*100</f>
        <v/>
      </c>
      <c r="L30" s="27" t="n">
        <v>22.56</v>
      </c>
      <c r="M30" s="27" t="n">
        <v>12.07</v>
      </c>
      <c r="N30" t="inlineStr">
        <is>
          <t>$3.5B</t>
        </is>
      </c>
      <c r="O30" s="3" t="n">
        <v>1</v>
      </c>
      <c r="P30" t="inlineStr">
        <is>
          <t>Sims Limited is engaged in metal recycling and the provision of circular solutions for technology. Its activities include the buying, processing, and selling of ferrous and non-ferrous recycled metals, and the provision of environmentally responsible solutions for the recycling and repurposing of post-consumer electronic products and IT assets. The NAM segment comprises subsidiaries and joint ventures in the United States of America and Canada which perform ferrous and non-ferrous secondary recycling functions. The ANZ segment comprises subsidiaries in Australia, New Zealand and Papua New Guinea which perform ferrous and non-ferrous secondary recycling functions. The SAR comprises its investment in the SA Recycling joint venture in the United States of America. The SLS segment comprises subsidiaries which provide IT asset and cloud infrastructure reuse, redeployment and recycling in various countries. The GTO segment comprises its ferrous and non-ferrous marketing subsidiaries.</t>
        </is>
      </c>
      <c r="Q30" t="inlineStr">
        <is>
          <t>1238.1x</t>
        </is>
      </c>
      <c r="R30" s="3" t="n">
        <v>0.015</v>
      </c>
      <c r="S30" t="inlineStr">
        <is>
          <t>0.5x</t>
        </is>
      </c>
      <c r="T30" t="inlineStr">
        <is>
          <t>54.5x</t>
        </is>
      </c>
      <c r="U30" t="inlineStr">
        <is>
          <t>$601.7M</t>
        </is>
      </c>
      <c r="V30" s="3" t="n">
        <v>0.305</v>
      </c>
      <c r="W30" s="3" t="n">
        <v>0.017</v>
      </c>
      <c r="X30" t="inlineStr">
        <is>
          <t>$64.4M</t>
        </is>
      </c>
      <c r="Y30" s="3" t="n">
        <v>0</v>
      </c>
      <c r="Z30" s="3" t="n">
        <v>-0.067</v>
      </c>
      <c r="AA30" s="3" t="n">
        <v>-0.839</v>
      </c>
      <c r="AB30" s="3" t="n">
        <v>0.001</v>
      </c>
    </row>
    <row r="31">
      <c r="A31" s="19" t="n">
        <v>46041</v>
      </c>
      <c r="B31" s="11" t="inlineStr">
        <is>
          <t>S32.ASX</t>
        </is>
      </c>
      <c r="C31" s="27" t="n">
        <v>4.16</v>
      </c>
      <c r="D31" t="inlineStr">
        <is>
          <t>Buy</t>
        </is>
      </c>
      <c r="E31" t="inlineStr">
        <is>
          <t>30wk Low</t>
        </is>
      </c>
      <c r="F31" t="inlineStr">
        <is>
          <t>20 Week High</t>
        </is>
      </c>
      <c r="G31" t="inlineStr">
        <is>
          <t>The momentum filter is off, indicating the market is continuing to trend.</t>
        </is>
      </c>
      <c r="H31" t="inlineStr">
        <is>
          <t>South32 Limited Ordinary</t>
        </is>
      </c>
      <c r="I31" t="inlineStr">
        <is>
          <t>Materials</t>
        </is>
      </c>
      <c r="J31" s="27" t="n">
        <v>4.41</v>
      </c>
      <c r="K31" s="11">
        <f>(J31/C31-1)*100</f>
        <v/>
      </c>
      <c r="L31" s="27" t="n">
        <v>4.85</v>
      </c>
      <c r="M31" s="27" t="n">
        <v>2.4</v>
      </c>
      <c r="N31" t="inlineStr">
        <is>
          <t>$16.4B</t>
        </is>
      </c>
      <c r="O31" s="3" t="n">
        <v>1</v>
      </c>
      <c r="P31" t="inlineStr">
        <is>
          <t>South32 Limited is a global mining and metals company. It is developing natural resources and producing minerals and metals critical to the energy transition. Its segments include Worsley Alumina, Brazil Alumina, Brazil Aluminium, Hillside Aluminium, Mozal Aluminium, Sierra Gorda, Cannington, Hermosa, Australia Manganese and South Africa Manganese. Worsley Alumina segment includes an integrated bauxite mine and an alumina refinery in Australia. Brazil Alumina segment consists of an integrated bauxite mine and an alumina refinery in Brazil. Brazil Aluminium segment is engaged in aluminum smelter in Brazil. Hillside Aluminium segment is focused on aluminum smelter in South Africa. Mozal Aluminium segment is engaged in an aluminum smelter in Mozambique. Sierra Gorda segment is focused on copper mines in Chile. Cannington segment includes silver, lead and zinc mines in Australia. Hermosa segment includes base metals exploration and development projects in the United States.</t>
        </is>
      </c>
      <c r="Q31" t="inlineStr">
        <is>
          <t>27.2x</t>
        </is>
      </c>
      <c r="R31" s="3" t="n">
        <v>0.021</v>
      </c>
      <c r="S31" t="inlineStr">
        <is>
          <t>1.9x</t>
        </is>
      </c>
      <c r="T31" t="inlineStr">
        <is>
          <t>289.5x</t>
        </is>
      </c>
      <c r="U31" t="inlineStr">
        <is>
          <t>$-67.8M</t>
        </is>
      </c>
      <c r="V31" s="3" t="n">
        <v>0.185</v>
      </c>
      <c r="W31" s="3" t="n">
        <v>0.024</v>
      </c>
      <c r="X31" t="inlineStr">
        <is>
          <t>$58.7M</t>
        </is>
      </c>
      <c r="Y31" s="3" t="n">
        <v>0.054</v>
      </c>
      <c r="Z31" s="3" t="n">
        <v>-0.146</v>
      </c>
      <c r="AA31" s="3" t="n">
        <v>-0.502</v>
      </c>
      <c r="AB31" s="3" t="n">
        <v>0.036</v>
      </c>
    </row>
    <row r="32">
      <c r="A32" s="19" t="n">
        <v>46020</v>
      </c>
      <c r="B32" s="11" t="inlineStr">
        <is>
          <t>EVT.ASX</t>
        </is>
      </c>
      <c r="C32" s="11" t="n">
        <v>12.96</v>
      </c>
      <c r="D32" s="11" t="inlineStr">
        <is>
          <t>Sell</t>
        </is>
      </c>
      <c r="E32" t="inlineStr">
        <is>
          <t>10% from 2wk High</t>
        </is>
      </c>
      <c r="F32" s="11" t="inlineStr">
        <is>
          <t>-</t>
        </is>
      </c>
      <c r="G32" t="inlineStr">
        <is>
          <t>The momentum filter has been activated, indicating the market is no longer trending.</t>
        </is>
      </c>
      <c r="H32" t="inlineStr">
        <is>
          <t>EVT Limited Ordinary</t>
        </is>
      </c>
      <c r="I32" t="inlineStr">
        <is>
          <t>Communication Services</t>
        </is>
      </c>
      <c r="J32" s="27" t="n">
        <v>12.96</v>
      </c>
      <c r="K32" s="11">
        <f>(J32/C32-1)*100</f>
        <v/>
      </c>
      <c r="L32" s="27" t="n">
        <v>17.7</v>
      </c>
      <c r="M32" s="27" t="n">
        <v>10.65</v>
      </c>
      <c r="N32" t="inlineStr">
        <is>
          <t>$2.1B</t>
        </is>
      </c>
      <c r="O32" s="3" t="n">
        <v>1</v>
      </c>
      <c r="P32" t="inlineStr">
        <is>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is>
      </c>
      <c r="Q32" t="inlineStr">
        <is>
          <t>80.9x</t>
        </is>
      </c>
      <c r="R32" s="3" t="n">
        <v>0.029</v>
      </c>
      <c r="S32" t="inlineStr">
        <is>
          <t>1.7x</t>
        </is>
      </c>
      <c r="T32" t="inlineStr">
        <is>
          <t>23.4x</t>
        </is>
      </c>
      <c r="U32" t="inlineStr">
        <is>
          <t>$1238.9M</t>
        </is>
      </c>
      <c r="V32" s="3" t="n">
        <v>1.384</v>
      </c>
      <c r="W32" s="3" t="n">
        <v>0.003</v>
      </c>
      <c r="X32" t="inlineStr">
        <is>
          <t>$90.1M</t>
        </is>
      </c>
      <c r="Y32" s="3" t="n">
        <v>0.027</v>
      </c>
      <c r="Z32" s="3" t="n">
        <v>0.128</v>
      </c>
      <c r="AA32" s="3" t="n">
        <v>-0.148</v>
      </c>
      <c r="AB32" s="3" t="n">
        <v>0.035</v>
      </c>
    </row>
    <row r="33">
      <c r="A33" s="19" t="n">
        <v>46006</v>
      </c>
      <c r="B33" s="11" t="inlineStr">
        <is>
          <t>SOL.ASX</t>
        </is>
      </c>
      <c r="C33" s="27" t="n">
        <v>35.62</v>
      </c>
      <c r="D33" s="11" t="inlineStr">
        <is>
          <t>Sell</t>
        </is>
      </c>
      <c r="E33" t="inlineStr">
        <is>
          <t>30wk Low</t>
        </is>
      </c>
      <c r="F33" s="11" t="inlineStr">
        <is>
          <t>-</t>
        </is>
      </c>
      <c r="G33" t="inlineStr">
        <is>
          <t>The momentum filter has been activated, indicating the market is no longer trending.</t>
        </is>
      </c>
      <c r="H33" t="inlineStr">
        <is>
          <t>Washington H. Soul Pattinson and Company Limited Ordinary</t>
        </is>
      </c>
      <c r="I33" t="inlineStr">
        <is>
          <t>Financials</t>
        </is>
      </c>
      <c r="J33" s="27" t="n">
        <v>35.62</v>
      </c>
      <c r="K33" s="11">
        <f>(J33/C33-1)*100</f>
        <v/>
      </c>
      <c r="L33" s="27" t="n">
        <v>45.14</v>
      </c>
      <c r="M33" s="27" t="n">
        <v>30.88</v>
      </c>
      <c r="N33" t="inlineStr">
        <is>
          <t>$13.5B</t>
        </is>
      </c>
      <c r="O33" s="3" t="n">
        <v>1</v>
      </c>
      <c r="P33" t="inlineStr">
        <is>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is>
      </c>
      <c r="Q33" t="inlineStr">
        <is>
          <t>36.3x</t>
        </is>
      </c>
      <c r="R33" s="3" t="n">
        <v>0.029</v>
      </c>
      <c r="S33" t="inlineStr">
        <is>
          <t>22.0x</t>
        </is>
      </c>
      <c r="U33" t="inlineStr">
        <is>
          <t>$-150.0M</t>
        </is>
      </c>
      <c r="V33" s="3" t="n">
        <v>0.107</v>
      </c>
      <c r="W33" s="3" t="n">
        <v>0.013</v>
      </c>
      <c r="X33" t="inlineStr">
        <is>
          <t>$-148.8M</t>
        </is>
      </c>
      <c r="Y33" s="3" t="n">
        <v>0.591</v>
      </c>
      <c r="Z33" s="3" t="n">
        <v>-0.395</v>
      </c>
      <c r="AB33" s="3" t="n">
        <v>0.04</v>
      </c>
    </row>
    <row r="34">
      <c r="A34" s="19" t="n">
        <v>45999</v>
      </c>
      <c r="B34" s="11" t="inlineStr">
        <is>
          <t>MGR.ASX</t>
        </is>
      </c>
      <c r="C34" s="11" t="n">
        <v>2.03</v>
      </c>
      <c r="D34" s="11" t="inlineStr">
        <is>
          <t>Sell</t>
        </is>
      </c>
      <c r="E34" t="inlineStr">
        <is>
          <t>30wk Low</t>
        </is>
      </c>
      <c r="F34" s="11" t="inlineStr">
        <is>
          <t>-</t>
        </is>
      </c>
      <c r="G34" t="inlineStr">
        <is>
          <t>The momentum filter has been activated, indicating the market is no longer trending.</t>
        </is>
      </c>
      <c r="H34" t="inlineStr">
        <is>
          <t>Mirvac Group Ordinary/Units Stapled Securities</t>
        </is>
      </c>
      <c r="I34" t="inlineStr">
        <is>
          <t>Real Estate</t>
        </is>
      </c>
      <c r="J34" s="27" t="n">
        <v>2.03</v>
      </c>
      <c r="K34" s="11">
        <f>(J34/C34-1)*100</f>
        <v/>
      </c>
      <c r="L34" s="27" t="n">
        <v>2.46</v>
      </c>
      <c r="M34" s="27" t="n">
        <v>1.775</v>
      </c>
      <c r="N34" t="inlineStr">
        <is>
          <t>$8.0B</t>
        </is>
      </c>
      <c r="O34" s="3" t="n">
        <v>0</v>
      </c>
      <c r="P34" t="inlineStr">
        <is>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is>
      </c>
      <c r="Q34" t="inlineStr">
        <is>
          <t>127.7x</t>
        </is>
      </c>
      <c r="R34" s="3" t="n">
        <v>0.044</v>
      </c>
      <c r="S34" t="inlineStr">
        <is>
          <t>3.2x</t>
        </is>
      </c>
      <c r="T34" t="inlineStr">
        <is>
          <t>60.2x</t>
        </is>
      </c>
      <c r="U34" t="inlineStr">
        <is>
          <t>$4308.0M</t>
        </is>
      </c>
      <c r="V34" s="3" t="n">
        <v>0.502</v>
      </c>
      <c r="W34" s="3" t="n">
        <v>0.01</v>
      </c>
      <c r="X34" t="inlineStr">
        <is>
          <t>$133.0M</t>
        </is>
      </c>
      <c r="Y34" s="3" t="n">
        <v>0.028</v>
      </c>
      <c r="Z34" s="3" t="n">
        <v>0.023</v>
      </c>
      <c r="AA34" s="3" t="n">
        <v>-0.578</v>
      </c>
      <c r="AB34" s="3" t="n">
        <v>0.007</v>
      </c>
    </row>
    <row r="35">
      <c r="A35" s="19" t="n">
        <v>45999</v>
      </c>
      <c r="B35" s="11" t="inlineStr">
        <is>
          <t>MPL.ASX</t>
        </is>
      </c>
      <c r="C35" s="11" t="n">
        <v>4.5</v>
      </c>
      <c r="D35" s="11" t="inlineStr">
        <is>
          <t>Sell</t>
        </is>
      </c>
      <c r="E35" t="inlineStr">
        <is>
          <t>30wk Low</t>
        </is>
      </c>
      <c r="F35" s="11" t="inlineStr">
        <is>
          <t>-</t>
        </is>
      </c>
      <c r="G35" t="inlineStr">
        <is>
          <t>The momentum filter has been activated, indicating the market is no longer trending.</t>
        </is>
      </c>
      <c r="H35" t="inlineStr">
        <is>
          <t>Medibank Private Limited Ordinary</t>
        </is>
      </c>
      <c r="I35" t="inlineStr">
        <is>
          <t>Financials</t>
        </is>
      </c>
      <c r="J35" s="27" t="n">
        <v>4.5</v>
      </c>
      <c r="K35" s="11">
        <f>(J35/C35-1)*100</f>
        <v/>
      </c>
      <c r="L35" s="27" t="n">
        <v>5.2</v>
      </c>
      <c r="M35" s="27" t="n">
        <v>3.57</v>
      </c>
      <c r="N35" t="inlineStr">
        <is>
          <t>$12.4B</t>
        </is>
      </c>
      <c r="O35" s="3" t="n">
        <v>1</v>
      </c>
      <c r="P35" t="inlineStr">
        <is>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is>
      </c>
      <c r="Q35" t="inlineStr">
        <is>
          <t>27.7x</t>
        </is>
      </c>
      <c r="R35" s="3" t="n">
        <v>0.04</v>
      </c>
      <c r="S35" t="inlineStr">
        <is>
          <t>1.5x</t>
        </is>
      </c>
      <c r="U35" t="inlineStr">
        <is>
          <t>$-439.6M</t>
        </is>
      </c>
      <c r="V35" s="3" t="n">
        <v>0.089</v>
      </c>
      <c r="X35" t="inlineStr">
        <is>
          <t>$-162.6M</t>
        </is>
      </c>
      <c r="Y35" s="3" t="n">
        <v>0.062</v>
      </c>
      <c r="Z35" s="3" t="n">
        <v>0.047</v>
      </c>
      <c r="AA35" s="3" t="n">
        <v>0.083</v>
      </c>
      <c r="AB35" s="3" t="n">
        <v>0.216</v>
      </c>
    </row>
    <row r="36">
      <c r="A36" s="19" t="n">
        <v>45978</v>
      </c>
      <c r="B36" s="11" t="inlineStr">
        <is>
          <t>CBA.ASX</t>
        </is>
      </c>
      <c r="C36" s="11" t="n">
        <v>157.3</v>
      </c>
      <c r="D36" s="11" t="inlineStr">
        <is>
          <t>Sell</t>
        </is>
      </c>
      <c r="E36" t="inlineStr">
        <is>
          <t>10% from 2wk High</t>
        </is>
      </c>
      <c r="F36" s="11" t="inlineStr">
        <is>
          <t>-</t>
        </is>
      </c>
      <c r="G36" t="inlineStr">
        <is>
          <t>The momentum filter has been activated, indicating the market is no longer trending.</t>
        </is>
      </c>
      <c r="H36" t="inlineStr">
        <is>
          <t>Commonwealth Bank of Australia. Ordinary</t>
        </is>
      </c>
      <c r="I36" t="inlineStr">
        <is>
          <t>Financials</t>
        </is>
      </c>
      <c r="J36" s="27" t="n">
        <v>157.3</v>
      </c>
      <c r="K36" s="11">
        <f>(J36/C36-1)*100</f>
        <v/>
      </c>
      <c r="L36" s="27" t="n">
        <v>189.08</v>
      </c>
      <c r="M36" s="27" t="n">
        <v>138.08</v>
      </c>
      <c r="N36" t="inlineStr">
        <is>
          <t>$265.0B</t>
        </is>
      </c>
      <c r="O36" s="3" t="n">
        <v>1</v>
      </c>
      <c r="P36" t="inlineStr">
        <is>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is>
      </c>
      <c r="Q36" t="inlineStr">
        <is>
          <t>30.5x</t>
        </is>
      </c>
      <c r="R36" s="3" t="n">
        <v>0.031</v>
      </c>
      <c r="S36" t="inlineStr">
        <is>
          <t>9.3x</t>
        </is>
      </c>
      <c r="U36" t="inlineStr">
        <is>
          <t>$125857.0M</t>
        </is>
      </c>
      <c r="V36" s="3" t="n">
        <v>2.758</v>
      </c>
      <c r="X36" t="inlineStr">
        <is>
          <t>$-10410.0M</t>
        </is>
      </c>
      <c r="Y36" s="3" t="n">
        <v>0.354</v>
      </c>
      <c r="Z36" s="3" t="n">
        <v>0.389</v>
      </c>
      <c r="AA36" s="3" t="n">
        <v>0.082</v>
      </c>
      <c r="AB36" s="3" t="n">
        <v>0.133</v>
      </c>
    </row>
    <row r="37">
      <c r="A37" s="19" t="n">
        <v>45978</v>
      </c>
      <c r="B37" s="11" t="inlineStr">
        <is>
          <t>360.ASX</t>
        </is>
      </c>
      <c r="C37" s="11" t="n">
        <v>37.12</v>
      </c>
      <c r="D37" s="11" t="inlineStr">
        <is>
          <t>Sell</t>
        </is>
      </c>
      <c r="E37" t="inlineStr">
        <is>
          <t>10% from 2wk High</t>
        </is>
      </c>
      <c r="F37" s="11" t="inlineStr">
        <is>
          <t>-</t>
        </is>
      </c>
      <c r="G37" t="inlineStr">
        <is>
          <t>The momentum filter has been activated, indicating the market is no longer trending.</t>
        </is>
      </c>
      <c r="H37" t="inlineStr">
        <is>
          <t>Life360 Inc. CDI 3:1 Foreign Exempt Xngs</t>
        </is>
      </c>
      <c r="I37" t="inlineStr">
        <is>
          <t>Information Technology</t>
        </is>
      </c>
      <c r="J37" s="27" t="n">
        <v>37.12</v>
      </c>
      <c r="K37" s="11">
        <f>(J37/C37-1)*100</f>
        <v/>
      </c>
      <c r="L37" s="27" t="n">
        <v>55.87</v>
      </c>
      <c r="M37" s="27" t="n">
        <v>14.93</v>
      </c>
      <c r="N37" t="inlineStr">
        <is>
          <t>$8.7B</t>
        </is>
      </c>
      <c r="P37" t="inlineStr">
        <is>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is>
      </c>
      <c r="Q37" t="inlineStr">
        <is>
          <t>271.7x</t>
        </is>
      </c>
      <c r="R37" s="3" t="n">
        <v>0</v>
      </c>
      <c r="S37" t="inlineStr">
        <is>
          <t>15.4x</t>
        </is>
      </c>
      <c r="T37" t="inlineStr">
        <is>
          <t>207.7x</t>
        </is>
      </c>
      <c r="U37" t="inlineStr">
        <is>
          <t>$-225.5M</t>
        </is>
      </c>
      <c r="V37" s="3" t="n">
        <v>0.792</v>
      </c>
      <c r="W37" s="3" t="n">
        <v>0.068</v>
      </c>
      <c r="X37" t="inlineStr">
        <is>
          <t>$41.7M</t>
        </is>
      </c>
      <c r="Y37" s="3" t="n">
        <v>0.065</v>
      </c>
      <c r="Z37" s="3" t="n">
        <v>0.488</v>
      </c>
      <c r="AB37" s="3" t="n">
        <v>0.081</v>
      </c>
    </row>
    <row r="38">
      <c r="A38" s="19" t="n">
        <v>45971</v>
      </c>
      <c r="B38" s="11" t="inlineStr">
        <is>
          <t>ZIP.ASX</t>
        </is>
      </c>
      <c r="C38" t="n">
        <v>3.37</v>
      </c>
      <c r="D38" s="11" t="inlineStr">
        <is>
          <t>Sell</t>
        </is>
      </c>
      <c r="E38" t="inlineStr">
        <is>
          <t>10% from 2wk High</t>
        </is>
      </c>
      <c r="F38" s="11" t="inlineStr">
        <is>
          <t>-</t>
        </is>
      </c>
      <c r="G38" t="inlineStr">
        <is>
          <t>The momentum filter has been activated, indicating the market is no longer trending.</t>
        </is>
      </c>
      <c r="H38" t="inlineStr">
        <is>
          <t>Zip Co Limited. Ordinary</t>
        </is>
      </c>
      <c r="I38" t="inlineStr">
        <is>
          <t>Financials</t>
        </is>
      </c>
      <c r="J38" s="27" t="n">
        <v>3.37</v>
      </c>
      <c r="K38" s="11">
        <f>(J38/C38-1)*100</f>
        <v/>
      </c>
      <c r="L38" s="27" t="n">
        <v>4.93</v>
      </c>
      <c r="M38" s="27" t="n">
        <v>1.085</v>
      </c>
      <c r="N38" t="inlineStr">
        <is>
          <t>$4.3B</t>
        </is>
      </c>
      <c r="P38" t="inlineStr">
        <is>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is>
      </c>
      <c r="Q38" t="inlineStr">
        <is>
          <t>50.2x</t>
        </is>
      </c>
      <c r="R38" s="3" t="n">
        <v>0</v>
      </c>
      <c r="S38" t="inlineStr">
        <is>
          <t>4.0x</t>
        </is>
      </c>
      <c r="U38" t="inlineStr">
        <is>
          <t>$2275.0M</t>
        </is>
      </c>
      <c r="V38" s="3" t="n">
        <v>3.416</v>
      </c>
      <c r="X38" t="inlineStr">
        <is>
          <t>$-69.3M</t>
        </is>
      </c>
      <c r="Y38" s="3" t="n">
        <v>0.075</v>
      </c>
      <c r="Z38" s="3" t="n">
        <v>0.215</v>
      </c>
      <c r="AB38" s="3" t="n">
        <v>0.144</v>
      </c>
    </row>
    <row r="39">
      <c r="A39" s="19" t="n">
        <v>45971</v>
      </c>
      <c r="B39" s="11" t="inlineStr">
        <is>
          <t>IPX.ASX</t>
        </is>
      </c>
      <c r="C39" t="n">
        <v>5.52</v>
      </c>
      <c r="D39" s="11" t="inlineStr">
        <is>
          <t>Sell</t>
        </is>
      </c>
      <c r="E39" t="inlineStr">
        <is>
          <t>10% from 2wk High</t>
        </is>
      </c>
      <c r="F39" s="11" t="inlineStr">
        <is>
          <t>-</t>
        </is>
      </c>
      <c r="G39" t="inlineStr">
        <is>
          <t>The momentum filter has been activated, indicating the market is no longer trending.</t>
        </is>
      </c>
      <c r="H39" t="inlineStr">
        <is>
          <t>Iperionx Limited Ordinary</t>
        </is>
      </c>
      <c r="I39" t="inlineStr">
        <is>
          <t>Materials</t>
        </is>
      </c>
      <c r="J39" s="27" t="n">
        <v>5.52</v>
      </c>
      <c r="K39" s="11">
        <f>(J39/C39-1)*100</f>
        <v/>
      </c>
      <c r="L39" s="27" t="n">
        <v>9.199999999999999</v>
      </c>
      <c r="M39" s="27" t="n">
        <v>2.07</v>
      </c>
      <c r="N39" t="inlineStr">
        <is>
          <t>$1.9B</t>
        </is>
      </c>
      <c r="P39" t="inlineStr">
        <is>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is>
      </c>
      <c r="R39" s="3" t="n">
        <v>0</v>
      </c>
      <c r="U39" t="inlineStr">
        <is>
          <t>$-80.3M</t>
        </is>
      </c>
      <c r="V39" s="3" t="n">
        <v>0.043</v>
      </c>
      <c r="W39" s="3" t="n">
        <v>0.07000000000000001</v>
      </c>
      <c r="X39" t="inlineStr">
        <is>
          <t>$-71.2M</t>
        </is>
      </c>
      <c r="Y39" s="3" t="n">
        <v>-5.801</v>
      </c>
      <c r="AB39" s="3" t="n">
        <v>-0.492</v>
      </c>
    </row>
    <row r="40">
      <c r="A40" s="19" t="n">
        <v>45971</v>
      </c>
      <c r="B40" s="11" t="inlineStr">
        <is>
          <t>SDF.ASX</t>
        </is>
      </c>
      <c r="C40" t="n">
        <v>5.27</v>
      </c>
      <c r="D40" s="11" t="inlineStr">
        <is>
          <t>Sell</t>
        </is>
      </c>
      <c r="E40" t="inlineStr">
        <is>
          <t>10% from 2wk High</t>
        </is>
      </c>
      <c r="F40" s="11" t="inlineStr">
        <is>
          <t>-</t>
        </is>
      </c>
      <c r="G40" t="inlineStr">
        <is>
          <t>The momentum filter has been activated, indicating the market is no longer trending.</t>
        </is>
      </c>
      <c r="H40" t="inlineStr">
        <is>
          <t>Steadfast Group Limited Ordinary</t>
        </is>
      </c>
      <c r="I40" t="inlineStr">
        <is>
          <t>Financials</t>
        </is>
      </c>
      <c r="J40" s="27" t="n">
        <v>5.27</v>
      </c>
      <c r="K40" s="11">
        <f>(J40/C40-1)*100</f>
        <v/>
      </c>
      <c r="L40" s="27" t="n">
        <v>6.66</v>
      </c>
      <c r="M40" s="27" t="n">
        <v>5.03</v>
      </c>
      <c r="N40" t="inlineStr">
        <is>
          <t>$5.9B</t>
        </is>
      </c>
      <c r="O40" s="3" t="n">
        <v>1</v>
      </c>
      <c r="P40" t="inlineStr">
        <is>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is>
      </c>
      <c r="Q40" t="inlineStr">
        <is>
          <t>19.8x</t>
        </is>
      </c>
      <c r="R40" s="3" t="n">
        <v>0.037</v>
      </c>
      <c r="S40" t="inlineStr">
        <is>
          <t>3.2x</t>
        </is>
      </c>
      <c r="T40" t="inlineStr">
        <is>
          <t>20.2x</t>
        </is>
      </c>
      <c r="U40" t="inlineStr">
        <is>
          <t>$1199.0M</t>
        </is>
      </c>
      <c r="V40" s="3" t="n">
        <v>0.68</v>
      </c>
      <c r="W40" s="3" t="n">
        <v>0.014</v>
      </c>
      <c r="X40" t="inlineStr">
        <is>
          <t>$289.5M</t>
        </is>
      </c>
      <c r="Y40" s="3" t="n">
        <v>0.213</v>
      </c>
      <c r="Z40" s="3" t="n">
        <v>0.173</v>
      </c>
      <c r="AA40" s="3" t="n">
        <v>0.193</v>
      </c>
      <c r="AB40" s="3" t="n">
        <v>0.142</v>
      </c>
    </row>
    <row r="41">
      <c r="A41" s="19" t="n">
        <v>45929</v>
      </c>
      <c r="B41" s="11" t="inlineStr">
        <is>
          <t>IPX.ASX</t>
        </is>
      </c>
      <c r="C41" s="11" t="n">
        <v>7.7</v>
      </c>
      <c r="D41" s="11" t="inlineStr">
        <is>
          <t>Buy</t>
        </is>
      </c>
      <c r="E41" t="inlineStr">
        <is>
          <t>30wk Low</t>
        </is>
      </c>
      <c r="F41" t="inlineStr">
        <is>
          <t>20 Week High</t>
        </is>
      </c>
      <c r="G41" t="inlineStr">
        <is>
          <t>The momentum filter is off, indicating the market is continuing to trend.</t>
        </is>
      </c>
      <c r="H41" t="inlineStr">
        <is>
          <t>Iperionx Limited Ordinary</t>
        </is>
      </c>
      <c r="I41" t="inlineStr">
        <is>
          <t>Materials</t>
        </is>
      </c>
      <c r="J41" s="27" t="n">
        <v>6.8</v>
      </c>
      <c r="K41" s="11">
        <f>(J41/C41-1)*100</f>
        <v/>
      </c>
      <c r="L41" s="27" t="n">
        <v>9.199999999999999</v>
      </c>
      <c r="M41" s="27" t="n">
        <v>2.07</v>
      </c>
      <c r="N41" t="inlineStr">
        <is>
          <t>$2.3B</t>
        </is>
      </c>
      <c r="P41" t="inlineStr">
        <is>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is>
      </c>
      <c r="R41" s="3" t="n">
        <v>0</v>
      </c>
      <c r="U41" t="inlineStr">
        <is>
          <t>$-80.3M</t>
        </is>
      </c>
      <c r="V41" s="3" t="n">
        <v>0.043</v>
      </c>
      <c r="W41" s="3" t="n">
        <v>0.07000000000000001</v>
      </c>
      <c r="X41" t="inlineStr">
        <is>
          <t>$-71.2M</t>
        </is>
      </c>
      <c r="Y41" s="3" t="n">
        <v>-5.801</v>
      </c>
      <c r="Z41" s="3" t="n">
        <v>3.755</v>
      </c>
      <c r="AB41" s="3" t="n">
        <v>-0.492</v>
      </c>
    </row>
    <row r="42">
      <c r="A42" s="19" t="n">
        <v>45929</v>
      </c>
      <c r="B42" s="11" t="inlineStr">
        <is>
          <t>WOW.ASX</t>
        </is>
      </c>
      <c r="C42" s="11" t="n">
        <v>26.79</v>
      </c>
      <c r="D42" s="11" t="inlineStr">
        <is>
          <t>Sell</t>
        </is>
      </c>
      <c r="E42" t="inlineStr">
        <is>
          <t>30wk Low</t>
        </is>
      </c>
      <c r="F42" s="11" t="inlineStr">
        <is>
          <t>-</t>
        </is>
      </c>
      <c r="G42" t="inlineStr">
        <is>
          <t>The momentum filter is off, indicating the market is continuing to trend.</t>
        </is>
      </c>
      <c r="H42" t="inlineStr">
        <is>
          <t>Woolworths Group Limited Ordinary</t>
        </is>
      </c>
      <c r="I42" t="inlineStr">
        <is>
          <t>Consumer Staples</t>
        </is>
      </c>
      <c r="J42" s="27" t="n">
        <v>26.79</v>
      </c>
      <c r="K42" s="14">
        <f>(J42/C42-1)*100</f>
        <v/>
      </c>
      <c r="L42" s="27" t="n">
        <v>33.23</v>
      </c>
      <c r="M42" s="27" t="n">
        <v>26.61</v>
      </c>
      <c r="N42" t="inlineStr">
        <is>
          <t>$32.7B</t>
        </is>
      </c>
      <c r="O42" s="3" t="n">
        <v>1</v>
      </c>
      <c r="P42" t="inlineStr">
        <is>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is>
      </c>
      <c r="Q42" t="inlineStr">
        <is>
          <t>39.5x</t>
        </is>
      </c>
      <c r="R42" s="3" t="n">
        <v>0.031</v>
      </c>
      <c r="S42" t="inlineStr">
        <is>
          <t>0.5x</t>
        </is>
      </c>
      <c r="T42" t="inlineStr">
        <is>
          <t>90.7x</t>
        </is>
      </c>
      <c r="U42" t="inlineStr">
        <is>
          <t>$16058.0M</t>
        </is>
      </c>
      <c r="V42" s="3" t="n">
        <v>3.577</v>
      </c>
      <c r="W42" s="3" t="n">
        <v>0.006</v>
      </c>
      <c r="X42" t="inlineStr">
        <is>
          <t>$361.0M</t>
        </is>
      </c>
      <c r="Y42" s="3" t="n">
        <v>0.014</v>
      </c>
      <c r="Z42" s="3" t="n">
        <v>0.043</v>
      </c>
      <c r="AA42" s="3" t="n">
        <v>-0.146</v>
      </c>
      <c r="AB42" s="3" t="n">
        <v>0.188</v>
      </c>
    </row>
    <row r="43">
      <c r="A43" s="19" t="n">
        <v>45894</v>
      </c>
      <c r="B43" s="11" t="inlineStr">
        <is>
          <t>360.ASX</t>
        </is>
      </c>
      <c r="C43" s="11" t="n">
        <v>45.06</v>
      </c>
      <c r="D43" s="11" t="inlineStr">
        <is>
          <t>Buy</t>
        </is>
      </c>
      <c r="E43" t="inlineStr">
        <is>
          <t>30wk Low</t>
        </is>
      </c>
      <c r="F43" t="inlineStr">
        <is>
          <t>20 Week High</t>
        </is>
      </c>
      <c r="G43" t="inlineStr">
        <is>
          <t>The momentum filter is off, indicating the market is continuing to trend.</t>
        </is>
      </c>
      <c r="H43" t="inlineStr">
        <is>
          <t>Life360 Inc. CDI 3:1 Foreign Exempt Xngs</t>
        </is>
      </c>
      <c r="I43" t="inlineStr">
        <is>
          <t>Information Technology</t>
        </is>
      </c>
      <c r="J43" s="27" t="n">
        <v>46.64</v>
      </c>
      <c r="K43" s="14">
        <f>(J43/C43-1)*100</f>
        <v/>
      </c>
      <c r="L43" s="27" t="n">
        <v>55.87</v>
      </c>
      <c r="M43" s="27" t="n">
        <v>14.93</v>
      </c>
      <c r="N43" t="inlineStr">
        <is>
          <t>$11.0B</t>
        </is>
      </c>
      <c r="P43" t="inlineStr">
        <is>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is>
      </c>
      <c r="Q43" t="inlineStr">
        <is>
          <t>173.5x</t>
        </is>
      </c>
      <c r="R43" s="3" t="n">
        <v>0</v>
      </c>
      <c r="S43" t="inlineStr">
        <is>
          <t>19.1x</t>
        </is>
      </c>
      <c r="T43" t="inlineStr">
        <is>
          <t>258.7x</t>
        </is>
      </c>
      <c r="U43" t="inlineStr">
        <is>
          <t>$-194.7M</t>
        </is>
      </c>
      <c r="V43" s="3" t="n">
        <v>0.844</v>
      </c>
      <c r="W43" s="3" t="n">
        <v>0.07099999999999999</v>
      </c>
      <c r="X43" t="inlineStr">
        <is>
          <t>$41.7M</t>
        </is>
      </c>
      <c r="Y43" s="3" t="n">
        <v>0.065</v>
      </c>
      <c r="Z43" s="3" t="n">
        <v>0.488</v>
      </c>
      <c r="AB43" s="3" t="n">
        <v>0.08</v>
      </c>
    </row>
    <row r="44">
      <c r="A44" s="19" t="n">
        <v>45894</v>
      </c>
      <c r="B44" t="inlineStr">
        <is>
          <t>ING.ASX</t>
        </is>
      </c>
      <c r="C44" s="11" t="n">
        <v>2.83</v>
      </c>
      <c r="D44" s="11" t="inlineStr">
        <is>
          <t>Sell</t>
        </is>
      </c>
      <c r="E44" t="inlineStr">
        <is>
          <t>30wk Low</t>
        </is>
      </c>
      <c r="F44" s="11" t="inlineStr">
        <is>
          <t>-</t>
        </is>
      </c>
      <c r="G44" t="inlineStr">
        <is>
          <t>The momentum filter is off, indicating the market is continuing to trend.</t>
        </is>
      </c>
      <c r="H44" t="inlineStr">
        <is>
          <t>Inghams Group Limited Ordinary</t>
        </is>
      </c>
      <c r="I44" t="inlineStr">
        <is>
          <t>Consumer Staples</t>
        </is>
      </c>
      <c r="J44" s="11" t="n">
        <v>2.83</v>
      </c>
      <c r="K44" s="20">
        <f>(J44/C44-1)*100</f>
        <v/>
      </c>
      <c r="L44" s="27" t="n">
        <v>3.9</v>
      </c>
      <c r="M44" s="27" t="n">
        <v>2.72</v>
      </c>
      <c r="N44" t="inlineStr">
        <is>
          <t>$1.3B</t>
        </is>
      </c>
      <c r="O44" s="3" t="n">
        <v>1</v>
      </c>
      <c r="P44" t="inlineStr">
        <is>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is>
      </c>
      <c r="Q44" t="inlineStr">
        <is>
          <t>13.0x</t>
        </is>
      </c>
      <c r="R44" s="3" t="n">
        <v>0.054</v>
      </c>
      <c r="S44" t="inlineStr">
        <is>
          <t>0.4x</t>
        </is>
      </c>
      <c r="T44" t="inlineStr">
        <is>
          <t>7.4x</t>
        </is>
      </c>
      <c r="U44" t="inlineStr">
        <is>
          <t>$1363.7M</t>
        </is>
      </c>
      <c r="V44" s="3" t="n">
        <v>6.422</v>
      </c>
      <c r="W44" s="3" t="n">
        <v>0.013</v>
      </c>
      <c r="X44" t="inlineStr">
        <is>
          <t>$175.0M</t>
        </is>
      </c>
      <c r="Y44" s="3" t="n">
        <v>0.028</v>
      </c>
      <c r="Z44" s="3" t="n">
        <v>0.06900000000000001</v>
      </c>
      <c r="AA44" s="3" t="n">
        <v>0.067</v>
      </c>
      <c r="AB44" s="3" t="n">
        <v>0.386</v>
      </c>
    </row>
    <row r="45">
      <c r="A45" s="19" t="n">
        <v>45879</v>
      </c>
      <c r="B45" s="11" t="inlineStr">
        <is>
          <t>ZIP.ASX</t>
        </is>
      </c>
      <c r="C45" s="11" t="n">
        <v>3.37</v>
      </c>
      <c r="D45" s="11" t="inlineStr">
        <is>
          <t>Buy</t>
        </is>
      </c>
      <c r="E45" t="inlineStr">
        <is>
          <t>30wk Low</t>
        </is>
      </c>
      <c r="F45" t="inlineStr">
        <is>
          <t>20 Week High</t>
        </is>
      </c>
      <c r="G45" t="inlineStr">
        <is>
          <t>The momentum filter is off, indicating the market is continuing to trend.</t>
        </is>
      </c>
      <c r="H45" t="inlineStr">
        <is>
          <t>Zip Co Limited. Ordinary</t>
        </is>
      </c>
      <c r="I45" t="inlineStr">
        <is>
          <t>Financials</t>
        </is>
      </c>
      <c r="J45" s="27" t="n">
        <v>3.87</v>
      </c>
      <c r="K45" s="6">
        <f>(J45/C45-1)*100</f>
        <v/>
      </c>
      <c r="L45" s="27" t="n">
        <v>4.93</v>
      </c>
      <c r="M45" s="27" t="n">
        <v>1.085</v>
      </c>
      <c r="N45" t="inlineStr">
        <is>
          <t>$5.0B</t>
        </is>
      </c>
      <c r="P45" t="inlineStr">
        <is>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is>
      </c>
      <c r="Q45" t="inlineStr">
        <is>
          <t>50.2x</t>
        </is>
      </c>
      <c r="R45" s="3" t="n">
        <v>0</v>
      </c>
      <c r="S45" t="inlineStr">
        <is>
          <t>4.7x</t>
        </is>
      </c>
      <c r="U45" t="inlineStr">
        <is>
          <t>$2275.0M</t>
        </is>
      </c>
      <c r="V45" s="3" t="n">
        <v>3.416</v>
      </c>
      <c r="X45" t="inlineStr">
        <is>
          <t>$-69.3M</t>
        </is>
      </c>
      <c r="Y45" s="3" t="n">
        <v>0.075</v>
      </c>
      <c r="Z45" s="3" t="n">
        <v>0.215</v>
      </c>
      <c r="AB45" s="3" t="n">
        <v>0.144</v>
      </c>
    </row>
    <row r="46">
      <c r="A46" s="12" t="n">
        <v>45872</v>
      </c>
      <c r="B46" t="inlineStr">
        <is>
          <t>BOE.ASX</t>
        </is>
      </c>
      <c r="C46" s="11" t="n">
        <v>1.705</v>
      </c>
      <c r="D46" s="11" t="inlineStr">
        <is>
          <t>Sell</t>
        </is>
      </c>
      <c r="E46" t="inlineStr">
        <is>
          <t>30wk Low</t>
        </is>
      </c>
      <c r="F46" s="10" t="inlineStr">
        <is>
          <t>-</t>
        </is>
      </c>
      <c r="G46" t="inlineStr">
        <is>
          <t>The momentum filter is off, indicating the market is continuing to trend.</t>
        </is>
      </c>
      <c r="H46" t="inlineStr">
        <is>
          <t>Boss Energy Ltd Ordinary</t>
        </is>
      </c>
      <c r="I46" t="inlineStr">
        <is>
          <t>Energy</t>
        </is>
      </c>
      <c r="J46" s="28" t="n">
        <v>1.705</v>
      </c>
      <c r="K46" s="14" t="n">
        <v>0</v>
      </c>
      <c r="L46" s="27" t="n">
        <v>4.75</v>
      </c>
      <c r="M46" s="27" t="n">
        <v>1.68</v>
      </c>
      <c r="N46" t="inlineStr">
        <is>
          <t>$0.7B</t>
        </is>
      </c>
      <c r="P46" t="inlineStr">
        <is>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is>
      </c>
      <c r="R46" s="3" t="n">
        <v>0</v>
      </c>
      <c r="U46" t="inlineStr">
        <is>
          <t>$-64.6M</t>
        </is>
      </c>
      <c r="V46" s="3" t="n">
        <v>0.001</v>
      </c>
      <c r="W46" s="3" t="n">
        <v>0.139</v>
      </c>
      <c r="X46" t="inlineStr">
        <is>
          <t>$-102.1M</t>
        </is>
      </c>
      <c r="Y46" s="3" t="n">
        <v>-0.472</v>
      </c>
      <c r="AA46" s="3" t="n">
        <v>2.157</v>
      </c>
      <c r="AB46" s="3" t="n">
        <v>-0.045</v>
      </c>
    </row>
    <row r="47">
      <c r="A47" s="2" t="n">
        <v>45786</v>
      </c>
      <c r="B47" t="inlineStr">
        <is>
          <t>BOE.ASX</t>
        </is>
      </c>
      <c r="C47" t="n">
        <v>3.58</v>
      </c>
      <c r="D47" t="inlineStr">
        <is>
          <t>Buy</t>
        </is>
      </c>
      <c r="E47" t="inlineStr">
        <is>
          <t>30wk Low</t>
        </is>
      </c>
      <c r="F47" t="inlineStr">
        <is>
          <t>20 Week High</t>
        </is>
      </c>
      <c r="G47" t="inlineStr">
        <is>
          <t>The momentum filter is off, indicating the market is continuing to trend.</t>
        </is>
      </c>
      <c r="H47" t="inlineStr">
        <is>
          <t>Boss Energy Ltd Ordinary</t>
        </is>
      </c>
      <c r="I47" t="inlineStr">
        <is>
          <t>Energy</t>
        </is>
      </c>
      <c r="J47" s="27" t="n">
        <v>1.71</v>
      </c>
      <c r="K47" s="6">
        <f>(J47/C47-1)*100</f>
        <v/>
      </c>
      <c r="L47" s="27" t="n">
        <v>4.75</v>
      </c>
      <c r="M47" s="27" t="n">
        <v>1.68</v>
      </c>
      <c r="N47" t="inlineStr">
        <is>
          <t>$0.7B</t>
        </is>
      </c>
      <c r="P47" t="inlineStr">
        <is>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is>
      </c>
      <c r="R47" s="3" t="n">
        <v>0</v>
      </c>
      <c r="U47" t="inlineStr">
        <is>
          <t>$-64.6M</t>
        </is>
      </c>
      <c r="V47" s="3" t="n">
        <v>0.001</v>
      </c>
      <c r="W47" s="3" t="n">
        <v>0.139</v>
      </c>
      <c r="X47" t="inlineStr">
        <is>
          <t>$-102.1M</t>
        </is>
      </c>
      <c r="Y47" s="3" t="n">
        <v>-0.472</v>
      </c>
      <c r="AA47" s="3" t="n">
        <v>2.157</v>
      </c>
      <c r="AB47" s="3" t="n">
        <v>-0.045</v>
      </c>
    </row>
    <row r="48">
      <c r="A48" s="2" t="n">
        <v>45786</v>
      </c>
      <c r="B48" t="inlineStr">
        <is>
          <t>CBA.ASX</t>
        </is>
      </c>
      <c r="C48" t="n">
        <v>169.66</v>
      </c>
      <c r="D48" t="inlineStr">
        <is>
          <t>Buy</t>
        </is>
      </c>
      <c r="E48" t="inlineStr">
        <is>
          <t>30wk Low</t>
        </is>
      </c>
      <c r="F48" t="inlineStr">
        <is>
          <t>20 Week High</t>
        </is>
      </c>
      <c r="G48" t="inlineStr">
        <is>
          <t>The momentum filter is off, indicating the market is continuing to trend.</t>
        </is>
      </c>
      <c r="H48" t="inlineStr">
        <is>
          <t>Commonwealth Bank of Australia. Ordinary</t>
        </is>
      </c>
      <c r="I48" t="inlineStr">
        <is>
          <t>Financials</t>
        </is>
      </c>
      <c r="J48" s="27" t="n">
        <v>175.91</v>
      </c>
      <c r="K48" s="6">
        <f>(J48/C48-1)*100</f>
        <v/>
      </c>
      <c r="L48" s="27" t="n">
        <v>189.08</v>
      </c>
      <c r="M48" s="27" t="n">
        <v>138.08</v>
      </c>
      <c r="N48" t="inlineStr">
        <is>
          <t>$294.4B</t>
        </is>
      </c>
      <c r="O48" s="3" t="n">
        <v>1</v>
      </c>
      <c r="P48" t="inlineStr">
        <is>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is>
      </c>
      <c r="Q48" t="inlineStr">
        <is>
          <t>30.5x</t>
        </is>
      </c>
      <c r="R48" s="3" t="n">
        <v>0.028</v>
      </c>
      <c r="S48" t="inlineStr">
        <is>
          <t>10.3x</t>
        </is>
      </c>
      <c r="U48" t="inlineStr">
        <is>
          <t>$125857.0M</t>
        </is>
      </c>
      <c r="V48" s="3" t="n">
        <v>2.758</v>
      </c>
      <c r="X48" t="inlineStr">
        <is>
          <t>$-10410.0M</t>
        </is>
      </c>
      <c r="Y48" s="3" t="n">
        <v>0.354</v>
      </c>
      <c r="Z48" s="3" t="n">
        <v>0.389</v>
      </c>
      <c r="AA48" s="3" t="n">
        <v>0.082</v>
      </c>
      <c r="AB48" s="3" t="n">
        <v>0.133</v>
      </c>
    </row>
    <row r="49">
      <c r="A49" s="2" t="n">
        <v>45786</v>
      </c>
      <c r="B49" t="inlineStr">
        <is>
          <t>WOW.ASX</t>
        </is>
      </c>
      <c r="C49" t="n">
        <v>32.68</v>
      </c>
      <c r="D49" t="inlineStr">
        <is>
          <t>Buy</t>
        </is>
      </c>
      <c r="E49" t="inlineStr">
        <is>
          <t>30wk Low</t>
        </is>
      </c>
      <c r="F49" t="inlineStr">
        <is>
          <t>20 Week High</t>
        </is>
      </c>
      <c r="G49" t="inlineStr">
        <is>
          <t>The momentum filter is off, indicating the market is continuing to trend.</t>
        </is>
      </c>
      <c r="H49" t="inlineStr">
        <is>
          <t>Woolworths Group Limited Ordinary</t>
        </is>
      </c>
      <c r="I49" t="inlineStr">
        <is>
          <t>Consumer Staples</t>
        </is>
      </c>
      <c r="J49" s="27" t="n">
        <v>27.38</v>
      </c>
      <c r="K49" s="6">
        <f>(J49/C49-1)*100</f>
        <v/>
      </c>
      <c r="L49" s="27" t="n">
        <v>33.4</v>
      </c>
      <c r="M49" s="27" t="n">
        <v>27.08</v>
      </c>
      <c r="N49" t="inlineStr">
        <is>
          <t>$33.6B</t>
        </is>
      </c>
      <c r="O49" s="3" t="n">
        <v>1</v>
      </c>
      <c r="P49" t="inlineStr">
        <is>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is>
      </c>
      <c r="Q49" t="inlineStr">
        <is>
          <t>39.5x</t>
        </is>
      </c>
      <c r="R49" s="3" t="n">
        <v>0.031</v>
      </c>
      <c r="S49" t="inlineStr">
        <is>
          <t>0.5x</t>
        </is>
      </c>
      <c r="T49" t="inlineStr">
        <is>
          <t>93.0x</t>
        </is>
      </c>
      <c r="U49" t="inlineStr">
        <is>
          <t>$16058.0M</t>
        </is>
      </c>
      <c r="V49" s="3" t="n">
        <v>3.577</v>
      </c>
      <c r="W49" s="3" t="n">
        <v>0.006</v>
      </c>
      <c r="X49" t="inlineStr">
        <is>
          <t>$361.0M</t>
        </is>
      </c>
      <c r="Y49" s="3" t="n">
        <v>0.014</v>
      </c>
      <c r="Z49" s="3" t="n">
        <v>0.043</v>
      </c>
      <c r="AA49" s="3" t="n">
        <v>-0.146</v>
      </c>
      <c r="AB49" s="3" t="n">
        <v>0.188</v>
      </c>
    </row>
    <row r="50">
      <c r="A50" s="2" t="n">
        <v>45786</v>
      </c>
      <c r="B50" t="inlineStr">
        <is>
          <t>CIP.ASX</t>
        </is>
      </c>
      <c r="C50" t="n">
        <v>3.06</v>
      </c>
      <c r="D50" t="inlineStr">
        <is>
          <t>Buy</t>
        </is>
      </c>
      <c r="E50" t="inlineStr">
        <is>
          <t>30wk Low</t>
        </is>
      </c>
      <c r="F50" t="inlineStr">
        <is>
          <t>20 Week High</t>
        </is>
      </c>
      <c r="G50" t="inlineStr">
        <is>
          <t>The momentum filter is off, indicating the market is continuing to trend.</t>
        </is>
      </c>
      <c r="H50" t="inlineStr">
        <is>
          <t>Centuria Industrial Reit Ordinary Units</t>
        </is>
      </c>
      <c r="I50" t="inlineStr">
        <is>
          <t>Real Estate</t>
        </is>
      </c>
      <c r="J50" s="27" t="n">
        <v>3.13</v>
      </c>
      <c r="K50" s="6">
        <f>(J50/C50-1)*100</f>
        <v/>
      </c>
      <c r="L50" s="27" t="n">
        <v>3.54</v>
      </c>
      <c r="M50" s="27" t="n">
        <v>2.68</v>
      </c>
      <c r="N50" t="inlineStr">
        <is>
          <t>$2.1B</t>
        </is>
      </c>
      <c r="O50" s="3" t="n">
        <v>0</v>
      </c>
      <c r="P50" t="inlineStr">
        <is>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is>
      </c>
      <c r="Q50" t="inlineStr">
        <is>
          <t>14.9x</t>
        </is>
      </c>
      <c r="R50" s="3" t="n">
        <v>0.053</v>
      </c>
      <c r="S50" t="inlineStr">
        <is>
          <t>8.9x</t>
        </is>
      </c>
      <c r="U50" t="inlineStr">
        <is>
          <t>$1344.2M</t>
        </is>
      </c>
      <c r="V50" s="3" t="n">
        <v>0.546</v>
      </c>
      <c r="W50" s="3" t="n">
        <v>0.002</v>
      </c>
      <c r="X50" t="inlineStr">
        <is>
          <t>$-7.1M</t>
        </is>
      </c>
      <c r="Y50" s="3" t="n">
        <v>0.57</v>
      </c>
      <c r="Z50" s="3" t="n">
        <v>0.047</v>
      </c>
      <c r="AA50" s="3" t="n">
        <v>-0.295</v>
      </c>
      <c r="AB50" s="3" t="n">
        <v>0.054</v>
      </c>
    </row>
    <row r="51">
      <c r="A51" s="2" t="n">
        <v>45786</v>
      </c>
      <c r="B51" t="inlineStr">
        <is>
          <t>CGF.ASX</t>
        </is>
      </c>
      <c r="C51" t="n">
        <v>7.17</v>
      </c>
      <c r="D51" t="inlineStr">
        <is>
          <t>Buy</t>
        </is>
      </c>
      <c r="E51" t="inlineStr">
        <is>
          <t>30wk Low</t>
        </is>
      </c>
      <c r="F51" t="inlineStr">
        <is>
          <t>20 Week High</t>
        </is>
      </c>
      <c r="G51" t="inlineStr">
        <is>
          <t>The momentum filter is off, indicating the market is continuing to trend.</t>
        </is>
      </c>
      <c r="H51" t="inlineStr">
        <is>
          <t>Challenger Limited Ordinary</t>
        </is>
      </c>
      <c r="I51" t="inlineStr">
        <is>
          <t>Financials</t>
        </is>
      </c>
      <c r="J51" s="27" t="n">
        <v>7.38</v>
      </c>
      <c r="K51" s="11">
        <f>(J51/C51-1)*100</f>
        <v/>
      </c>
      <c r="L51" s="27" t="n">
        <v>9.44</v>
      </c>
      <c r="M51" s="27" t="n">
        <v>5.2</v>
      </c>
      <c r="N51" t="inlineStr">
        <is>
          <t>$6.5B</t>
        </is>
      </c>
      <c r="O51" s="3" t="n">
        <v>1</v>
      </c>
      <c r="P51" t="inlineStr">
        <is>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is>
      </c>
      <c r="Q51" t="inlineStr">
        <is>
          <t>28.9x</t>
        </is>
      </c>
      <c r="R51" s="3" t="n">
        <v>0.041</v>
      </c>
      <c r="S51" t="inlineStr">
        <is>
          <t>2.6x</t>
        </is>
      </c>
      <c r="T51" t="inlineStr">
        <is>
          <t>31.4x</t>
        </is>
      </c>
      <c r="U51" t="inlineStr">
        <is>
          <t>$7617.7M</t>
        </is>
      </c>
      <c r="V51" s="3" t="n">
        <v>2.139</v>
      </c>
      <c r="X51" t="inlineStr">
        <is>
          <t>$208.1M</t>
        </is>
      </c>
      <c r="Y51" s="3" t="n">
        <v>0.076</v>
      </c>
      <c r="Z51" s="3" t="n">
        <v>0.218</v>
      </c>
      <c r="AA51" s="3" t="n">
        <v>-0.059</v>
      </c>
      <c r="AB51" s="3" t="n">
        <v>0.05</v>
      </c>
    </row>
    <row r="52">
      <c r="A52" s="2" t="n">
        <v>45786</v>
      </c>
      <c r="B52" t="inlineStr">
        <is>
          <t>BWP.ASX</t>
        </is>
      </c>
      <c r="C52" t="n">
        <v>3.64</v>
      </c>
      <c r="D52" t="inlineStr">
        <is>
          <t>Buy</t>
        </is>
      </c>
      <c r="E52" t="inlineStr">
        <is>
          <t>30wk Low</t>
        </is>
      </c>
      <c r="F52" t="inlineStr">
        <is>
          <t>20 Week High</t>
        </is>
      </c>
      <c r="G52" t="inlineStr">
        <is>
          <t>The momentum filter is off, indicating the market is continuing to trend.</t>
        </is>
      </c>
      <c r="H52" t="inlineStr">
        <is>
          <t>BWP Group Ordinary/Units Stapled Securities</t>
        </is>
      </c>
      <c r="I52" t="inlineStr">
        <is>
          <t>Real Estate</t>
        </is>
      </c>
      <c r="J52" s="27" t="n">
        <v>3.75</v>
      </c>
      <c r="K52" s="6">
        <f>(J52/C52-1)*100</f>
        <v/>
      </c>
      <c r="L52" s="27" t="n">
        <v>4.03</v>
      </c>
      <c r="M52" s="27" t="n">
        <v>3.18</v>
      </c>
      <c r="N52" t="inlineStr">
        <is>
          <t>$2.9B</t>
        </is>
      </c>
      <c r="O52" s="3" t="n">
        <v>0</v>
      </c>
      <c r="P52" t="inlineStr">
        <is>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is>
      </c>
      <c r="Q52" t="inlineStr">
        <is>
          <t>9.5x</t>
        </is>
      </c>
      <c r="R52" s="3" t="n">
        <v>0.051</v>
      </c>
      <c r="S52" t="inlineStr">
        <is>
          <t>14.0x</t>
        </is>
      </c>
      <c r="U52" t="inlineStr">
        <is>
          <t>$782.9M</t>
        </is>
      </c>
      <c r="V52" s="3" t="n">
        <v>0.285</v>
      </c>
      <c r="W52" s="3" t="n">
        <v>0.003</v>
      </c>
      <c r="X52" t="inlineStr">
        <is>
          <t>$-12.0M</t>
        </is>
      </c>
      <c r="Y52" s="3" t="n">
        <v>1.306</v>
      </c>
      <c r="Z52" s="3" t="n">
        <v>0.098</v>
      </c>
      <c r="AA52" s="3" t="n">
        <v>-0.211</v>
      </c>
      <c r="AB52" s="3" t="n">
        <v>0.096</v>
      </c>
    </row>
    <row r="53">
      <c r="A53" s="2" t="n">
        <v>45786</v>
      </c>
      <c r="B53" t="inlineStr">
        <is>
          <t>ALX.ASX</t>
        </is>
      </c>
      <c r="C53" t="n">
        <v>5.19</v>
      </c>
      <c r="D53" t="inlineStr">
        <is>
          <t>Buy</t>
        </is>
      </c>
      <c r="E53" t="inlineStr">
        <is>
          <t>30wk Low</t>
        </is>
      </c>
      <c r="F53" t="inlineStr">
        <is>
          <t>20 Week High</t>
        </is>
      </c>
      <c r="G53" t="inlineStr">
        <is>
          <t>The momentum filter is off, indicating the market is continuing to trend.</t>
        </is>
      </c>
      <c r="H53" t="inlineStr">
        <is>
          <t>Atlas Arteria FPO Stap US Prohibited Excluding QIB/QP</t>
        </is>
      </c>
      <c r="I53" t="inlineStr">
        <is>
          <t>Industrials</t>
        </is>
      </c>
      <c r="J53" s="27" t="n">
        <v>4.58</v>
      </c>
      <c r="K53" s="11">
        <f>(J53/C53-1)*100</f>
        <v/>
      </c>
      <c r="L53" s="27" t="n">
        <v>5.33</v>
      </c>
      <c r="M53" s="27" t="n">
        <v>4.35</v>
      </c>
      <c r="N53" t="inlineStr">
        <is>
          <t>$7.0B</t>
        </is>
      </c>
      <c r="O53" s="3" t="n">
        <v>0</v>
      </c>
      <c r="P53" t="inlineStr">
        <is>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is>
      </c>
      <c r="Q53" t="inlineStr">
        <is>
          <t>31.2x</t>
        </is>
      </c>
      <c r="R53" s="3" t="n">
        <v>0.08699999999999999</v>
      </c>
      <c r="S53" t="inlineStr">
        <is>
          <t>48.0x</t>
        </is>
      </c>
      <c r="U53" t="inlineStr">
        <is>
          <t>$1406.8M</t>
        </is>
      </c>
      <c r="V53" s="3" t="n">
        <v>0.278</v>
      </c>
      <c r="W53" s="3" t="n">
        <v>0.024</v>
      </c>
      <c r="X53" t="inlineStr">
        <is>
          <t>$-488.3M</t>
        </is>
      </c>
      <c r="Y53" s="3" t="n">
        <v>1.524</v>
      </c>
      <c r="Z53" s="3" t="n">
        <v>0.132</v>
      </c>
      <c r="AA53" s="3" t="n">
        <v>0.06</v>
      </c>
      <c r="AB53" s="3" t="n">
        <v>0.038</v>
      </c>
    </row>
    <row r="54">
      <c r="A54" s="2" t="n">
        <v>45786</v>
      </c>
      <c r="B54" t="inlineStr">
        <is>
          <t>ING.ASX</t>
        </is>
      </c>
      <c r="C54" t="n">
        <v>3.5</v>
      </c>
      <c r="D54" t="inlineStr">
        <is>
          <t>Buy</t>
        </is>
      </c>
      <c r="E54" t="inlineStr">
        <is>
          <t>30wk Low</t>
        </is>
      </c>
      <c r="F54" t="inlineStr">
        <is>
          <t>20 Week High</t>
        </is>
      </c>
      <c r="G54" t="inlineStr">
        <is>
          <t>The momentum filter is off, indicating the market is continuing to trend.</t>
        </is>
      </c>
      <c r="H54" t="inlineStr">
        <is>
          <t>Inghams Group Limited Ordinary</t>
        </is>
      </c>
      <c r="I54" t="inlineStr">
        <is>
          <t>Consumer Staples</t>
        </is>
      </c>
      <c r="J54" s="27" t="n">
        <v>3.53</v>
      </c>
      <c r="K54" s="6">
        <f>(J54/C54-1)*100</f>
        <v/>
      </c>
      <c r="L54" s="27" t="n">
        <v>3.9</v>
      </c>
      <c r="M54" s="27" t="n">
        <v>2.72</v>
      </c>
      <c r="N54" t="inlineStr">
        <is>
          <t>$1.3B</t>
        </is>
      </c>
      <c r="O54" s="3" t="n">
        <v>1</v>
      </c>
      <c r="P54" t="inlineStr">
        <is>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is>
      </c>
      <c r="Q54" t="inlineStr">
        <is>
          <t>13.0x</t>
        </is>
      </c>
      <c r="R54" s="3" t="n">
        <v>0.054</v>
      </c>
      <c r="S54" t="inlineStr">
        <is>
          <t>0.4x</t>
        </is>
      </c>
      <c r="T54" t="inlineStr">
        <is>
          <t>7.4x</t>
        </is>
      </c>
      <c r="U54" t="inlineStr">
        <is>
          <t>$1363.7M</t>
        </is>
      </c>
      <c r="V54" s="3" t="n">
        <v>6.422</v>
      </c>
      <c r="W54" s="3" t="n">
        <v>0.013</v>
      </c>
      <c r="X54" t="inlineStr">
        <is>
          <t>$175.0M</t>
        </is>
      </c>
      <c r="Y54" s="3" t="n">
        <v>0.028</v>
      </c>
      <c r="Z54" s="3" t="n">
        <v>0.06900000000000001</v>
      </c>
      <c r="AA54" s="3" t="n">
        <v>0.067</v>
      </c>
      <c r="AB54" s="3" t="n">
        <v>0.386</v>
      </c>
    </row>
    <row r="55">
      <c r="A55" s="2" t="n">
        <v>45786</v>
      </c>
      <c r="B55" t="inlineStr">
        <is>
          <t>MGR.ASX</t>
        </is>
      </c>
      <c r="C55" t="n">
        <v>2.3</v>
      </c>
      <c r="D55" t="inlineStr">
        <is>
          <t>Buy</t>
        </is>
      </c>
      <c r="E55" t="inlineStr">
        <is>
          <t>30wk Low</t>
        </is>
      </c>
      <c r="F55" t="inlineStr">
        <is>
          <t>20 Week High</t>
        </is>
      </c>
      <c r="G55" t="inlineStr">
        <is>
          <t>The momentum filter is off, indicating the market is continuing to trend.</t>
        </is>
      </c>
      <c r="H55" t="inlineStr">
        <is>
          <t>Mirvac Group Ordinary/Units Stapled Securities</t>
        </is>
      </c>
      <c r="I55" t="inlineStr">
        <is>
          <t>Real Estate</t>
        </is>
      </c>
      <c r="J55" s="27" t="n">
        <v>2.03</v>
      </c>
      <c r="K55" s="6">
        <f>(J55/C55-1)*100</f>
        <v/>
      </c>
      <c r="L55" s="27" t="n">
        <v>2.46</v>
      </c>
      <c r="M55" s="27" t="n">
        <v>1.775</v>
      </c>
      <c r="N55" t="inlineStr">
        <is>
          <t>$8.0B</t>
        </is>
      </c>
      <c r="O55" s="3" t="n">
        <v>0</v>
      </c>
      <c r="P55" t="inlineStr">
        <is>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is>
      </c>
      <c r="Q55" t="inlineStr">
        <is>
          <t>127.7x</t>
        </is>
      </c>
      <c r="R55" s="3" t="n">
        <v>0.044</v>
      </c>
      <c r="S55" t="inlineStr">
        <is>
          <t>3.2x</t>
        </is>
      </c>
      <c r="T55" t="inlineStr">
        <is>
          <t>60.2x</t>
        </is>
      </c>
      <c r="U55" t="inlineStr">
        <is>
          <t>$4308.0M</t>
        </is>
      </c>
      <c r="V55" s="3" t="n">
        <v>0.502</v>
      </c>
      <c r="W55" s="3" t="n">
        <v>0.01</v>
      </c>
      <c r="X55" t="inlineStr">
        <is>
          <t>$133.0M</t>
        </is>
      </c>
      <c r="Y55" s="3" t="n">
        <v>0.028</v>
      </c>
      <c r="Z55" s="3" t="n">
        <v>0.023</v>
      </c>
      <c r="AA55" s="3" t="n">
        <v>-0.578</v>
      </c>
      <c r="AB55" s="3" t="n">
        <v>0.007</v>
      </c>
    </row>
    <row r="56">
      <c r="A56" s="2" t="n">
        <v>45786</v>
      </c>
      <c r="B56" t="inlineStr">
        <is>
          <t>VNT.ASX</t>
        </is>
      </c>
      <c r="C56" t="n">
        <v>4.34</v>
      </c>
      <c r="D56" t="inlineStr">
        <is>
          <t>Buy</t>
        </is>
      </c>
      <c r="E56" t="inlineStr">
        <is>
          <t>30wk Low</t>
        </is>
      </c>
      <c r="F56" t="inlineStr">
        <is>
          <t>20 Week High</t>
        </is>
      </c>
      <c r="G56" t="inlineStr">
        <is>
          <t>The momentum filter is off, indicating the market is continuing to trend.</t>
        </is>
      </c>
      <c r="H56" t="inlineStr">
        <is>
          <t>Ventia Services Group Limited Ordinary</t>
        </is>
      </c>
      <c r="I56" t="inlineStr">
        <is>
          <t>Industrials</t>
        </is>
      </c>
      <c r="J56" s="27" t="n">
        <v>5.16</v>
      </c>
      <c r="K56" s="11">
        <f>(J56/C56-1)*100</f>
        <v/>
      </c>
      <c r="L56" s="27" t="n">
        <v>6.41</v>
      </c>
      <c r="M56" s="27" t="n">
        <v>3.58</v>
      </c>
      <c r="N56" t="inlineStr">
        <is>
          <t>$5.0B</t>
        </is>
      </c>
      <c r="O56" s="3" t="n">
        <v>0.9</v>
      </c>
      <c r="P56" t="inlineStr">
        <is>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is>
      </c>
      <c r="Q56" t="inlineStr">
        <is>
          <t>17.4x</t>
        </is>
      </c>
      <c r="R56" s="3" t="n">
        <v>0.041</v>
      </c>
      <c r="S56" t="inlineStr">
        <is>
          <t>0.8x</t>
        </is>
      </c>
      <c r="T56" t="inlineStr">
        <is>
          <t>39.1x</t>
        </is>
      </c>
      <c r="U56" t="inlineStr">
        <is>
          <t>$571.1M</t>
        </is>
      </c>
      <c r="V56" s="3" t="n">
        <v>1.525</v>
      </c>
      <c r="W56" s="3" t="n">
        <v>0.01</v>
      </c>
      <c r="X56" t="inlineStr">
        <is>
          <t>$128.6M</t>
        </is>
      </c>
      <c r="Y56" s="3" t="n">
        <v>0.042</v>
      </c>
      <c r="Z56" s="3" t="n">
        <v>0.103</v>
      </c>
      <c r="AB56" s="3" t="n">
        <v>0.429</v>
      </c>
    </row>
    <row r="57">
      <c r="A57" s="2" t="n">
        <v>45770</v>
      </c>
      <c r="B57" t="inlineStr">
        <is>
          <t>DEG-202504.ASX</t>
        </is>
      </c>
      <c r="C57" t="n">
        <v>2.64</v>
      </c>
      <c r="D57" t="inlineStr">
        <is>
          <t>Sell</t>
        </is>
      </c>
      <c r="E57" t="inlineStr">
        <is>
          <t>Delisted</t>
        </is>
      </c>
      <c r="F57" t="inlineStr">
        <is>
          <t>-</t>
        </is>
      </c>
      <c r="G57" t="inlineStr">
        <is>
          <t>The momentum filter is off, indicating the market is continuing to trend.</t>
        </is>
      </c>
      <c r="H57" t="inlineStr">
        <is>
          <t>De Grey Mining Limited Ordinary</t>
        </is>
      </c>
      <c r="I57" t="inlineStr">
        <is>
          <t>Materials</t>
        </is>
      </c>
      <c r="J57" s="27" t="n">
        <v>2.46</v>
      </c>
      <c r="K57" s="6">
        <f>(J57/C57-1)*100</f>
        <v/>
      </c>
      <c r="L57" s="27" t="n">
        <v>2.77</v>
      </c>
      <c r="M57" s="27" t="n">
        <v>0.985</v>
      </c>
      <c r="N57" t="inlineStr">
        <is>
          <t>$5.9B</t>
        </is>
      </c>
      <c r="P57" t="inlineStr">
        <is>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is>
      </c>
      <c r="R57" s="3" t="n">
        <v>0</v>
      </c>
      <c r="S57" t="inlineStr">
        <is>
          <t>364.0x</t>
        </is>
      </c>
      <c r="U57" t="inlineStr">
        <is>
          <t>$-778.6M</t>
        </is>
      </c>
      <c r="V57" s="3" t="n">
        <v>0.006</v>
      </c>
      <c r="W57" s="3" t="n">
        <v>0.331</v>
      </c>
      <c r="X57" t="inlineStr">
        <is>
          <t>$-119.4M</t>
        </is>
      </c>
      <c r="Y57" s="3" t="n">
        <v>-0.209</v>
      </c>
      <c r="Z57" s="3" t="n">
        <v>2.723</v>
      </c>
      <c r="AB57" s="3" t="n">
        <v>-0.007</v>
      </c>
    </row>
    <row r="58">
      <c r="A58" s="2" t="n">
        <v>45758</v>
      </c>
      <c r="B58" t="inlineStr">
        <is>
          <t>BPT.ASX</t>
        </is>
      </c>
      <c r="C58" t="n">
        <v>1.245</v>
      </c>
      <c r="D58" t="inlineStr">
        <is>
          <t>Sell</t>
        </is>
      </c>
      <c r="E58" t="inlineStr">
        <is>
          <t>10% from 2wk High</t>
        </is>
      </c>
      <c r="F58" t="inlineStr">
        <is>
          <t>-</t>
        </is>
      </c>
      <c r="G58" t="inlineStr">
        <is>
          <t>The momentum filter has been activated, indicating the market is no longer trending.</t>
        </is>
      </c>
      <c r="H58" t="inlineStr">
        <is>
          <t>Beach Energy Limited Ordinary</t>
        </is>
      </c>
      <c r="I58" t="inlineStr">
        <is>
          <t>Energy</t>
        </is>
      </c>
      <c r="J58" s="27" t="n">
        <v>1.36</v>
      </c>
      <c r="K58" s="6">
        <f>(J58/C58-1)*100</f>
        <v/>
      </c>
      <c r="L58" s="27" t="n">
        <v>1.515</v>
      </c>
      <c r="M58" s="27" t="n">
        <v>1.04</v>
      </c>
      <c r="N58" t="inlineStr">
        <is>
          <t>$3.1B</t>
        </is>
      </c>
      <c r="O58" s="3" t="n">
        <v>1</v>
      </c>
      <c r="P58" t="inlineStr">
        <is>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is>
      </c>
      <c r="Q58" t="inlineStr">
        <is>
          <t>34.5x</t>
        </is>
      </c>
      <c r="R58" s="3" t="n">
        <v>0.037</v>
      </c>
      <c r="S58" t="inlineStr">
        <is>
          <t>1.7x</t>
        </is>
      </c>
      <c r="U58" t="inlineStr">
        <is>
          <t>$425.9M</t>
        </is>
      </c>
      <c r="V58" s="3" t="n">
        <v>0.194</v>
      </c>
      <c r="W58" s="3" t="n">
        <v>0.008</v>
      </c>
      <c r="X58" t="inlineStr">
        <is>
          <t>$-410.1M</t>
        </is>
      </c>
      <c r="Y58" s="3" t="n">
        <v>0.049</v>
      </c>
      <c r="Z58" s="3" t="n">
        <v>0.048</v>
      </c>
      <c r="AB58" s="3" t="n">
        <v>0.026</v>
      </c>
    </row>
    <row r="59">
      <c r="A59" s="2" t="n">
        <v>45758</v>
      </c>
      <c r="B59" t="inlineStr">
        <is>
          <t>SGH.ASX</t>
        </is>
      </c>
      <c r="C59" t="n">
        <v>45.15</v>
      </c>
      <c r="D59" t="inlineStr">
        <is>
          <t>Sell</t>
        </is>
      </c>
      <c r="E59" t="inlineStr">
        <is>
          <t>10% from 2wk High</t>
        </is>
      </c>
      <c r="F59" t="inlineStr">
        <is>
          <t>-</t>
        </is>
      </c>
      <c r="G59" t="inlineStr">
        <is>
          <t>The momentum filter has been activated, indicating the market is no longer trending.</t>
        </is>
      </c>
      <c r="H59" t="inlineStr">
        <is>
          <t>SGH Limited Ordinary</t>
        </is>
      </c>
      <c r="I59" t="inlineStr">
        <is>
          <t>Industrials</t>
        </is>
      </c>
      <c r="J59" s="27" t="n">
        <v>50.67</v>
      </c>
      <c r="K59" s="6">
        <f>(J59/C59-1)*100</f>
        <v/>
      </c>
      <c r="L59" s="27" t="n">
        <v>55.65</v>
      </c>
      <c r="M59" s="27" t="n">
        <v>34.71</v>
      </c>
      <c r="N59" t="inlineStr">
        <is>
          <t>$20.6B</t>
        </is>
      </c>
      <c r="O59" s="3" t="n">
        <v>1</v>
      </c>
      <c r="P59" t="inlineStr">
        <is>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is>
      </c>
      <c r="Q59" t="inlineStr">
        <is>
          <t>22.9x</t>
        </is>
      </c>
      <c r="R59" s="3" t="n">
        <v>0.012</v>
      </c>
      <c r="S59" t="inlineStr">
        <is>
          <t>1.9x</t>
        </is>
      </c>
      <c r="U59" t="inlineStr">
        <is>
          <t>$5572.5M</t>
        </is>
      </c>
      <c r="V59" s="3" t="n">
        <v>1.224</v>
      </c>
      <c r="W59" s="3" t="n">
        <v>0.02</v>
      </c>
      <c r="X59" t="inlineStr">
        <is>
          <t>$-34.4M</t>
        </is>
      </c>
      <c r="Y59" s="3" t="n">
        <v>0.076</v>
      </c>
      <c r="Z59" s="3" t="n">
        <v>0.299</v>
      </c>
      <c r="AA59" s="3" t="n">
        <v>-0.124</v>
      </c>
      <c r="AB59" s="3" t="n">
        <v>0.182</v>
      </c>
    </row>
    <row r="60">
      <c r="A60" s="2" t="n">
        <v>45737</v>
      </c>
      <c r="B60" t="inlineStr">
        <is>
          <t>CPU.ASX</t>
        </is>
      </c>
      <c r="C60" t="n">
        <v>37.54</v>
      </c>
      <c r="D60" t="inlineStr">
        <is>
          <t>Sell</t>
        </is>
      </c>
      <c r="E60" t="inlineStr">
        <is>
          <t>10% from 2wk High</t>
        </is>
      </c>
      <c r="F60" t="inlineStr">
        <is>
          <t>-</t>
        </is>
      </c>
      <c r="G60" t="inlineStr">
        <is>
          <t>The momentum filter has been activated, indicating the market is no longer trending.</t>
        </is>
      </c>
      <c r="H60" t="inlineStr">
        <is>
          <t>Computershare Limited Ordinary</t>
        </is>
      </c>
      <c r="I60" t="inlineStr">
        <is>
          <t>Industrials</t>
        </is>
      </c>
      <c r="J60" s="27" t="n">
        <v>40.61</v>
      </c>
      <c r="K60" s="6">
        <f>(J60/C60-1)*100</f>
        <v/>
      </c>
      <c r="L60" s="27" t="n">
        <v>43.23</v>
      </c>
      <c r="M60" s="27" t="n">
        <v>24.42</v>
      </c>
      <c r="N60" t="inlineStr">
        <is>
          <t>$23.0B</t>
        </is>
      </c>
      <c r="O60" s="3" t="n">
        <v>0</v>
      </c>
      <c r="P60" t="inlineStr">
        <is>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is>
      </c>
      <c r="Q60" t="inlineStr">
        <is>
          <t>22.6x</t>
        </is>
      </c>
      <c r="R60" s="3" t="n">
        <v>0.021</v>
      </c>
      <c r="S60" t="inlineStr">
        <is>
          <t>5.1x</t>
        </is>
      </c>
      <c r="T60" t="inlineStr">
        <is>
          <t>44.6x</t>
        </is>
      </c>
      <c r="U60" t="inlineStr">
        <is>
          <t>$765.0M</t>
        </is>
      </c>
      <c r="V60" s="3" t="n">
        <v>0.907</v>
      </c>
      <c r="W60" s="3" t="n">
        <v>0.015</v>
      </c>
      <c r="X60" t="inlineStr">
        <is>
          <t>$513.5M</t>
        </is>
      </c>
      <c r="Y60" s="3" t="n">
        <v>0.18</v>
      </c>
      <c r="Z60" s="3" t="n">
        <v>0.092</v>
      </c>
      <c r="AA60" s="3" t="n">
        <v>0.345</v>
      </c>
      <c r="AB60" s="3" t="n">
        <v>0.273</v>
      </c>
    </row>
    <row r="61">
      <c r="A61" s="2" t="n">
        <v>45730</v>
      </c>
      <c r="B61" t="inlineStr">
        <is>
          <t>SUN.ASX</t>
        </is>
      </c>
      <c r="C61" t="n">
        <v>18.73</v>
      </c>
      <c r="D61" t="inlineStr">
        <is>
          <t>Sell</t>
        </is>
      </c>
      <c r="E61" t="inlineStr">
        <is>
          <t>10% from 2wk High</t>
        </is>
      </c>
      <c r="F61" t="inlineStr">
        <is>
          <t>-</t>
        </is>
      </c>
      <c r="G61" t="inlineStr">
        <is>
          <t>The momentum filter has been activated, indicating the market is no longer trending.</t>
        </is>
      </c>
      <c r="H61" t="inlineStr">
        <is>
          <t>Suncorp Group Limited Ordinary</t>
        </is>
      </c>
      <c r="I61" t="inlineStr">
        <is>
          <t>Financials</t>
        </is>
      </c>
      <c r="J61" s="27" t="n">
        <v>20.59</v>
      </c>
      <c r="K61" s="6">
        <f>(J61/C61-1)*100</f>
        <v/>
      </c>
      <c r="L61" s="27" t="n">
        <v>22.14</v>
      </c>
      <c r="M61" s="27" t="n">
        <v>15.01</v>
      </c>
      <c r="N61" t="inlineStr">
        <is>
          <t>$22.5B</t>
        </is>
      </c>
      <c r="O61" s="3" t="n">
        <v>1</v>
      </c>
      <c r="P61" t="inlineStr">
        <is>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is>
      </c>
      <c r="Q61" t="inlineStr">
        <is>
          <t>17.2x</t>
        </is>
      </c>
      <c r="R61" s="3" t="n">
        <v>0.041</v>
      </c>
      <c r="S61" t="inlineStr">
        <is>
          <t>1.7x</t>
        </is>
      </c>
      <c r="T61" t="inlineStr">
        <is>
          <t>12.5x</t>
        </is>
      </c>
      <c r="U61" t="inlineStr">
        <is>
          <t>$1469.0M</t>
        </is>
      </c>
      <c r="V61" s="3" t="n">
        <v>0.174</v>
      </c>
      <c r="X61" t="inlineStr">
        <is>
          <t>$1805.0M</t>
        </is>
      </c>
      <c r="Y61" s="3" t="n">
        <v>0.09</v>
      </c>
      <c r="Z61" s="3" t="n">
        <v>-0.025</v>
      </c>
      <c r="AA61" s="3" t="n">
        <v>-0.035</v>
      </c>
      <c r="AB61" s="3" t="n">
        <v>0.08500000000000001</v>
      </c>
    </row>
    <row r="62">
      <c r="A62" s="2" t="n">
        <v>45723</v>
      </c>
      <c r="B62" t="inlineStr">
        <is>
          <t>PME.ASX</t>
        </is>
      </c>
      <c r="C62" t="n">
        <v>253.25</v>
      </c>
      <c r="D62" t="inlineStr">
        <is>
          <t>Sell</t>
        </is>
      </c>
      <c r="E62" t="inlineStr">
        <is>
          <t>10% from 2wk High</t>
        </is>
      </c>
      <c r="F62" t="inlineStr">
        <is>
          <t>-</t>
        </is>
      </c>
      <c r="G62" t="inlineStr">
        <is>
          <t>The momentum filter has been activated, indicating the market is no longer trending.</t>
        </is>
      </c>
      <c r="H62" t="inlineStr">
        <is>
          <t>Pro Medicus Limited Ordinary</t>
        </is>
      </c>
      <c r="I62" t="inlineStr">
        <is>
          <t>Health Care</t>
        </is>
      </c>
      <c r="J62" s="27" t="n">
        <v>317.69</v>
      </c>
      <c r="K62" s="6">
        <f>(J62/C62-1)*100</f>
        <v/>
      </c>
      <c r="L62" s="27" t="n">
        <v>325</v>
      </c>
      <c r="M62" s="27" t="n">
        <v>120.92</v>
      </c>
      <c r="N62" t="inlineStr">
        <is>
          <t>$32.9B</t>
        </is>
      </c>
      <c r="O62" s="3" t="n">
        <v>1</v>
      </c>
      <c r="P62" t="inlineStr">
        <is>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is>
      </c>
      <c r="Q62" t="inlineStr">
        <is>
          <t>265.8x</t>
        </is>
      </c>
      <c r="R62" s="3" t="n">
        <v>0.001</v>
      </c>
      <c r="S62" t="inlineStr">
        <is>
          <t>197.6x</t>
        </is>
      </c>
      <c r="T62" t="inlineStr">
        <is>
          <t>848.7x</t>
        </is>
      </c>
      <c r="U62" t="inlineStr">
        <is>
          <t>$-180.5M</t>
        </is>
      </c>
      <c r="V62" s="3" t="n">
        <v>0.008</v>
      </c>
      <c r="W62" s="3" t="n">
        <v>0.07000000000000001</v>
      </c>
      <c r="X62" t="inlineStr">
        <is>
          <t>$38.7M</t>
        </is>
      </c>
      <c r="Y62" s="3" t="n">
        <v>0.515</v>
      </c>
      <c r="Z62" s="3" t="n">
        <v>0.347</v>
      </c>
      <c r="AA62" s="3" t="n">
        <v>0.389</v>
      </c>
      <c r="AB62" s="3" t="n">
        <v>0.515</v>
      </c>
    </row>
    <row r="63">
      <c r="A63" s="2" t="n">
        <v>45723</v>
      </c>
      <c r="B63" t="inlineStr">
        <is>
          <t>PNI.ASX</t>
        </is>
      </c>
      <c r="C63" t="n">
        <v>22.85</v>
      </c>
      <c r="D63" t="inlineStr">
        <is>
          <t>Sell</t>
        </is>
      </c>
      <c r="E63" t="inlineStr">
        <is>
          <t>10% from 2wk High</t>
        </is>
      </c>
      <c r="F63" t="inlineStr">
        <is>
          <t>-</t>
        </is>
      </c>
      <c r="G63" t="inlineStr">
        <is>
          <t>The momentum filter has been activated, indicating the market is no longer trending.</t>
        </is>
      </c>
      <c r="H63" t="inlineStr">
        <is>
          <t>Pinnacle Investment Management Group Limited Ordinary</t>
        </is>
      </c>
      <c r="I63" t="inlineStr">
        <is>
          <t>Financials</t>
        </is>
      </c>
      <c r="J63" s="27" t="n">
        <v>20.98</v>
      </c>
      <c r="K63" s="6">
        <f>(J63/C63-1)*100</f>
        <v/>
      </c>
      <c r="L63" s="27" t="n">
        <v>26.68</v>
      </c>
      <c r="M63" s="27" t="n">
        <v>13.59</v>
      </c>
      <c r="N63" t="inlineStr">
        <is>
          <t>$4.7B</t>
        </is>
      </c>
      <c r="O63" s="3" t="n">
        <v>0.72</v>
      </c>
      <c r="P63" t="inlineStr">
        <is>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is>
      </c>
      <c r="Q63" t="inlineStr">
        <is>
          <t>34.0x</t>
        </is>
      </c>
      <c r="R63" s="3" t="n">
        <v>0.028</v>
      </c>
      <c r="S63" t="inlineStr">
        <is>
          <t>95.4x</t>
        </is>
      </c>
      <c r="T63" t="inlineStr">
        <is>
          <t>185.0x</t>
        </is>
      </c>
      <c r="U63" t="inlineStr">
        <is>
          <t>$-322.1M</t>
        </is>
      </c>
      <c r="V63" s="3" t="n">
        <v>0.12</v>
      </c>
      <c r="W63" s="3" t="n">
        <v>0.042</v>
      </c>
      <c r="X63" t="inlineStr">
        <is>
          <t>$25.3M</t>
        </is>
      </c>
      <c r="Y63" s="3" t="n">
        <v>2.565</v>
      </c>
      <c r="Z63" s="3" t="n">
        <v>0.146</v>
      </c>
      <c r="AA63" s="3" t="n">
        <v>0.076</v>
      </c>
      <c r="AB63" s="3" t="n">
        <v>0.202</v>
      </c>
    </row>
    <row r="64">
      <c r="A64" s="2" t="n">
        <v>45716</v>
      </c>
      <c r="B64" t="inlineStr">
        <is>
          <t>HLS.ASX</t>
        </is>
      </c>
      <c r="C64" t="n">
        <v>1.305</v>
      </c>
      <c r="D64" t="inlineStr">
        <is>
          <t>Sell</t>
        </is>
      </c>
      <c r="E64" t="inlineStr">
        <is>
          <t>10% from 2wk High</t>
        </is>
      </c>
      <c r="F64" t="inlineStr">
        <is>
          <t>-</t>
        </is>
      </c>
      <c r="G64" t="inlineStr">
        <is>
          <t>The momentum filter has been activated, indicating the market is no longer trending.</t>
        </is>
      </c>
      <c r="H64" t="inlineStr">
        <is>
          <t>Healius Limited Ordinary</t>
        </is>
      </c>
      <c r="I64" t="inlineStr">
        <is>
          <t>Health Care</t>
        </is>
      </c>
      <c r="J64" s="27" t="n">
        <v>0.75</v>
      </c>
      <c r="K64" s="6">
        <f>(J64/C64-1)*100</f>
        <v/>
      </c>
      <c r="L64" s="27" t="n">
        <v>1.36</v>
      </c>
      <c r="M64" s="27" t="n">
        <v>0.695</v>
      </c>
      <c r="N64" t="inlineStr">
        <is>
          <t>$0.5B</t>
        </is>
      </c>
      <c r="O64" s="3" t="n">
        <v>1</v>
      </c>
      <c r="P64" t="inlineStr">
        <is>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is>
      </c>
      <c r="R64" s="3" t="n">
        <v>0</v>
      </c>
      <c r="S64" t="inlineStr">
        <is>
          <t>0.3x</t>
        </is>
      </c>
      <c r="T64" t="inlineStr">
        <is>
          <t>2.6x</t>
        </is>
      </c>
      <c r="U64" t="inlineStr">
        <is>
          <t>$1283.4M</t>
        </is>
      </c>
      <c r="V64" s="3" t="n">
        <v>1.362</v>
      </c>
      <c r="W64" s="3" t="n">
        <v>0.013</v>
      </c>
      <c r="X64" t="inlineStr">
        <is>
          <t>$202.8M</t>
        </is>
      </c>
      <c r="Y64" s="3" t="n">
        <v>-0.03</v>
      </c>
      <c r="Z64" s="3" t="n">
        <v>-0.028</v>
      </c>
      <c r="AB64" s="3" t="n">
        <v>-0.044</v>
      </c>
    </row>
    <row r="65">
      <c r="A65" s="2" t="n">
        <v>45716</v>
      </c>
      <c r="B65" t="inlineStr">
        <is>
          <t>AGL.ASX</t>
        </is>
      </c>
      <c r="C65" t="n">
        <v>10.56</v>
      </c>
      <c r="D65" t="inlineStr">
        <is>
          <t>Sell</t>
        </is>
      </c>
      <c r="E65" t="inlineStr">
        <is>
          <t>10% from 2wk High</t>
        </is>
      </c>
      <c r="F65" t="inlineStr">
        <is>
          <t>-</t>
        </is>
      </c>
      <c r="G65" t="inlineStr">
        <is>
          <t>The momentum filter has been activated, indicating the market is no longer trending.</t>
        </is>
      </c>
      <c r="H65" t="inlineStr">
        <is>
          <t>AGL Energy Limited Ordinary</t>
        </is>
      </c>
      <c r="I65" t="inlineStr">
        <is>
          <t>Utilities</t>
        </is>
      </c>
      <c r="J65" s="27" t="n">
        <v>9.81</v>
      </c>
      <c r="K65" s="6">
        <f>(J65/C65-1)*100</f>
        <v/>
      </c>
      <c r="L65" s="27" t="n">
        <v>11.94</v>
      </c>
      <c r="M65" s="27" t="n">
        <v>9.539999999999999</v>
      </c>
      <c r="N65" t="inlineStr">
        <is>
          <t>$6.6B</t>
        </is>
      </c>
      <c r="O65" s="3" t="n">
        <v>1</v>
      </c>
      <c r="P65" t="inlineStr">
        <is>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is>
      </c>
      <c r="Q65" t="inlineStr">
        <is>
          <t>32.7x</t>
        </is>
      </c>
      <c r="R65" s="3" t="n">
        <v>0.059</v>
      </c>
      <c r="S65" t="inlineStr">
        <is>
          <t>0.5x</t>
        </is>
      </c>
      <c r="T65" t="inlineStr">
        <is>
          <t>6.2x</t>
        </is>
      </c>
      <c r="U65" t="inlineStr">
        <is>
          <t>$1602.0M</t>
        </is>
      </c>
      <c r="V65" s="3" t="n">
        <v>0.534</v>
      </c>
      <c r="W65" s="3" t="n">
        <v>0.008999999999999999</v>
      </c>
      <c r="X65" t="inlineStr">
        <is>
          <t>$1072.0M</t>
        </is>
      </c>
      <c r="Y65" s="3" t="n">
        <v>0.016</v>
      </c>
      <c r="Z65" s="3" t="n">
        <v>0.075</v>
      </c>
      <c r="AB65" s="3" t="n">
        <v>0.043</v>
      </c>
    </row>
    <row r="66">
      <c r="A66" s="2" t="n">
        <v>45716</v>
      </c>
      <c r="B66" t="inlineStr">
        <is>
          <t>SUL.ASX</t>
        </is>
      </c>
      <c r="C66" t="n">
        <v>14</v>
      </c>
      <c r="D66" t="inlineStr">
        <is>
          <t>Sell</t>
        </is>
      </c>
      <c r="E66" t="inlineStr">
        <is>
          <t>10% from 2wk High</t>
        </is>
      </c>
      <c r="F66" t="inlineStr">
        <is>
          <t>-</t>
        </is>
      </c>
      <c r="G66" t="inlineStr">
        <is>
          <t>The momentum filter has been activated, indicating the market is no longer trending.</t>
        </is>
      </c>
      <c r="H66" t="inlineStr">
        <is>
          <t>Super Retail Group Limited Ordinary</t>
        </is>
      </c>
      <c r="I66" t="inlineStr">
        <is>
          <t>Consumer Discretionary</t>
        </is>
      </c>
      <c r="J66" s="27" t="n">
        <v>15.27</v>
      </c>
      <c r="K66" s="6">
        <f>(J66/C66-1)*100</f>
        <v/>
      </c>
      <c r="L66" s="27" t="n">
        <v>17.97</v>
      </c>
      <c r="M66" s="27" t="n">
        <v>12.06</v>
      </c>
      <c r="N66" t="inlineStr">
        <is>
          <t>$3.4B</t>
        </is>
      </c>
      <c r="O66" s="3" t="n">
        <v>1</v>
      </c>
      <c r="P66" t="inlineStr">
        <is>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is>
      </c>
      <c r="Q66" t="inlineStr">
        <is>
          <t>15.6x</t>
        </is>
      </c>
      <c r="R66" s="3" t="n">
        <v>0.045</v>
      </c>
      <c r="S66" t="inlineStr">
        <is>
          <t>0.9x</t>
        </is>
      </c>
      <c r="T66" t="inlineStr">
        <is>
          <t>12.5x</t>
        </is>
      </c>
      <c r="U66" t="inlineStr">
        <is>
          <t>$950.3M</t>
        </is>
      </c>
      <c r="V66" s="3" t="n">
        <v>0.856</v>
      </c>
      <c r="W66" s="3" t="n">
        <v>0.011</v>
      </c>
      <c r="X66" t="inlineStr">
        <is>
          <t>$272.3M</t>
        </is>
      </c>
      <c r="Y66" s="3" t="n">
        <v>0.057</v>
      </c>
      <c r="Z66" s="3" t="n">
        <v>0.04</v>
      </c>
      <c r="AA66" s="3" t="n">
        <v>-0.07199999999999999</v>
      </c>
      <c r="AB66" s="3" t="n">
        <v>0.171</v>
      </c>
    </row>
    <row r="67">
      <c r="A67" s="2" t="n">
        <v>45709</v>
      </c>
      <c r="B67" t="inlineStr">
        <is>
          <t>AUB.ASX</t>
        </is>
      </c>
      <c r="C67" t="n">
        <v>28.34</v>
      </c>
      <c r="D67" t="inlineStr">
        <is>
          <t>Sell</t>
        </is>
      </c>
      <c r="E67" t="inlineStr">
        <is>
          <t>30wk Low</t>
        </is>
      </c>
      <c r="F67" t="inlineStr">
        <is>
          <t>-</t>
        </is>
      </c>
      <c r="G67" t="inlineStr">
        <is>
          <t>The momentum filter has been activated, indicating the market is no longer trending.</t>
        </is>
      </c>
      <c r="H67" t="inlineStr">
        <is>
          <t>AUB Group Limited Ordinary</t>
        </is>
      </c>
      <c r="I67" t="inlineStr">
        <is>
          <t>Financials</t>
        </is>
      </c>
      <c r="J67" s="27" t="n">
        <v>33.99</v>
      </c>
      <c r="K67" s="6">
        <f>(J67/C67-1)*100</f>
        <v/>
      </c>
      <c r="L67" s="27" t="n">
        <v>36.12</v>
      </c>
      <c r="M67" s="27" t="n">
        <v>27.21</v>
      </c>
      <c r="N67" t="inlineStr">
        <is>
          <t>$3.9B</t>
        </is>
      </c>
      <c r="O67" s="3" t="n">
        <v>1</v>
      </c>
      <c r="P67" t="inlineStr">
        <is>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is>
      </c>
      <c r="Q67" t="inlineStr">
        <is>
          <t>31.5x</t>
        </is>
      </c>
      <c r="R67" s="3" t="n">
        <v>0.025</v>
      </c>
      <c r="S67" t="inlineStr">
        <is>
          <t>3.8x</t>
        </is>
      </c>
      <c r="T67" t="inlineStr">
        <is>
          <t>1324.1x</t>
        </is>
      </c>
      <c r="U67" t="inlineStr">
        <is>
          <t>$-398.9M</t>
        </is>
      </c>
      <c r="V67" s="3" t="n">
        <v>0.5600000000000001</v>
      </c>
      <c r="W67" s="3" t="n">
        <v>0.01</v>
      </c>
      <c r="X67" t="inlineStr">
        <is>
          <t>$2.9M</t>
        </is>
      </c>
      <c r="Y67" s="3" t="n">
        <v>0.134</v>
      </c>
      <c r="Z67" s="3" t="n">
        <v>0.478</v>
      </c>
      <c r="AA67" s="3" t="n">
        <v>0.104</v>
      </c>
      <c r="AB67" s="3" t="n">
        <v>0.079</v>
      </c>
    </row>
    <row r="69">
      <c r="C69" s="27" t="n"/>
    </row>
    <row r="70">
      <c r="C70" s="27" t="n"/>
    </row>
    <row r="71">
      <c r="C71" s="27" t="n"/>
    </row>
    <row r="72">
      <c r="C72" s="27" t="n"/>
    </row>
    <row r="73">
      <c r="C73" s="27" t="n"/>
      <c r="E73" s="27" t="n"/>
      <c r="F73" s="27" t="n"/>
      <c r="H73" s="3" t="n"/>
      <c r="K73" s="3" t="n"/>
      <c r="O73" s="3" t="n"/>
      <c r="P73" s="3" t="n"/>
      <c r="R73" s="3" t="n"/>
      <c r="S73" s="3" t="n"/>
      <c r="T73" s="3" t="n"/>
      <c r="U73" s="3" t="n"/>
    </row>
    <row r="74">
      <c r="C74" s="27" t="n"/>
      <c r="E74" s="27" t="n"/>
      <c r="F74" s="27" t="n"/>
      <c r="H74" s="3" t="n"/>
      <c r="K74" s="3" t="n"/>
      <c r="O74" s="3" t="n"/>
      <c r="P74" s="3" t="n"/>
      <c r="R74" s="3" t="n"/>
      <c r="S74" s="3" t="n"/>
      <c r="T74" s="3" t="n"/>
      <c r="U74" s="3" t="n"/>
    </row>
    <row r="75">
      <c r="C75" s="27" t="n"/>
      <c r="E75" s="27" t="n"/>
      <c r="F75" s="27" t="n"/>
      <c r="H75" s="3" t="n"/>
      <c r="K75" s="3" t="n"/>
      <c r="O75" s="3" t="n"/>
      <c r="R75" s="3" t="n"/>
      <c r="S75" s="3" t="n"/>
      <c r="T75" s="3" t="n"/>
      <c r="U75" s="3" t="n"/>
    </row>
    <row r="76">
      <c r="C76" s="27" t="n"/>
      <c r="E76" s="27" t="n"/>
      <c r="F76" s="27" t="n"/>
      <c r="H76" s="3" t="n"/>
      <c r="K76" s="3" t="n"/>
      <c r="O76" s="3" t="n"/>
      <c r="P76" s="3" t="n"/>
      <c r="R76" s="3" t="n"/>
      <c r="S76" s="3" t="n"/>
      <c r="T76" s="3" t="n"/>
      <c r="U76" s="3" t="n"/>
    </row>
    <row r="77">
      <c r="C77" s="27" t="n"/>
      <c r="E77" s="27" t="n"/>
      <c r="F77" s="27" t="n"/>
      <c r="H77" s="3" t="n"/>
      <c r="K77" s="3" t="n"/>
      <c r="O77" s="3" t="n"/>
      <c r="P77" s="3" t="n"/>
      <c r="R77" s="3" t="n"/>
      <c r="S77" s="3" t="n"/>
      <c r="T77" s="3" t="n"/>
      <c r="U77" s="3" t="n"/>
    </row>
  </sheetData>
  <pageMargins left="0.75" right="0.75" top="1" bottom="1" header="0.5" footer="0.5"/>
  <pageSetup orientation="portrait" paperSize="9"/>
</worksheet>
</file>

<file path=xl/worksheets/sheet4.xml><?xml version="1.0" encoding="utf-8"?>
<worksheet xmlns="http://schemas.openxmlformats.org/spreadsheetml/2006/main">
  <sheetPr>
    <outlinePr summaryBelow="1" summaryRight="1"/>
    <pageSetUpPr/>
  </sheetPr>
  <dimension ref="A1:L18"/>
  <sheetViews>
    <sheetView workbookViewId="0">
      <selection activeCell="F13" sqref="F13"/>
    </sheetView>
  </sheetViews>
  <sheetFormatPr baseColWidth="8" defaultRowHeight="15"/>
  <cols>
    <col width="24.42578125" bestFit="1" customWidth="1" style="26" min="1" max="1"/>
    <col width="18.7109375" bestFit="1" customWidth="1" style="26" min="2" max="2"/>
    <col width="21.5703125" bestFit="1" customWidth="1" style="26" min="9" max="9"/>
    <col width="20.42578125" bestFit="1" customWidth="1" style="26" min="10" max="11"/>
    <col width="24.42578125" bestFit="1" customWidth="1" style="26" min="12" max="12"/>
  </cols>
  <sheetData>
    <row r="1">
      <c r="A1" s="1" t="inlineStr">
        <is>
          <t>Annual Return %</t>
        </is>
      </c>
      <c r="B1" s="1" t="inlineStr">
        <is>
          <t>Cumulative Return %</t>
        </is>
      </c>
      <c r="C1" s="1" t="inlineStr">
        <is>
          <t>All trades</t>
        </is>
      </c>
      <c r="D1" s="1" t="inlineStr">
        <is>
          <t>Winners</t>
        </is>
      </c>
      <c r="E1" s="1" t="inlineStr">
        <is>
          <t>Avg. Profit %</t>
        </is>
      </c>
      <c r="F1" s="1" t="inlineStr">
        <is>
          <t>Losers</t>
        </is>
      </c>
      <c r="G1" s="1" t="inlineStr">
        <is>
          <t>Avg. Loss %</t>
        </is>
      </c>
      <c r="H1" s="1" t="inlineStr">
        <is>
          <t>Max. system % drawdown</t>
        </is>
      </c>
      <c r="I1" s="1" t="inlineStr">
        <is>
          <t>Last 12 month return %</t>
        </is>
      </c>
      <c r="J1" s="1" t="inlineStr">
        <is>
          <t>Last 6 month return %</t>
        </is>
      </c>
      <c r="K1" s="1" t="inlineStr">
        <is>
          <t>Last 3 month return %</t>
        </is>
      </c>
      <c r="L1" s="1" t="inlineStr">
        <is>
          <t>Portfolio dividend yield %</t>
        </is>
      </c>
    </row>
    <row r="2">
      <c r="A2" t="n">
        <v>13.76325952727222</v>
      </c>
      <c r="B2" t="n">
        <v>2818.133</v>
      </c>
      <c r="C2">
        <f>COUNTA(Trades!$A3:A1048576)</f>
        <v/>
      </c>
      <c r="D2">
        <f>COUNTIF(Trades!$J3:J912,"&gt;0")</f>
        <v/>
      </c>
      <c r="E2" s="27">
        <f>AVERAGEIF(Trades!$J3:J912,"&gt;0")*100</f>
        <v/>
      </c>
      <c r="F2">
        <f>C2-D2</f>
        <v/>
      </c>
      <c r="G2" s="27">
        <f>AVERAGEIF(Trades!$J3:J912,"&lt;0")*100</f>
        <v/>
      </c>
      <c r="H2" t="n">
        <v>-20.95</v>
      </c>
      <c r="I2" t="n">
        <v>-6.504027154204806</v>
      </c>
      <c r="J2" t="n">
        <v>-12.49690544627062</v>
      </c>
      <c r="K2" t="n">
        <v>-6.260859576365929</v>
      </c>
      <c r="L2" t="n">
        <v>3.5355651</v>
      </c>
    </row>
    <row r="4">
      <c r="J4" s="3" t="n"/>
    </row>
    <row r="5">
      <c r="J5" s="3" t="n"/>
    </row>
    <row r="6">
      <c r="J6" s="3" t="n"/>
    </row>
    <row r="18">
      <c r="I18" s="6" t="n"/>
      <c r="J18" s="6" t="n"/>
      <c r="K18" s="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10"/>
  <sheetViews>
    <sheetView topLeftCell="A1376" workbookViewId="0">
      <selection activeCell="C1409" sqref="C1409"/>
    </sheetView>
  </sheetViews>
  <sheetFormatPr baseColWidth="8" defaultRowHeight="15"/>
  <cols>
    <col width="18.28515625" bestFit="1" customWidth="1" style="26" min="1" max="1"/>
    <col width="14.140625" customWidth="1" style="26" min="2" max="2"/>
    <col width="15.5703125" customWidth="1" style="26" min="3" max="3"/>
    <col width="12.7109375" bestFit="1" customWidth="1" style="26" min="4" max="4"/>
    <col width="13.28515625" bestFit="1" customWidth="1" style="26" min="5" max="5"/>
    <col width="9.7109375" bestFit="1" customWidth="1" style="26" min="8" max="8"/>
    <col width="10.7109375" bestFit="1" customWidth="1" style="26" min="9" max="9"/>
    <col width="15" bestFit="1" customWidth="1" style="26" min="10" max="10"/>
    <col width="11" bestFit="1" customWidth="1" style="26" min="11" max="11"/>
    <col width="10.7109375" bestFit="1" customWidth="1" style="26" min="12" max="12"/>
  </cols>
  <sheetData>
    <row r="1">
      <c r="A1" s="1" t="inlineStr">
        <is>
          <t>Date:</t>
        </is>
      </c>
      <c r="B1" s="1" t="inlineStr">
        <is>
          <t>Portfolio Equity:</t>
        </is>
      </c>
      <c r="C1" s="1" t="inlineStr">
        <is>
          <t>Cash</t>
        </is>
      </c>
      <c r="D1" s="1" t="inlineStr">
        <is>
          <t>Drawdown:</t>
        </is>
      </c>
      <c r="E1" s="1" t="inlineStr">
        <is>
          <t>Drawdown %:</t>
        </is>
      </c>
    </row>
    <row r="2">
      <c r="A2" s="2" t="n">
        <v>36532</v>
      </c>
      <c r="B2" t="n">
        <v>99926.19</v>
      </c>
      <c r="C2" t="n">
        <v>93746.53</v>
      </c>
      <c r="D2" t="n">
        <v>0</v>
      </c>
      <c r="E2" t="n">
        <v>0</v>
      </c>
      <c r="H2" s="2" t="n"/>
      <c r="I2" s="2" t="n"/>
    </row>
    <row r="3">
      <c r="A3" s="2" t="n">
        <v>36539</v>
      </c>
      <c r="B3" t="n">
        <v>99661.69</v>
      </c>
      <c r="C3" t="n">
        <v>93746.53</v>
      </c>
      <c r="D3" t="n">
        <v>-264.5</v>
      </c>
      <c r="E3">
        <f>D3/MAX($B$2:B3,100000)</f>
        <v/>
      </c>
      <c r="H3" s="2" t="n"/>
      <c r="I3" s="2" t="n"/>
    </row>
    <row r="4">
      <c r="A4" s="2" t="n">
        <v>36546</v>
      </c>
      <c r="B4" t="n">
        <v>99022.27</v>
      </c>
      <c r="C4" t="n">
        <v>87514.75</v>
      </c>
      <c r="D4" t="n">
        <v>-903.91</v>
      </c>
      <c r="E4">
        <f>D4/MAX($B$2:B4,100000)</f>
        <v/>
      </c>
      <c r="H4" s="2" t="n"/>
      <c r="I4" s="2" t="n"/>
    </row>
    <row r="5">
      <c r="A5" s="2" t="n">
        <v>36553</v>
      </c>
      <c r="B5" t="n">
        <v>98253.25</v>
      </c>
      <c r="C5" t="n">
        <v>68938.5</v>
      </c>
      <c r="D5" t="n">
        <v>-1672.94</v>
      </c>
      <c r="E5">
        <f>D5/MAX($B$2:B5,100000)</f>
        <v/>
      </c>
      <c r="H5" s="2" t="n"/>
      <c r="I5" s="2" t="n"/>
    </row>
    <row r="6">
      <c r="A6" s="2" t="n">
        <v>36560</v>
      </c>
      <c r="B6" t="n">
        <v>98400.59</v>
      </c>
      <c r="C6" t="n">
        <v>68938.5</v>
      </c>
      <c r="D6" t="n">
        <v>-1525.59</v>
      </c>
      <c r="E6">
        <f>D6/MAX($B$2:B6,100000)</f>
        <v/>
      </c>
      <c r="H6" s="2" t="n"/>
      <c r="I6" s="2" t="n"/>
    </row>
    <row r="7">
      <c r="A7" s="2" t="n">
        <v>36567</v>
      </c>
      <c r="B7" t="n">
        <v>98328.7</v>
      </c>
      <c r="C7" t="n">
        <v>50373.21</v>
      </c>
      <c r="D7" t="n">
        <v>-1597.48</v>
      </c>
      <c r="E7">
        <f>D7/MAX($B$2:B7,100000)</f>
        <v/>
      </c>
      <c r="H7" s="2" t="n"/>
      <c r="I7" s="2" t="n"/>
    </row>
    <row r="8">
      <c r="A8" s="2" t="n">
        <v>36574</v>
      </c>
      <c r="B8" t="n">
        <v>98908.92999999999</v>
      </c>
      <c r="C8" t="n">
        <v>44223.23</v>
      </c>
      <c r="D8" t="n">
        <v>-1017.26</v>
      </c>
      <c r="E8">
        <f>D8/MAX($B$2:B8,100000)</f>
        <v/>
      </c>
      <c r="H8" s="2" t="n"/>
      <c r="I8" s="2" t="n"/>
    </row>
    <row r="9">
      <c r="A9" s="2" t="n">
        <v>36581</v>
      </c>
      <c r="B9" t="n">
        <v>98123.88</v>
      </c>
      <c r="C9" t="n">
        <v>29993.22</v>
      </c>
      <c r="D9" t="n">
        <v>-1802.3</v>
      </c>
      <c r="E9">
        <f>D9/MAX($B$2:B9,100000)</f>
        <v/>
      </c>
      <c r="H9" s="2" t="n"/>
      <c r="I9" s="2" t="n"/>
    </row>
    <row r="10">
      <c r="A10" s="2" t="n">
        <v>36588</v>
      </c>
      <c r="B10" t="n">
        <v>98125.48</v>
      </c>
      <c r="C10" t="n">
        <v>5542.42</v>
      </c>
      <c r="D10" t="n">
        <v>-1800.7</v>
      </c>
      <c r="E10">
        <f>D10/MAX($B$2:B10,100000)</f>
        <v/>
      </c>
      <c r="H10" s="2" t="n"/>
      <c r="I10" s="2" t="n"/>
    </row>
    <row r="11">
      <c r="A11" s="2" t="n">
        <v>36595</v>
      </c>
      <c r="B11" t="n">
        <v>103031.3</v>
      </c>
      <c r="C11" t="n">
        <v>5542.42</v>
      </c>
      <c r="D11" t="n">
        <v>0</v>
      </c>
      <c r="E11">
        <f>D11/MAX($B$2:B11,100000)</f>
        <v/>
      </c>
      <c r="H11" s="2" t="n"/>
      <c r="I11" s="2" t="n"/>
    </row>
    <row r="12">
      <c r="A12" s="2" t="n">
        <v>36602</v>
      </c>
      <c r="B12" t="n">
        <v>104268.36</v>
      </c>
      <c r="C12" t="n">
        <v>5542.42</v>
      </c>
      <c r="D12" t="n">
        <v>0</v>
      </c>
      <c r="E12">
        <f>D12/MAX($B$2:B12,100000)</f>
        <v/>
      </c>
      <c r="H12" s="2" t="n"/>
      <c r="I12" s="2" t="n"/>
    </row>
    <row r="13">
      <c r="A13" s="2" t="n">
        <v>36609</v>
      </c>
      <c r="B13" t="n">
        <v>106300.66</v>
      </c>
      <c r="C13" t="n">
        <v>5542.42</v>
      </c>
      <c r="D13" t="n">
        <v>0</v>
      </c>
      <c r="E13">
        <f>D13/MAX($B$2:B13,100000)</f>
        <v/>
      </c>
      <c r="H13" s="2" t="n"/>
      <c r="I13" s="2" t="n"/>
    </row>
    <row r="14">
      <c r="A14" s="2" t="n">
        <v>36616</v>
      </c>
      <c r="B14" t="n">
        <v>107644.55</v>
      </c>
      <c r="C14" t="n">
        <v>5542.42</v>
      </c>
      <c r="D14" t="n">
        <v>0</v>
      </c>
      <c r="E14">
        <f>D14/MAX($B$2:B14,100000)</f>
        <v/>
      </c>
      <c r="H14" s="2" t="n"/>
      <c r="I14" s="2" t="n"/>
    </row>
    <row r="15">
      <c r="A15" s="2" t="n">
        <v>36623</v>
      </c>
      <c r="B15" t="n">
        <v>107056.47</v>
      </c>
      <c r="C15" t="n">
        <v>5542.42</v>
      </c>
      <c r="D15" t="n">
        <v>-588.09</v>
      </c>
      <c r="E15">
        <f>D15/MAX($B$2:B15,100000)</f>
        <v/>
      </c>
      <c r="H15" s="2" t="n"/>
      <c r="I15" s="2" t="n"/>
    </row>
    <row r="16">
      <c r="A16" s="2" t="n">
        <v>36630</v>
      </c>
      <c r="B16" t="n">
        <v>105475.04</v>
      </c>
      <c r="C16" t="n">
        <v>2448.66</v>
      </c>
      <c r="D16" t="n">
        <v>-2169.52</v>
      </c>
      <c r="E16">
        <f>D16/MAX($B$2:B16,100000)</f>
        <v/>
      </c>
      <c r="H16" s="2" t="n"/>
      <c r="I16" s="2" t="n"/>
    </row>
    <row r="17">
      <c r="A17" s="2" t="n">
        <v>36636</v>
      </c>
      <c r="B17" t="n">
        <v>103697.25</v>
      </c>
      <c r="C17" t="n">
        <v>2448.66</v>
      </c>
      <c r="D17" t="n">
        <v>-3947.3</v>
      </c>
      <c r="E17">
        <f>D17/MAX($B$2:B17,100000)</f>
        <v/>
      </c>
      <c r="H17" s="2" t="n"/>
      <c r="I17" s="2" t="n"/>
    </row>
    <row r="18">
      <c r="A18" s="2" t="n">
        <v>36644</v>
      </c>
      <c r="B18" t="n">
        <v>104082.25</v>
      </c>
      <c r="C18" t="n">
        <v>18214.94</v>
      </c>
      <c r="D18" t="n">
        <v>-3562.3</v>
      </c>
      <c r="E18">
        <f>D18/MAX($B$2:B18,100000)</f>
        <v/>
      </c>
      <c r="H18" s="2" t="n"/>
      <c r="I18" s="2" t="n"/>
    </row>
    <row r="19">
      <c r="A19" s="2" t="n">
        <v>36651</v>
      </c>
      <c r="B19" t="n">
        <v>105213.95</v>
      </c>
      <c r="C19" t="n">
        <v>26625.88</v>
      </c>
      <c r="D19" t="n">
        <v>-2430.6</v>
      </c>
      <c r="E19">
        <f>D19/MAX($B$2:B19,100000)</f>
        <v/>
      </c>
      <c r="H19" s="2" t="n"/>
      <c r="I19" s="2" t="n"/>
    </row>
    <row r="20">
      <c r="A20" s="2" t="n">
        <v>36658</v>
      </c>
      <c r="B20" t="n">
        <v>105256.27</v>
      </c>
      <c r="C20" t="n">
        <v>26625.88</v>
      </c>
      <c r="D20" t="n">
        <v>-2388.28</v>
      </c>
      <c r="E20">
        <f>D20/MAX($B$2:B20,100000)</f>
        <v/>
      </c>
      <c r="H20" s="2" t="n"/>
      <c r="I20" s="2" t="n"/>
    </row>
    <row r="21">
      <c r="A21" s="2" t="n">
        <v>36665</v>
      </c>
      <c r="B21" t="n">
        <v>105595.88</v>
      </c>
      <c r="C21" t="n">
        <v>26625.88</v>
      </c>
      <c r="D21" t="n">
        <v>-2048.67</v>
      </c>
      <c r="E21">
        <f>D21/MAX($B$2:B21,100000)</f>
        <v/>
      </c>
      <c r="H21" s="2" t="n"/>
      <c r="I21" s="2" t="n"/>
    </row>
    <row r="22">
      <c r="A22" s="2" t="n">
        <v>36672</v>
      </c>
      <c r="B22" t="n">
        <v>104487.68</v>
      </c>
      <c r="C22" t="n">
        <v>26625.88</v>
      </c>
      <c r="D22" t="n">
        <v>-3156.88</v>
      </c>
      <c r="E22">
        <f>D22/MAX($B$2:B22,100000)</f>
        <v/>
      </c>
      <c r="H22" s="2" t="n"/>
      <c r="I22" s="2" t="n"/>
    </row>
    <row r="23">
      <c r="A23" s="2" t="n">
        <v>36679</v>
      </c>
      <c r="B23" t="n">
        <v>104847.76</v>
      </c>
      <c r="C23" t="n">
        <v>26625.88</v>
      </c>
      <c r="D23" t="n">
        <v>-2796.8</v>
      </c>
      <c r="E23">
        <f>D23/MAX($B$2:B23,100000)</f>
        <v/>
      </c>
      <c r="H23" s="2" t="n"/>
      <c r="I23" s="2" t="n"/>
    </row>
    <row r="24">
      <c r="A24" s="2" t="n">
        <v>36686</v>
      </c>
      <c r="B24" t="n">
        <v>104241.64</v>
      </c>
      <c r="C24" t="n">
        <v>1495.59</v>
      </c>
      <c r="D24" t="n">
        <v>-3402.91</v>
      </c>
      <c r="E24">
        <f>D24/MAX($B$2:B24,100000)</f>
        <v/>
      </c>
      <c r="H24" s="2" t="n"/>
      <c r="I24" s="2" t="n"/>
    </row>
    <row r="25">
      <c r="A25" s="2" t="n">
        <v>36693</v>
      </c>
      <c r="B25" t="n">
        <v>104428.05</v>
      </c>
      <c r="C25" t="n">
        <v>1102.11</v>
      </c>
      <c r="D25" t="n">
        <v>-3216.5</v>
      </c>
      <c r="E25">
        <f>D25/MAX($B$2:B25,100000)</f>
        <v/>
      </c>
      <c r="H25" s="2" t="n"/>
      <c r="I25" s="2" t="n"/>
    </row>
    <row r="26">
      <c r="A26" s="2" t="n">
        <v>36700</v>
      </c>
      <c r="B26" t="n">
        <v>105869.45</v>
      </c>
      <c r="C26" t="n">
        <v>1102.11</v>
      </c>
      <c r="D26" t="n">
        <v>-1775.1</v>
      </c>
      <c r="E26">
        <f>D26/MAX($B$2:B26,100000)</f>
        <v/>
      </c>
      <c r="H26" s="2" t="n"/>
      <c r="I26" s="2" t="n"/>
    </row>
    <row r="27">
      <c r="A27" s="2" t="n">
        <v>36707</v>
      </c>
      <c r="B27" t="n">
        <v>107237.1</v>
      </c>
      <c r="C27" t="n">
        <v>1102.11</v>
      </c>
      <c r="D27" t="n">
        <v>-407.45</v>
      </c>
      <c r="E27">
        <f>D27/MAX($B$2:B27,100000)</f>
        <v/>
      </c>
      <c r="H27" s="2" t="n"/>
      <c r="I27" s="2" t="n"/>
    </row>
    <row r="28">
      <c r="A28" s="2" t="n">
        <v>36714</v>
      </c>
      <c r="B28" t="n">
        <v>107934.6</v>
      </c>
      <c r="C28" t="n">
        <v>1102.11</v>
      </c>
      <c r="D28" t="n">
        <v>0</v>
      </c>
      <c r="E28">
        <f>D28/MAX($B$2:B28,100000)</f>
        <v/>
      </c>
      <c r="H28" s="2" t="n"/>
      <c r="I28" s="2" t="n"/>
    </row>
    <row r="29">
      <c r="A29" s="2" t="n">
        <v>36721</v>
      </c>
      <c r="B29" t="n">
        <v>109231.34</v>
      </c>
      <c r="C29" t="n">
        <v>1102.11</v>
      </c>
      <c r="D29" t="n">
        <v>0</v>
      </c>
      <c r="E29">
        <f>D29/MAX($B$2:B29,100000)</f>
        <v/>
      </c>
      <c r="H29" s="2" t="n"/>
      <c r="I29" s="2" t="n"/>
    </row>
    <row r="30">
      <c r="A30" s="2" t="n">
        <v>36728</v>
      </c>
      <c r="B30" t="n">
        <v>109394.47</v>
      </c>
      <c r="C30" t="n">
        <v>1102.11</v>
      </c>
      <c r="D30" t="n">
        <v>0</v>
      </c>
      <c r="E30">
        <f>D30/MAX($B$2:B30,100000)</f>
        <v/>
      </c>
      <c r="H30" s="2" t="n"/>
      <c r="I30" s="2" t="n"/>
    </row>
    <row r="31">
      <c r="A31" s="2" t="n">
        <v>36735</v>
      </c>
      <c r="B31" t="n">
        <v>108507.67</v>
      </c>
      <c r="C31" t="n">
        <v>1102.11</v>
      </c>
      <c r="D31" t="n">
        <v>-886.8</v>
      </c>
      <c r="E31">
        <f>D31/MAX($B$2:B31,100000)</f>
        <v/>
      </c>
      <c r="H31" s="2" t="n"/>
      <c r="I31" s="2" t="n"/>
    </row>
    <row r="32">
      <c r="A32" s="2" t="n">
        <v>36742</v>
      </c>
      <c r="B32" t="n">
        <v>109287.58</v>
      </c>
      <c r="C32" t="n">
        <v>1102.11</v>
      </c>
      <c r="D32" t="n">
        <v>-106.89</v>
      </c>
      <c r="E32">
        <f>D32/MAX($B$2:B32,100000)</f>
        <v/>
      </c>
      <c r="H32" s="2" t="n"/>
      <c r="I32" s="2" t="n"/>
    </row>
    <row r="33">
      <c r="A33" s="2" t="n">
        <v>36749</v>
      </c>
      <c r="B33" t="n">
        <v>111253.39</v>
      </c>
      <c r="C33" t="n">
        <v>1102.11</v>
      </c>
      <c r="D33" t="n">
        <v>0</v>
      </c>
      <c r="E33">
        <f>D33/MAX($B$2:B33,100000)</f>
        <v/>
      </c>
      <c r="H33" s="2" t="n"/>
      <c r="I33" s="2" t="n"/>
    </row>
    <row r="34">
      <c r="A34" s="2" t="n">
        <v>36756</v>
      </c>
      <c r="B34" t="n">
        <v>111761.05</v>
      </c>
      <c r="C34" t="n">
        <v>1482.49</v>
      </c>
      <c r="D34" t="n">
        <v>0</v>
      </c>
      <c r="E34">
        <f>D34/MAX($B$2:B34,100000)</f>
        <v/>
      </c>
      <c r="H34" s="2" t="n"/>
      <c r="I34" s="2" t="n"/>
    </row>
    <row r="35">
      <c r="A35" s="2" t="n">
        <v>36763</v>
      </c>
      <c r="B35" t="n">
        <v>112728.93</v>
      </c>
      <c r="C35" t="n">
        <v>1482.49</v>
      </c>
      <c r="D35" t="n">
        <v>0</v>
      </c>
      <c r="E35">
        <f>D35/MAX($B$2:B35,100000)</f>
        <v/>
      </c>
      <c r="H35" s="2" t="n"/>
      <c r="I35" s="2" t="n"/>
    </row>
    <row r="36">
      <c r="A36" s="2" t="n">
        <v>36770</v>
      </c>
      <c r="B36" t="n">
        <v>111256.67</v>
      </c>
      <c r="C36" t="n">
        <v>1482.49</v>
      </c>
      <c r="D36" t="n">
        <v>-1472.26</v>
      </c>
      <c r="E36">
        <f>D36/MAX($B$2:B36,100000)</f>
        <v/>
      </c>
      <c r="H36" s="2" t="n"/>
      <c r="I36" s="2" t="n"/>
    </row>
    <row r="37">
      <c r="A37" s="2" t="n">
        <v>36777</v>
      </c>
      <c r="B37" t="n">
        <v>112086.43</v>
      </c>
      <c r="C37" t="n">
        <v>1482.49</v>
      </c>
      <c r="D37" t="n">
        <v>-642.5</v>
      </c>
      <c r="E37">
        <f>D37/MAX($B$2:B37,100000)</f>
        <v/>
      </c>
      <c r="H37" s="2" t="n"/>
      <c r="I37" s="2" t="n"/>
    </row>
    <row r="38">
      <c r="A38" s="2" t="n">
        <v>36784</v>
      </c>
      <c r="B38" t="n">
        <v>110981.77</v>
      </c>
      <c r="C38" t="n">
        <v>1482.49</v>
      </c>
      <c r="D38" t="n">
        <v>-1747.16</v>
      </c>
      <c r="E38">
        <f>D38/MAX($B$2:B38,100000)</f>
        <v/>
      </c>
      <c r="H38" s="2" t="n"/>
      <c r="I38" s="2" t="n"/>
    </row>
    <row r="39">
      <c r="A39" s="2" t="n">
        <v>36791</v>
      </c>
      <c r="B39" t="n">
        <v>109851</v>
      </c>
      <c r="C39" t="n">
        <v>1482.49</v>
      </c>
      <c r="D39" t="n">
        <v>-2877.93</v>
      </c>
      <c r="E39">
        <f>D39/MAX($B$2:B39,100000)</f>
        <v/>
      </c>
      <c r="H39" s="2" t="n"/>
      <c r="I39" s="2" t="n"/>
    </row>
    <row r="40">
      <c r="A40" s="2" t="n">
        <v>36798</v>
      </c>
      <c r="B40" t="n">
        <v>111455.95</v>
      </c>
      <c r="C40" t="n">
        <v>1482.49</v>
      </c>
      <c r="D40" t="n">
        <v>-1272.98</v>
      </c>
      <c r="E40">
        <f>D40/MAX($B$2:B40,100000)</f>
        <v/>
      </c>
      <c r="H40" s="2" t="n"/>
      <c r="I40" s="2" t="n"/>
    </row>
    <row r="41">
      <c r="A41" s="2" t="n">
        <v>36805</v>
      </c>
      <c r="B41" t="n">
        <v>114850.2</v>
      </c>
      <c r="C41" t="n">
        <v>1482.49</v>
      </c>
      <c r="D41" t="n">
        <v>0</v>
      </c>
      <c r="E41">
        <f>D41/MAX($B$2:B41,100000)</f>
        <v/>
      </c>
      <c r="H41" s="2" t="n"/>
      <c r="I41" s="2" t="n"/>
    </row>
    <row r="42">
      <c r="A42" s="2" t="n">
        <v>36812</v>
      </c>
      <c r="B42" t="n">
        <v>115258.01</v>
      </c>
      <c r="C42" t="n">
        <v>1482.49</v>
      </c>
      <c r="D42" t="n">
        <v>0</v>
      </c>
      <c r="E42">
        <f>D42/MAX($B$2:B42,100000)</f>
        <v/>
      </c>
      <c r="H42" s="2" t="n"/>
      <c r="I42" s="2" t="n"/>
    </row>
    <row r="43">
      <c r="A43" s="2" t="n">
        <v>36819</v>
      </c>
      <c r="B43" t="n">
        <v>115987.5</v>
      </c>
      <c r="C43" t="n">
        <v>1482.49</v>
      </c>
      <c r="D43" t="n">
        <v>0</v>
      </c>
      <c r="E43">
        <f>D43/MAX($B$2:B43,100000)</f>
        <v/>
      </c>
      <c r="H43" s="2" t="n"/>
      <c r="I43" s="2" t="n"/>
    </row>
    <row r="44">
      <c r="A44" s="2" t="n">
        <v>36826</v>
      </c>
      <c r="B44" t="n">
        <v>115091.38</v>
      </c>
      <c r="C44" t="n">
        <v>1482.49</v>
      </c>
      <c r="D44" t="n">
        <v>-896.13</v>
      </c>
      <c r="E44">
        <f>D44/MAX($B$2:B44,100000)</f>
        <v/>
      </c>
      <c r="H44" s="2" t="n"/>
      <c r="I44" s="2" t="n"/>
    </row>
    <row r="45">
      <c r="A45" s="2" t="n">
        <v>36833</v>
      </c>
      <c r="B45" t="n">
        <v>114663.88</v>
      </c>
      <c r="C45" t="n">
        <v>1482.49</v>
      </c>
      <c r="D45" t="n">
        <v>-1323.63</v>
      </c>
      <c r="E45">
        <f>D45/MAX($B$2:B45,100000)</f>
        <v/>
      </c>
      <c r="H45" s="2" t="n"/>
      <c r="I45" s="2" t="n"/>
    </row>
    <row r="46">
      <c r="A46" s="2" t="n">
        <v>36840</v>
      </c>
      <c r="B46" t="n">
        <v>116711.52</v>
      </c>
      <c r="C46" t="n">
        <v>1482.49</v>
      </c>
      <c r="D46" t="n">
        <v>0</v>
      </c>
      <c r="E46">
        <f>D46/MAX($B$2:B46,100000)</f>
        <v/>
      </c>
      <c r="H46" s="2" t="n"/>
      <c r="I46" s="2" t="n"/>
    </row>
    <row r="47">
      <c r="A47" s="2" t="n">
        <v>36847</v>
      </c>
      <c r="B47" t="n">
        <v>115963.39</v>
      </c>
      <c r="C47" t="n">
        <v>1482.49</v>
      </c>
      <c r="D47" t="n">
        <v>-748.13</v>
      </c>
      <c r="E47">
        <f>D47/MAX($B$2:B47,100000)</f>
        <v/>
      </c>
      <c r="H47" s="2" t="n"/>
      <c r="I47" s="2" t="n"/>
    </row>
    <row r="48">
      <c r="A48" s="2" t="n">
        <v>36854</v>
      </c>
      <c r="B48" t="n">
        <v>117005.95</v>
      </c>
      <c r="C48" t="n">
        <v>1482.49</v>
      </c>
      <c r="D48" t="n">
        <v>0</v>
      </c>
      <c r="E48">
        <f>D48/MAX($B$2:B48,100000)</f>
        <v/>
      </c>
      <c r="H48" s="2" t="n"/>
      <c r="I48" s="2" t="n"/>
    </row>
    <row r="49">
      <c r="A49" s="2" t="n">
        <v>36861</v>
      </c>
      <c r="B49" t="n">
        <v>117411.63</v>
      </c>
      <c r="C49" t="n">
        <v>1482.49</v>
      </c>
      <c r="D49" t="n">
        <v>0</v>
      </c>
      <c r="E49">
        <f>D49/MAX($B$2:B49,100000)</f>
        <v/>
      </c>
      <c r="H49" s="2" t="n"/>
      <c r="I49" s="2" t="n"/>
    </row>
    <row r="50">
      <c r="A50" s="2" t="n">
        <v>36868</v>
      </c>
      <c r="B50" t="n">
        <v>119443.63</v>
      </c>
      <c r="C50" t="n">
        <v>1482.49</v>
      </c>
      <c r="D50" t="n">
        <v>0</v>
      </c>
      <c r="E50">
        <f>D50/MAX($B$2:B50,100000)</f>
        <v/>
      </c>
      <c r="H50" s="2" t="n"/>
      <c r="I50" s="2" t="n"/>
    </row>
    <row r="51">
      <c r="A51" s="2" t="n">
        <v>36875</v>
      </c>
      <c r="B51" t="n">
        <v>119300.33</v>
      </c>
      <c r="C51" t="n">
        <v>1482.49</v>
      </c>
      <c r="D51" t="n">
        <v>-143.3</v>
      </c>
      <c r="E51">
        <f>D51/MAX($B$2:B51,100000)</f>
        <v/>
      </c>
      <c r="H51" s="2" t="n"/>
      <c r="I51" s="2" t="n"/>
    </row>
    <row r="52">
      <c r="A52" s="2" t="n">
        <v>36882</v>
      </c>
      <c r="B52" t="n">
        <v>119844.18</v>
      </c>
      <c r="C52" t="n">
        <v>1482.49</v>
      </c>
      <c r="D52" t="n">
        <v>0</v>
      </c>
      <c r="E52">
        <f>D52/MAX($B$2:B52,100000)</f>
        <v/>
      </c>
      <c r="H52" s="2" t="n"/>
      <c r="I52" s="2" t="n"/>
    </row>
    <row r="53">
      <c r="A53" s="2" t="n">
        <v>36889</v>
      </c>
      <c r="B53" t="n">
        <v>120725.66</v>
      </c>
      <c r="C53" t="n">
        <v>1482.49</v>
      </c>
      <c r="D53" t="n">
        <v>0</v>
      </c>
      <c r="E53">
        <f>D53/MAX($B$2:B53,100000)</f>
        <v/>
      </c>
      <c r="H53" s="2" t="n"/>
      <c r="I53" s="2" t="n"/>
    </row>
    <row r="54">
      <c r="A54" s="2" t="n">
        <v>36896</v>
      </c>
      <c r="B54" t="n">
        <v>121156.95</v>
      </c>
      <c r="C54" t="n">
        <v>1482.49</v>
      </c>
      <c r="D54" t="n">
        <v>0</v>
      </c>
      <c r="E54">
        <f>D54/MAX($B$2:B54,100000)</f>
        <v/>
      </c>
      <c r="H54" s="2" t="n"/>
      <c r="I54" s="2" t="n"/>
    </row>
    <row r="55">
      <c r="A55" s="2" t="n">
        <v>36903</v>
      </c>
      <c r="B55" t="n">
        <v>119132.1</v>
      </c>
      <c r="C55" t="n">
        <v>1482.49</v>
      </c>
      <c r="D55" t="n">
        <v>-2024.84</v>
      </c>
      <c r="E55">
        <f>D55/MAX($B$2:B55,100000)</f>
        <v/>
      </c>
      <c r="H55" s="2" t="n"/>
      <c r="I55" s="2" t="n"/>
    </row>
    <row r="56">
      <c r="A56" s="2" t="n">
        <v>36910</v>
      </c>
      <c r="B56" t="n">
        <v>120341.44</v>
      </c>
      <c r="C56" t="n">
        <v>1482.49</v>
      </c>
      <c r="D56" t="n">
        <v>-815.51</v>
      </c>
      <c r="E56">
        <f>D56/MAX($B$2:B56,100000)</f>
        <v/>
      </c>
      <c r="H56" s="2" t="n"/>
      <c r="I56" s="2" t="n"/>
    </row>
    <row r="57">
      <c r="A57" s="2" t="n">
        <v>36916</v>
      </c>
      <c r="B57" t="n">
        <v>120960.91</v>
      </c>
      <c r="C57" t="n">
        <v>1482.49</v>
      </c>
      <c r="D57" t="n">
        <v>-196.03</v>
      </c>
      <c r="E57">
        <f>D57/MAX($B$2:B57,100000)</f>
        <v/>
      </c>
      <c r="H57" s="2" t="n"/>
      <c r="I57" s="2" t="n"/>
    </row>
    <row r="58">
      <c r="A58" s="2" t="n">
        <v>36924</v>
      </c>
      <c r="B58" t="n">
        <v>120846.97</v>
      </c>
      <c r="C58" t="n">
        <v>1482.49</v>
      </c>
      <c r="D58" t="n">
        <v>-309.98</v>
      </c>
      <c r="E58">
        <f>D58/MAX($B$2:B58,100000)</f>
        <v/>
      </c>
      <c r="H58" s="2" t="n"/>
      <c r="I58" s="2" t="n"/>
    </row>
    <row r="59">
      <c r="A59" s="2" t="n">
        <v>36931</v>
      </c>
      <c r="B59" t="n">
        <v>119513.18</v>
      </c>
      <c r="C59" t="n">
        <v>1482.49</v>
      </c>
      <c r="D59" t="n">
        <v>-1643.77</v>
      </c>
      <c r="E59">
        <f>D59/MAX($B$2:B59,100000)</f>
        <v/>
      </c>
      <c r="H59" s="2" t="n"/>
      <c r="I59" s="2" t="n"/>
    </row>
    <row r="60">
      <c r="A60" s="2" t="n">
        <v>36938</v>
      </c>
      <c r="B60" t="n">
        <v>119034.63</v>
      </c>
      <c r="C60" t="n">
        <v>1482.49</v>
      </c>
      <c r="D60" t="n">
        <v>-2122.32</v>
      </c>
      <c r="E60">
        <f>D60/MAX($B$2:B60,100000)</f>
        <v/>
      </c>
      <c r="H60" s="2" t="n"/>
      <c r="I60" s="2" t="n"/>
    </row>
    <row r="61">
      <c r="A61" s="2" t="n">
        <v>36945</v>
      </c>
      <c r="B61" t="n">
        <v>119785.61</v>
      </c>
      <c r="C61" t="n">
        <v>1482.49</v>
      </c>
      <c r="D61" t="n">
        <v>-1371.34</v>
      </c>
      <c r="E61">
        <f>D61/MAX($B$2:B61,100000)</f>
        <v/>
      </c>
      <c r="H61" s="2" t="n"/>
      <c r="I61" s="2" t="n"/>
    </row>
    <row r="62">
      <c r="A62" s="2" t="n">
        <v>36952</v>
      </c>
      <c r="B62" t="n">
        <v>122409.94</v>
      </c>
      <c r="C62" t="n">
        <v>426.74</v>
      </c>
      <c r="D62" t="n">
        <v>0</v>
      </c>
      <c r="E62">
        <f>D62/MAX($B$2:B62,100000)</f>
        <v/>
      </c>
      <c r="H62" s="2" t="n"/>
      <c r="I62" s="2" t="n"/>
    </row>
    <row r="63">
      <c r="A63" s="2" t="n">
        <v>36959</v>
      </c>
      <c r="B63" t="n">
        <v>122317.38</v>
      </c>
      <c r="C63" t="n">
        <v>426.74</v>
      </c>
      <c r="D63" t="n">
        <v>-92.56</v>
      </c>
      <c r="E63">
        <f>D63/MAX($B$2:B63,100000)</f>
        <v/>
      </c>
      <c r="H63" s="2" t="n"/>
      <c r="I63" s="2" t="n"/>
    </row>
    <row r="64">
      <c r="A64" s="2" t="n">
        <v>36966</v>
      </c>
      <c r="B64" t="n">
        <v>121410.09</v>
      </c>
      <c r="C64" t="n">
        <v>426.74</v>
      </c>
      <c r="D64" t="n">
        <v>-999.84</v>
      </c>
      <c r="E64">
        <f>D64/MAX($B$2:B64,100000)</f>
        <v/>
      </c>
      <c r="H64" s="2" t="n"/>
      <c r="I64" s="2" t="n"/>
    </row>
    <row r="65">
      <c r="A65" s="2" t="n">
        <v>36973</v>
      </c>
      <c r="B65" t="n">
        <v>120732.26</v>
      </c>
      <c r="C65" t="n">
        <v>426.74</v>
      </c>
      <c r="D65" t="n">
        <v>-1677.68</v>
      </c>
      <c r="E65">
        <f>D65/MAX($B$2:B65,100000)</f>
        <v/>
      </c>
      <c r="H65" s="2" t="n"/>
      <c r="I65" s="2" t="n"/>
    </row>
    <row r="66">
      <c r="A66" s="2" t="n">
        <v>36980</v>
      </c>
      <c r="B66" t="n">
        <v>119863.89</v>
      </c>
      <c r="C66" t="n">
        <v>426.74</v>
      </c>
      <c r="D66" t="n">
        <v>-2546.05</v>
      </c>
      <c r="E66">
        <f>D66/MAX($B$2:B66,100000)</f>
        <v/>
      </c>
      <c r="H66" s="2" t="n"/>
      <c r="I66" s="2" t="n"/>
    </row>
    <row r="67">
      <c r="A67" s="2" t="n">
        <v>36987</v>
      </c>
      <c r="B67" t="n">
        <v>122218.2</v>
      </c>
      <c r="C67" t="n">
        <v>426.74</v>
      </c>
      <c r="D67" t="n">
        <v>-191.74</v>
      </c>
      <c r="E67">
        <f>D67/MAX($B$2:B67,100000)</f>
        <v/>
      </c>
      <c r="H67" s="2" t="n"/>
      <c r="I67" s="2" t="n"/>
    </row>
    <row r="68">
      <c r="A68" s="2" t="n">
        <v>36993</v>
      </c>
      <c r="B68" t="n">
        <v>121886.33</v>
      </c>
      <c r="C68" t="n">
        <v>426.74</v>
      </c>
      <c r="D68" t="n">
        <v>-523.61</v>
      </c>
      <c r="E68">
        <f>D68/MAX($B$2:B68,100000)</f>
        <v/>
      </c>
      <c r="H68" s="2" t="n"/>
      <c r="I68" s="2" t="n"/>
    </row>
    <row r="69">
      <c r="A69" s="2" t="n">
        <v>37001</v>
      </c>
      <c r="B69" t="n">
        <v>121668.48</v>
      </c>
      <c r="C69" t="n">
        <v>426.74</v>
      </c>
      <c r="D69" t="n">
        <v>-741.46</v>
      </c>
      <c r="E69">
        <f>D69/MAX($B$2:B69,100000)</f>
        <v/>
      </c>
      <c r="H69" s="2" t="n"/>
      <c r="I69" s="2" t="n"/>
    </row>
    <row r="70">
      <c r="A70" s="2" t="n">
        <v>37008</v>
      </c>
      <c r="B70" t="n">
        <v>121919.41</v>
      </c>
      <c r="C70" t="n">
        <v>426.74</v>
      </c>
      <c r="D70" t="n">
        <v>-490.53</v>
      </c>
      <c r="E70">
        <f>D70/MAX($B$2:B70,100000)</f>
        <v/>
      </c>
      <c r="H70" s="2" t="n"/>
      <c r="I70" s="2" t="n"/>
    </row>
    <row r="71">
      <c r="A71" s="2" t="n">
        <v>37015</v>
      </c>
      <c r="B71" t="n">
        <v>122904.86</v>
      </c>
      <c r="C71" t="n">
        <v>426.74</v>
      </c>
      <c r="D71" t="n">
        <v>0</v>
      </c>
      <c r="E71">
        <f>D71/MAX($B$2:B71,100000)</f>
        <v/>
      </c>
      <c r="H71" s="2" t="n"/>
      <c r="I71" s="2" t="n"/>
    </row>
    <row r="72">
      <c r="A72" s="2" t="n">
        <v>37022</v>
      </c>
      <c r="B72" t="n">
        <v>124831.7</v>
      </c>
      <c r="C72" t="n">
        <v>426.74</v>
      </c>
      <c r="D72" t="n">
        <v>0</v>
      </c>
      <c r="E72">
        <f>D72/MAX($B$2:B72,100000)</f>
        <v/>
      </c>
      <c r="H72" s="2" t="n"/>
      <c r="I72" s="2" t="n"/>
    </row>
    <row r="73">
      <c r="A73" s="2" t="n">
        <v>37029</v>
      </c>
      <c r="B73" t="n">
        <v>126380.91</v>
      </c>
      <c r="C73" t="n">
        <v>426.74</v>
      </c>
      <c r="D73" t="n">
        <v>0</v>
      </c>
      <c r="E73">
        <f>D73/MAX($B$2:B73,100000)</f>
        <v/>
      </c>
      <c r="H73" s="2" t="n"/>
      <c r="I73" s="2" t="n"/>
    </row>
    <row r="74">
      <c r="A74" s="2" t="n">
        <v>37036</v>
      </c>
      <c r="B74" t="n">
        <v>125836.73</v>
      </c>
      <c r="C74" t="n">
        <v>426.74</v>
      </c>
      <c r="D74" t="n">
        <v>-544.1799999999999</v>
      </c>
      <c r="E74">
        <f>D74/MAX($B$2:B74,100000)</f>
        <v/>
      </c>
      <c r="H74" s="2" t="n"/>
      <c r="I74" s="2" t="n"/>
    </row>
    <row r="75">
      <c r="A75" s="2" t="n">
        <v>37043</v>
      </c>
      <c r="B75" t="n">
        <v>126770.4</v>
      </c>
      <c r="C75" t="n">
        <v>426.74</v>
      </c>
      <c r="D75" t="n">
        <v>0</v>
      </c>
      <c r="E75">
        <f>D75/MAX($B$2:B75,100000)</f>
        <v/>
      </c>
      <c r="H75" s="2" t="n"/>
      <c r="I75" s="2" t="n"/>
    </row>
    <row r="76">
      <c r="A76" s="2" t="n">
        <v>37050</v>
      </c>
      <c r="B76" t="n">
        <v>128626.82</v>
      </c>
      <c r="C76" t="n">
        <v>426.74</v>
      </c>
      <c r="D76" t="n">
        <v>0</v>
      </c>
      <c r="E76">
        <f>D76/MAX($B$2:B76,100000)</f>
        <v/>
      </c>
      <c r="H76" s="2" t="n"/>
      <c r="I76" s="2" t="n"/>
    </row>
    <row r="77">
      <c r="A77" s="2" t="n">
        <v>37057</v>
      </c>
      <c r="B77" t="n">
        <v>130306.72</v>
      </c>
      <c r="C77" t="n">
        <v>426.74</v>
      </c>
      <c r="D77" t="n">
        <v>0</v>
      </c>
      <c r="E77">
        <f>D77/MAX($B$2:B77,100000)</f>
        <v/>
      </c>
      <c r="H77" s="2" t="n"/>
      <c r="I77" s="2" t="n"/>
    </row>
    <row r="78">
      <c r="A78" s="2" t="n">
        <v>37064</v>
      </c>
      <c r="B78" t="n">
        <v>132971.14</v>
      </c>
      <c r="C78" t="n">
        <v>426.74</v>
      </c>
      <c r="D78" t="n">
        <v>0</v>
      </c>
      <c r="E78">
        <f>D78/MAX($B$2:B78,100000)</f>
        <v/>
      </c>
      <c r="H78" s="2" t="n"/>
      <c r="I78" s="2" t="n"/>
    </row>
    <row r="79">
      <c r="A79" s="2" t="n">
        <v>37071</v>
      </c>
      <c r="B79" t="n">
        <v>135144.63</v>
      </c>
      <c r="C79" t="n">
        <v>426.74</v>
      </c>
      <c r="D79" t="n">
        <v>0</v>
      </c>
      <c r="E79">
        <f>D79/MAX($B$2:B79,100000)</f>
        <v/>
      </c>
      <c r="H79" s="2" t="n"/>
      <c r="I79" s="2" t="n"/>
    </row>
    <row r="80">
      <c r="A80" s="2" t="n">
        <v>37078</v>
      </c>
      <c r="B80" t="n">
        <v>130435.29</v>
      </c>
      <c r="C80" t="n">
        <v>426.74</v>
      </c>
      <c r="D80" t="n">
        <v>-4709.34</v>
      </c>
      <c r="E80">
        <f>D80/MAX($B$2:B80,100000)</f>
        <v/>
      </c>
      <c r="H80" s="2" t="n"/>
      <c r="I80" s="2" t="n"/>
    </row>
    <row r="81">
      <c r="A81" s="2" t="n">
        <v>37085</v>
      </c>
      <c r="B81" t="n">
        <v>132300.06</v>
      </c>
      <c r="C81" t="n">
        <v>426.74</v>
      </c>
      <c r="D81" t="n">
        <v>-2844.56</v>
      </c>
      <c r="E81">
        <f>D81/MAX($B$2:B81,100000)</f>
        <v/>
      </c>
      <c r="H81" s="2" t="n"/>
      <c r="I81" s="2" t="n"/>
    </row>
    <row r="82">
      <c r="A82" s="2" t="n">
        <v>37092</v>
      </c>
      <c r="B82" t="n">
        <v>133190.47</v>
      </c>
      <c r="C82" t="n">
        <v>426.74</v>
      </c>
      <c r="D82" t="n">
        <v>-1954.16</v>
      </c>
      <c r="E82">
        <f>D82/MAX($B$2:B82,100000)</f>
        <v/>
      </c>
      <c r="H82" s="2" t="n"/>
      <c r="I82" s="2" t="n"/>
    </row>
    <row r="83">
      <c r="A83" s="2" t="n">
        <v>37099</v>
      </c>
      <c r="B83" t="n">
        <v>133114.7</v>
      </c>
      <c r="C83" t="n">
        <v>426.74</v>
      </c>
      <c r="D83" t="n">
        <v>-2029.92</v>
      </c>
      <c r="E83">
        <f>D83/MAX($B$2:B83,100000)</f>
        <v/>
      </c>
      <c r="H83" s="2" t="n"/>
      <c r="I83" s="2" t="n"/>
    </row>
    <row r="84">
      <c r="A84" s="2" t="n">
        <v>37106</v>
      </c>
      <c r="B84" t="n">
        <v>134570.77</v>
      </c>
      <c r="C84" t="n">
        <v>8172.15</v>
      </c>
      <c r="D84" t="n">
        <v>-573.86</v>
      </c>
      <c r="E84">
        <f>D84/MAX($B$2:B84,100000)</f>
        <v/>
      </c>
      <c r="H84" s="2" t="n"/>
      <c r="I84" s="2" t="n"/>
    </row>
    <row r="85">
      <c r="A85" s="2" t="n">
        <v>37113</v>
      </c>
      <c r="B85" t="n">
        <v>137566.67</v>
      </c>
      <c r="C85" t="n">
        <v>8172.15</v>
      </c>
      <c r="D85" t="n">
        <v>0</v>
      </c>
      <c r="E85">
        <f>D85/MAX($B$2:B85,100000)</f>
        <v/>
      </c>
      <c r="H85" s="2" t="n"/>
      <c r="I85" s="2" t="n"/>
    </row>
    <row r="86">
      <c r="A86" s="2" t="n">
        <v>37120</v>
      </c>
      <c r="B86" t="n">
        <v>135514.56</v>
      </c>
      <c r="C86" t="n">
        <v>8172.15</v>
      </c>
      <c r="D86" t="n">
        <v>-2052.11</v>
      </c>
      <c r="E86">
        <f>D86/MAX($B$2:B86,100000)</f>
        <v/>
      </c>
      <c r="H86" s="2" t="n"/>
      <c r="I86" s="2" t="n"/>
    </row>
    <row r="87">
      <c r="A87" s="2" t="n">
        <v>37127</v>
      </c>
      <c r="B87" t="n">
        <v>137335.16</v>
      </c>
      <c r="C87" t="n">
        <v>8172.15</v>
      </c>
      <c r="D87" t="n">
        <v>-231.52</v>
      </c>
      <c r="E87">
        <f>D87/MAX($B$2:B87,100000)</f>
        <v/>
      </c>
      <c r="H87" s="2" t="n"/>
      <c r="I87" s="2" t="n"/>
    </row>
    <row r="88">
      <c r="A88" s="2" t="n">
        <v>37134</v>
      </c>
      <c r="B88" t="n">
        <v>138135.73</v>
      </c>
      <c r="C88" t="n">
        <v>8172.15</v>
      </c>
      <c r="D88" t="n">
        <v>0</v>
      </c>
      <c r="E88">
        <f>D88/MAX($B$2:B88,100000)</f>
        <v/>
      </c>
      <c r="H88" s="2" t="n"/>
      <c r="I88" s="2" t="n"/>
    </row>
    <row r="89">
      <c r="A89" s="2" t="n">
        <v>37141</v>
      </c>
      <c r="B89" t="n">
        <v>136894.09</v>
      </c>
      <c r="C89" t="n">
        <v>8172.15</v>
      </c>
      <c r="D89" t="n">
        <v>-1241.64</v>
      </c>
      <c r="E89">
        <f>D89/MAX($B$2:B89,100000)</f>
        <v/>
      </c>
      <c r="H89" s="2" t="n"/>
      <c r="I89" s="2" t="n"/>
    </row>
    <row r="90">
      <c r="A90" s="2" t="n">
        <v>37148</v>
      </c>
      <c r="B90" t="n">
        <v>134541.44</v>
      </c>
      <c r="C90" t="n">
        <v>8172.15</v>
      </c>
      <c r="D90" t="n">
        <v>-3594.3</v>
      </c>
      <c r="E90">
        <f>D90/MAX($B$2:B90,100000)</f>
        <v/>
      </c>
      <c r="H90" s="2" t="n"/>
      <c r="I90" s="2" t="n"/>
    </row>
    <row r="91">
      <c r="A91" s="2" t="n">
        <v>37155</v>
      </c>
      <c r="B91" t="n">
        <v>133519.98</v>
      </c>
      <c r="C91" t="n">
        <v>15813.1</v>
      </c>
      <c r="D91" t="n">
        <v>-4615.75</v>
      </c>
      <c r="E91">
        <f>D91/MAX($B$2:B91,100000)</f>
        <v/>
      </c>
      <c r="H91" s="2" t="n"/>
      <c r="I91" s="2" t="n"/>
    </row>
    <row r="92">
      <c r="A92" s="2" t="n">
        <v>37162</v>
      </c>
      <c r="B92" t="n">
        <v>134419.39</v>
      </c>
      <c r="C92" t="n">
        <v>35235.94</v>
      </c>
      <c r="D92" t="n">
        <v>-3716.34</v>
      </c>
      <c r="E92">
        <f>D92/MAX($B$2:B92,100000)</f>
        <v/>
      </c>
      <c r="H92" s="2" t="n"/>
      <c r="I92" s="2" t="n"/>
    </row>
    <row r="93">
      <c r="A93" s="2" t="n">
        <v>37169</v>
      </c>
      <c r="B93" t="n">
        <v>135316.73</v>
      </c>
      <c r="C93" t="n">
        <v>39313.45</v>
      </c>
      <c r="D93" t="n">
        <v>-2819</v>
      </c>
      <c r="E93">
        <f>D93/MAX($B$2:B93,100000)</f>
        <v/>
      </c>
      <c r="H93" s="2" t="n"/>
      <c r="I93" s="2" t="n"/>
    </row>
    <row r="94">
      <c r="A94" s="2" t="n">
        <v>37176</v>
      </c>
      <c r="B94" t="n">
        <v>136739.17</v>
      </c>
      <c r="C94" t="n">
        <v>39313.45</v>
      </c>
      <c r="D94" t="n">
        <v>-1396.56</v>
      </c>
      <c r="E94">
        <f>D94/MAX($B$2:B94,100000)</f>
        <v/>
      </c>
      <c r="H94" s="2" t="n"/>
      <c r="I94" s="2" t="n"/>
    </row>
    <row r="95">
      <c r="A95" s="2" t="n">
        <v>37183</v>
      </c>
      <c r="B95" t="n">
        <v>135222.47</v>
      </c>
      <c r="C95" t="n">
        <v>39313.45</v>
      </c>
      <c r="D95" t="n">
        <v>-2913.27</v>
      </c>
      <c r="E95">
        <f>D95/MAX($B$2:B95,100000)</f>
        <v/>
      </c>
      <c r="H95" s="2" t="n"/>
      <c r="I95" s="2" t="n"/>
    </row>
    <row r="96">
      <c r="A96" s="2" t="n">
        <v>37190</v>
      </c>
      <c r="B96" t="n">
        <v>135888.77</v>
      </c>
      <c r="C96" t="n">
        <v>39313.45</v>
      </c>
      <c r="D96" t="n">
        <v>-2246.97</v>
      </c>
      <c r="E96">
        <f>D96/MAX($B$2:B96,100000)</f>
        <v/>
      </c>
      <c r="H96" s="2" t="n"/>
      <c r="I96" s="2" t="n"/>
    </row>
    <row r="97">
      <c r="A97" s="2" t="n">
        <v>37197</v>
      </c>
      <c r="B97" t="n">
        <v>136093.42</v>
      </c>
      <c r="C97" t="n">
        <v>1462.1</v>
      </c>
      <c r="D97" t="n">
        <v>-2042.31</v>
      </c>
      <c r="E97">
        <f>D97/MAX($B$2:B97,100000)</f>
        <v/>
      </c>
      <c r="H97" s="2" t="n"/>
      <c r="I97" s="2" t="n"/>
    </row>
    <row r="98">
      <c r="A98" s="2" t="n">
        <v>37204</v>
      </c>
      <c r="B98" t="n">
        <v>137396.8</v>
      </c>
      <c r="C98" t="n">
        <v>1462.1</v>
      </c>
      <c r="D98" t="n">
        <v>-738.9400000000001</v>
      </c>
      <c r="E98">
        <f>D98/MAX($B$2:B98,100000)</f>
        <v/>
      </c>
      <c r="H98" s="2" t="n"/>
      <c r="I98" s="2" t="n"/>
    </row>
    <row r="99">
      <c r="A99" s="2" t="n">
        <v>37211</v>
      </c>
      <c r="B99" t="n">
        <v>134775.95</v>
      </c>
      <c r="C99" t="n">
        <v>1462.1</v>
      </c>
      <c r="D99" t="n">
        <v>-3359.78</v>
      </c>
      <c r="E99">
        <f>D99/MAX($B$2:B99,100000)</f>
        <v/>
      </c>
      <c r="H99" s="2" t="n"/>
      <c r="I99" s="2" t="n"/>
    </row>
    <row r="100">
      <c r="A100" s="2" t="n">
        <v>37218</v>
      </c>
      <c r="B100" t="n">
        <v>135124.06</v>
      </c>
      <c r="C100" t="n">
        <v>1462.1</v>
      </c>
      <c r="D100" t="n">
        <v>-3011.67</v>
      </c>
      <c r="E100">
        <f>D100/MAX($B$2:B100,100000)</f>
        <v/>
      </c>
      <c r="H100" s="2" t="n"/>
      <c r="I100" s="2" t="n"/>
    </row>
    <row r="101">
      <c r="A101" s="2" t="n">
        <v>37225</v>
      </c>
      <c r="B101" t="n">
        <v>136227.45</v>
      </c>
      <c r="C101" t="n">
        <v>1462.1</v>
      </c>
      <c r="D101" t="n">
        <v>-1908.28</v>
      </c>
      <c r="E101">
        <f>D101/MAX($B$2:B101,100000)</f>
        <v/>
      </c>
      <c r="H101" s="2" t="n"/>
      <c r="I101" s="2" t="n"/>
    </row>
    <row r="102">
      <c r="A102" s="2" t="n">
        <v>37232</v>
      </c>
      <c r="B102" t="n">
        <v>135031</v>
      </c>
      <c r="C102" t="n">
        <v>1462.1</v>
      </c>
      <c r="D102" t="n">
        <v>-3104.73</v>
      </c>
      <c r="E102">
        <f>D102/MAX($B$2:B102,100000)</f>
        <v/>
      </c>
      <c r="H102" s="2" t="n"/>
      <c r="I102" s="2" t="n"/>
    </row>
    <row r="103">
      <c r="A103" s="2" t="n">
        <v>37239</v>
      </c>
      <c r="B103" t="n">
        <v>133396.22</v>
      </c>
      <c r="C103" t="n">
        <v>1462.1</v>
      </c>
      <c r="D103" t="n">
        <v>-4739.52</v>
      </c>
      <c r="E103">
        <f>D103/MAX($B$2:B103,100000)</f>
        <v/>
      </c>
      <c r="H103" s="2" t="n"/>
      <c r="I103" s="2" t="n"/>
    </row>
    <row r="104">
      <c r="A104" s="2" t="n">
        <v>37246</v>
      </c>
      <c r="B104" t="n">
        <v>134468.7</v>
      </c>
      <c r="C104" t="n">
        <v>1462.1</v>
      </c>
      <c r="D104" t="n">
        <v>-3667.03</v>
      </c>
      <c r="E104">
        <f>D104/MAX($B$2:B104,100000)</f>
        <v/>
      </c>
      <c r="H104" s="2" t="n"/>
      <c r="I104" s="2" t="n"/>
    </row>
    <row r="105">
      <c r="A105" s="2" t="n">
        <v>37253</v>
      </c>
      <c r="B105" t="n">
        <v>136472.09</v>
      </c>
      <c r="C105" t="n">
        <v>1462.1</v>
      </c>
      <c r="D105" t="n">
        <v>-1663.64</v>
      </c>
      <c r="E105">
        <f>D105/MAX($B$2:B105,100000)</f>
        <v/>
      </c>
      <c r="H105" s="2" t="n"/>
      <c r="I105" s="2" t="n"/>
    </row>
    <row r="106">
      <c r="A106" s="2" t="n">
        <v>37260</v>
      </c>
      <c r="B106" t="n">
        <v>136741.3</v>
      </c>
      <c r="C106" t="n">
        <v>1462.1</v>
      </c>
      <c r="D106" t="n">
        <v>-1394.44</v>
      </c>
      <c r="E106">
        <f>D106/MAX($B$2:B106,100000)</f>
        <v/>
      </c>
      <c r="H106" s="2" t="n"/>
      <c r="I106" s="2" t="n"/>
    </row>
    <row r="107">
      <c r="A107" s="2" t="n">
        <v>37267</v>
      </c>
      <c r="B107" t="n">
        <v>139205.23</v>
      </c>
      <c r="C107" t="n">
        <v>1462.1</v>
      </c>
      <c r="D107" t="n">
        <v>0</v>
      </c>
      <c r="E107">
        <f>D107/MAX($B$2:B107,100000)</f>
        <v/>
      </c>
      <c r="H107" s="2" t="n"/>
      <c r="I107" s="2" t="n"/>
    </row>
    <row r="108">
      <c r="A108" s="2" t="n">
        <v>37274</v>
      </c>
      <c r="B108" t="n">
        <v>137066.31</v>
      </c>
      <c r="C108" t="n">
        <v>1462.1</v>
      </c>
      <c r="D108" t="n">
        <v>-2138.92</v>
      </c>
      <c r="E108">
        <f>D108/MAX($B$2:B108,100000)</f>
        <v/>
      </c>
      <c r="H108" s="2" t="n"/>
      <c r="I108" s="2" t="n"/>
    </row>
    <row r="109">
      <c r="A109" s="2" t="n">
        <v>37281</v>
      </c>
      <c r="B109" t="n">
        <v>137278.81</v>
      </c>
      <c r="C109" t="n">
        <v>1462.1</v>
      </c>
      <c r="D109" t="n">
        <v>-1926.42</v>
      </c>
      <c r="E109">
        <f>D109/MAX($B$2:B109,100000)</f>
        <v/>
      </c>
      <c r="H109" s="2" t="n"/>
      <c r="I109" s="2" t="n"/>
    </row>
    <row r="110">
      <c r="A110" s="2" t="n">
        <v>37288</v>
      </c>
      <c r="B110" t="n">
        <v>140656.77</v>
      </c>
      <c r="C110" t="n">
        <v>1462.1</v>
      </c>
      <c r="D110" t="n">
        <v>0</v>
      </c>
      <c r="E110">
        <f>D110/MAX($B$2:B110,100000)</f>
        <v/>
      </c>
      <c r="H110" s="2" t="n"/>
      <c r="I110" s="2" t="n"/>
    </row>
    <row r="111">
      <c r="A111" s="2" t="n">
        <v>37295</v>
      </c>
      <c r="B111" t="n">
        <v>142479.25</v>
      </c>
      <c r="C111" t="n">
        <v>1462.1</v>
      </c>
      <c r="D111" t="n">
        <v>0</v>
      </c>
      <c r="E111">
        <f>D111/MAX($B$2:B111,100000)</f>
        <v/>
      </c>
      <c r="H111" s="2" t="n"/>
      <c r="I111" s="2" t="n"/>
    </row>
    <row r="112">
      <c r="A112" s="2" t="n">
        <v>37302</v>
      </c>
      <c r="B112" t="n">
        <v>143914.63</v>
      </c>
      <c r="C112" t="n">
        <v>1462.1</v>
      </c>
      <c r="D112" t="n">
        <v>0</v>
      </c>
      <c r="E112">
        <f>D112/MAX($B$2:B112,100000)</f>
        <v/>
      </c>
      <c r="H112" s="2" t="n"/>
      <c r="I112" s="2" t="n"/>
    </row>
    <row r="113">
      <c r="A113" s="2" t="n">
        <v>37309</v>
      </c>
      <c r="B113" t="n">
        <v>142516.28</v>
      </c>
      <c r="C113" t="n">
        <v>1462.1</v>
      </c>
      <c r="D113" t="n">
        <v>-1398.34</v>
      </c>
      <c r="E113">
        <f>D113/MAX($B$2:B113,100000)</f>
        <v/>
      </c>
      <c r="H113" s="2" t="n"/>
      <c r="I113" s="2" t="n"/>
    </row>
    <row r="114">
      <c r="A114" s="2" t="n">
        <v>37316</v>
      </c>
      <c r="B114" t="n">
        <v>143981.95</v>
      </c>
      <c r="C114" t="n">
        <v>1462.1</v>
      </c>
      <c r="D114" t="n">
        <v>0</v>
      </c>
      <c r="E114">
        <f>D114/MAX($B$2:B114,100000)</f>
        <v/>
      </c>
      <c r="H114" s="2" t="n"/>
      <c r="I114" s="2" t="n"/>
    </row>
    <row r="115">
      <c r="A115" s="2" t="n">
        <v>37323</v>
      </c>
      <c r="B115" t="n">
        <v>144732.5</v>
      </c>
      <c r="C115" t="n">
        <v>1462.1</v>
      </c>
      <c r="D115" t="n">
        <v>0</v>
      </c>
      <c r="E115">
        <f>D115/MAX($B$2:B115,100000)</f>
        <v/>
      </c>
      <c r="H115" s="2" t="n"/>
      <c r="I115" s="2" t="n"/>
    </row>
    <row r="116">
      <c r="A116" s="2" t="n">
        <v>37330</v>
      </c>
      <c r="B116" t="n">
        <v>145654.7</v>
      </c>
      <c r="C116" t="n">
        <v>1462.1</v>
      </c>
      <c r="D116" t="n">
        <v>0</v>
      </c>
      <c r="E116">
        <f>D116/MAX($B$2:B116,100000)</f>
        <v/>
      </c>
      <c r="H116" s="2" t="n"/>
      <c r="I116" s="2" t="n"/>
    </row>
    <row r="117">
      <c r="A117" s="2" t="n">
        <v>37337</v>
      </c>
      <c r="B117" t="n">
        <v>147704.84</v>
      </c>
      <c r="C117" t="n">
        <v>1462.1</v>
      </c>
      <c r="D117" t="n">
        <v>0</v>
      </c>
      <c r="E117">
        <f>D117/MAX($B$2:B117,100000)</f>
        <v/>
      </c>
      <c r="H117" s="2" t="n"/>
      <c r="I117" s="2" t="n"/>
    </row>
    <row r="118">
      <c r="A118" s="2" t="n">
        <v>37343</v>
      </c>
      <c r="B118" t="n">
        <v>147956.55</v>
      </c>
      <c r="C118" t="n">
        <v>1462.1</v>
      </c>
      <c r="D118" t="n">
        <v>0</v>
      </c>
      <c r="E118">
        <f>D118/MAX($B$2:B118,100000)</f>
        <v/>
      </c>
      <c r="H118" s="2" t="n"/>
      <c r="I118" s="2" t="n"/>
    </row>
    <row r="119">
      <c r="A119" s="2" t="n">
        <v>37351</v>
      </c>
      <c r="B119" t="n">
        <v>145956.58</v>
      </c>
      <c r="C119" t="n">
        <v>1462.1</v>
      </c>
      <c r="D119" t="n">
        <v>-1999.97</v>
      </c>
      <c r="E119">
        <f>D119/MAX($B$2:B119,100000)</f>
        <v/>
      </c>
      <c r="H119" s="2" t="n"/>
      <c r="I119" s="2" t="n"/>
    </row>
    <row r="120">
      <c r="A120" s="2" t="n">
        <v>37358</v>
      </c>
      <c r="B120" t="n">
        <v>145950.28</v>
      </c>
      <c r="C120" t="n">
        <v>1462.1</v>
      </c>
      <c r="D120" t="n">
        <v>-2006.27</v>
      </c>
      <c r="E120">
        <f>D120/MAX($B$2:B120,100000)</f>
        <v/>
      </c>
      <c r="H120" s="2" t="n"/>
      <c r="I120" s="2" t="n"/>
    </row>
    <row r="121">
      <c r="A121" s="2" t="n">
        <v>37365</v>
      </c>
      <c r="B121" t="n">
        <v>146300.36</v>
      </c>
      <c r="C121" t="n">
        <v>1462.1</v>
      </c>
      <c r="D121" t="n">
        <v>-1656.19</v>
      </c>
      <c r="E121">
        <f>D121/MAX($B$2:B121,100000)</f>
        <v/>
      </c>
      <c r="H121" s="2" t="n"/>
      <c r="I121" s="2" t="n"/>
    </row>
    <row r="122">
      <c r="A122" s="2" t="n">
        <v>37372</v>
      </c>
      <c r="B122" t="n">
        <v>146160.83</v>
      </c>
      <c r="C122" t="n">
        <v>10931.72</v>
      </c>
      <c r="D122" t="n">
        <v>-1795.72</v>
      </c>
      <c r="E122">
        <f>D122/MAX($B$2:B122,100000)</f>
        <v/>
      </c>
      <c r="H122" s="2" t="n"/>
      <c r="I122" s="2" t="n"/>
    </row>
    <row r="123">
      <c r="A123" s="2" t="n">
        <v>37379</v>
      </c>
      <c r="B123" t="n">
        <v>146564.05</v>
      </c>
      <c r="C123" t="n">
        <v>10931.72</v>
      </c>
      <c r="D123" t="n">
        <v>-1392.5</v>
      </c>
      <c r="E123">
        <f>D123/MAX($B$2:B123,100000)</f>
        <v/>
      </c>
      <c r="H123" s="2" t="n"/>
      <c r="I123" s="2" t="n"/>
    </row>
    <row r="124">
      <c r="A124" s="2" t="n">
        <v>37386</v>
      </c>
      <c r="B124" t="n">
        <v>146081.2</v>
      </c>
      <c r="C124" t="n">
        <v>19258.37</v>
      </c>
      <c r="D124" t="n">
        <v>-1875.34</v>
      </c>
      <c r="E124">
        <f>D124/MAX($B$2:B124,100000)</f>
        <v/>
      </c>
      <c r="H124" s="2" t="n"/>
      <c r="I124" s="2" t="n"/>
    </row>
    <row r="125">
      <c r="A125" s="2" t="n">
        <v>37393</v>
      </c>
      <c r="B125" t="n">
        <v>146767.39</v>
      </c>
      <c r="C125" t="n">
        <v>25555.97</v>
      </c>
      <c r="D125" t="n">
        <v>-1189.16</v>
      </c>
      <c r="E125">
        <f>D125/MAX($B$2:B125,100000)</f>
        <v/>
      </c>
      <c r="H125" s="2" t="n"/>
      <c r="I125" s="2" t="n"/>
    </row>
    <row r="126">
      <c r="A126" s="2" t="n">
        <v>37400</v>
      </c>
      <c r="B126" t="n">
        <v>148272.91</v>
      </c>
      <c r="C126" t="n">
        <v>25555.97</v>
      </c>
      <c r="D126" t="n">
        <v>0</v>
      </c>
      <c r="E126">
        <f>D126/MAX($B$2:B126,100000)</f>
        <v/>
      </c>
      <c r="H126" s="2" t="n"/>
      <c r="I126" s="2" t="n"/>
    </row>
    <row r="127">
      <c r="A127" s="2" t="n">
        <v>37407</v>
      </c>
      <c r="B127" t="n">
        <v>148149.91</v>
      </c>
      <c r="C127" t="n">
        <v>25555.97</v>
      </c>
      <c r="D127" t="n">
        <v>-123</v>
      </c>
      <c r="E127">
        <f>D127/MAX($B$2:B127,100000)</f>
        <v/>
      </c>
      <c r="H127" s="2" t="n"/>
      <c r="I127" s="2" t="n"/>
    </row>
    <row r="128">
      <c r="A128" s="2" t="n">
        <v>37414</v>
      </c>
      <c r="B128" t="n">
        <v>149034.08</v>
      </c>
      <c r="C128" t="n">
        <v>25555.97</v>
      </c>
      <c r="D128" t="n">
        <v>0</v>
      </c>
      <c r="E128">
        <f>D128/MAX($B$2:B128,100000)</f>
        <v/>
      </c>
      <c r="H128" s="2" t="n"/>
      <c r="I128" s="2" t="n"/>
    </row>
    <row r="129">
      <c r="A129" s="2" t="n">
        <v>37421</v>
      </c>
      <c r="B129" t="n">
        <v>148559.23</v>
      </c>
      <c r="C129" t="n">
        <v>25555.97</v>
      </c>
      <c r="D129" t="n">
        <v>-474.84</v>
      </c>
      <c r="E129">
        <f>D129/MAX($B$2:B129,100000)</f>
        <v/>
      </c>
      <c r="H129" s="2" t="n"/>
      <c r="I129" s="2" t="n"/>
    </row>
    <row r="130">
      <c r="A130" s="2" t="n">
        <v>37428</v>
      </c>
      <c r="B130" t="n">
        <v>148346</v>
      </c>
      <c r="C130" t="n">
        <v>25555.97</v>
      </c>
      <c r="D130" t="n">
        <v>-688.08</v>
      </c>
      <c r="E130">
        <f>D130/MAX($B$2:B130,100000)</f>
        <v/>
      </c>
      <c r="H130" s="2" t="n"/>
      <c r="I130" s="2" t="n"/>
    </row>
    <row r="131">
      <c r="A131" s="2" t="n">
        <v>37435</v>
      </c>
      <c r="B131" t="n">
        <v>146805.89</v>
      </c>
      <c r="C131" t="n">
        <v>25555.97</v>
      </c>
      <c r="D131" t="n">
        <v>-2228.19</v>
      </c>
      <c r="E131">
        <f>D131/MAX($B$2:B131,100000)</f>
        <v/>
      </c>
      <c r="H131" s="2" t="n"/>
      <c r="I131" s="2" t="n"/>
    </row>
    <row r="132">
      <c r="A132" s="2" t="n">
        <v>37442</v>
      </c>
      <c r="B132" t="n">
        <v>146516.56</v>
      </c>
      <c r="C132" t="n">
        <v>25555.97</v>
      </c>
      <c r="D132" t="n">
        <v>-2517.52</v>
      </c>
      <c r="E132">
        <f>D132/MAX($B$2:B132,100000)</f>
        <v/>
      </c>
      <c r="H132" s="2" t="n"/>
      <c r="I132" s="2" t="n"/>
    </row>
    <row r="133">
      <c r="A133" s="2" t="n">
        <v>37449</v>
      </c>
      <c r="B133" t="n">
        <v>146884.31</v>
      </c>
      <c r="C133" t="n">
        <v>25555.97</v>
      </c>
      <c r="D133" t="n">
        <v>-2149.77</v>
      </c>
      <c r="E133">
        <f>D133/MAX($B$2:B133,100000)</f>
        <v/>
      </c>
      <c r="H133" s="2" t="n"/>
      <c r="I133" s="2" t="n"/>
    </row>
    <row r="134">
      <c r="A134" s="2" t="n">
        <v>37456</v>
      </c>
      <c r="B134" t="n">
        <v>144527.77</v>
      </c>
      <c r="C134" t="n">
        <v>34337.39</v>
      </c>
      <c r="D134" t="n">
        <v>-4506.31</v>
      </c>
      <c r="E134">
        <f>D134/MAX($B$2:B134,100000)</f>
        <v/>
      </c>
      <c r="H134" s="2" t="n"/>
      <c r="I134" s="2" t="n"/>
    </row>
    <row r="135">
      <c r="A135" s="2" t="n">
        <v>37463</v>
      </c>
      <c r="B135" t="n">
        <v>143544.25</v>
      </c>
      <c r="C135" t="n">
        <v>34337.39</v>
      </c>
      <c r="D135" t="n">
        <v>-5489.83</v>
      </c>
      <c r="E135">
        <f>D135/MAX($B$2:B135,100000)</f>
        <v/>
      </c>
      <c r="H135" s="2" t="n"/>
      <c r="I135" s="2" t="n"/>
    </row>
    <row r="136">
      <c r="A136" s="2" t="n">
        <v>37470</v>
      </c>
      <c r="B136" t="n">
        <v>144750.44</v>
      </c>
      <c r="C136" t="n">
        <v>34337.39</v>
      </c>
      <c r="D136" t="n">
        <v>-4283.64</v>
      </c>
      <c r="E136">
        <f>D136/MAX($B$2:B136,100000)</f>
        <v/>
      </c>
      <c r="H136" s="2" t="n"/>
      <c r="I136" s="2" t="n"/>
    </row>
    <row r="137">
      <c r="A137" s="2" t="n">
        <v>37477</v>
      </c>
      <c r="B137" t="n">
        <v>145478.14</v>
      </c>
      <c r="C137" t="n">
        <v>34337.39</v>
      </c>
      <c r="D137" t="n">
        <v>-3555.94</v>
      </c>
      <c r="E137">
        <f>D137/MAX($B$2:B137,100000)</f>
        <v/>
      </c>
      <c r="H137" s="2" t="n"/>
      <c r="I137" s="2" t="n"/>
    </row>
    <row r="138">
      <c r="A138" s="2" t="n">
        <v>37484</v>
      </c>
      <c r="B138" t="n">
        <v>146540.91</v>
      </c>
      <c r="C138" t="n">
        <v>34337.39</v>
      </c>
      <c r="D138" t="n">
        <v>-2493.17</v>
      </c>
      <c r="E138">
        <f>D138/MAX($B$2:B138,100000)</f>
        <v/>
      </c>
      <c r="H138" s="2" t="n"/>
      <c r="I138" s="2" t="n"/>
    </row>
    <row r="139">
      <c r="A139" s="2" t="n">
        <v>37491</v>
      </c>
      <c r="B139" t="n">
        <v>145997.75</v>
      </c>
      <c r="C139" t="n">
        <v>34337.39</v>
      </c>
      <c r="D139" t="n">
        <v>-3036.33</v>
      </c>
      <c r="E139">
        <f>D139/MAX($B$2:B139,100000)</f>
        <v/>
      </c>
      <c r="H139" s="2" t="n"/>
      <c r="I139" s="2" t="n"/>
    </row>
    <row r="140">
      <c r="A140" s="2" t="n">
        <v>37498</v>
      </c>
      <c r="B140" t="n">
        <v>147987.59</v>
      </c>
      <c r="C140" t="n">
        <v>34337.39</v>
      </c>
      <c r="D140" t="n">
        <v>-1046.48</v>
      </c>
      <c r="E140">
        <f>D140/MAX($B$2:B140,100000)</f>
        <v/>
      </c>
      <c r="H140" s="2" t="n"/>
      <c r="I140" s="2" t="n"/>
    </row>
    <row r="141">
      <c r="A141" s="2" t="n">
        <v>37505</v>
      </c>
      <c r="B141" t="n">
        <v>147538.77</v>
      </c>
      <c r="C141" t="n">
        <v>34337.39</v>
      </c>
      <c r="D141" t="n">
        <v>-1495.31</v>
      </c>
      <c r="E141">
        <f>D141/MAX($B$2:B141,100000)</f>
        <v/>
      </c>
      <c r="H141" s="2" t="n"/>
      <c r="I141" s="2" t="n"/>
    </row>
    <row r="142">
      <c r="A142" s="2" t="n">
        <v>37512</v>
      </c>
      <c r="B142" t="n">
        <v>147075.16</v>
      </c>
      <c r="C142" t="n">
        <v>34337.39</v>
      </c>
      <c r="D142" t="n">
        <v>-1958.92</v>
      </c>
      <c r="E142">
        <f>D142/MAX($B$2:B142,100000)</f>
        <v/>
      </c>
      <c r="H142" s="2" t="n"/>
      <c r="I142" s="2" t="n"/>
    </row>
    <row r="143">
      <c r="A143" s="2" t="n">
        <v>37519</v>
      </c>
      <c r="B143" t="n">
        <v>147264.59</v>
      </c>
      <c r="C143" t="n">
        <v>43571.58</v>
      </c>
      <c r="D143" t="n">
        <v>-1769.48</v>
      </c>
      <c r="E143">
        <f>D143/MAX($B$2:B143,100000)</f>
        <v/>
      </c>
      <c r="H143" s="2" t="n"/>
      <c r="I143" s="2" t="n"/>
    </row>
    <row r="144">
      <c r="A144" s="2" t="n">
        <v>37526</v>
      </c>
      <c r="B144" t="n">
        <v>147139.16</v>
      </c>
      <c r="C144" t="n">
        <v>43571.58</v>
      </c>
      <c r="D144" t="n">
        <v>-1894.92</v>
      </c>
      <c r="E144">
        <f>D144/MAX($B$2:B144,100000)</f>
        <v/>
      </c>
      <c r="H144" s="2" t="n"/>
      <c r="I144" s="2" t="n"/>
    </row>
    <row r="145">
      <c r="A145" s="2" t="n">
        <v>37533</v>
      </c>
      <c r="B145" t="n">
        <v>146793.03</v>
      </c>
      <c r="C145" t="n">
        <v>43571.58</v>
      </c>
      <c r="D145" t="n">
        <v>-2241.05</v>
      </c>
      <c r="E145">
        <f>D145/MAX($B$2:B145,100000)</f>
        <v/>
      </c>
      <c r="H145" s="2" t="n"/>
      <c r="I145" s="2" t="n"/>
    </row>
    <row r="146">
      <c r="A146" s="2" t="n">
        <v>37540</v>
      </c>
      <c r="B146" t="n">
        <v>146258.13</v>
      </c>
      <c r="C146" t="n">
        <v>59610.24</v>
      </c>
      <c r="D146" t="n">
        <v>-2775.95</v>
      </c>
      <c r="E146">
        <f>D146/MAX($B$2:B146,100000)</f>
        <v/>
      </c>
      <c r="H146" s="2" t="n"/>
      <c r="I146" s="2" t="n"/>
    </row>
    <row r="147">
      <c r="A147" s="2" t="n">
        <v>37547</v>
      </c>
      <c r="B147" t="n">
        <v>147363.41</v>
      </c>
      <c r="C147" t="n">
        <v>59610.24</v>
      </c>
      <c r="D147" t="n">
        <v>-1670.67</v>
      </c>
      <c r="E147">
        <f>D147/MAX($B$2:B147,100000)</f>
        <v/>
      </c>
      <c r="H147" s="2" t="n"/>
      <c r="I147" s="2" t="n"/>
    </row>
    <row r="148">
      <c r="A148" s="2" t="n">
        <v>37554</v>
      </c>
      <c r="B148" t="n">
        <v>147211.45</v>
      </c>
      <c r="C148" t="n">
        <v>59610.24</v>
      </c>
      <c r="D148" t="n">
        <v>-1822.63</v>
      </c>
      <c r="E148">
        <f>D148/MAX($B$2:B148,100000)</f>
        <v/>
      </c>
      <c r="H148" s="2" t="n"/>
      <c r="I148" s="2" t="n"/>
    </row>
    <row r="149">
      <c r="A149" s="2" t="n">
        <v>37561</v>
      </c>
      <c r="B149" t="n">
        <v>147065.02</v>
      </c>
      <c r="C149" t="n">
        <v>59610.24</v>
      </c>
      <c r="D149" t="n">
        <v>-1969.06</v>
      </c>
      <c r="E149">
        <f>D149/MAX($B$2:B149,100000)</f>
        <v/>
      </c>
      <c r="H149" s="2" t="n"/>
      <c r="I149" s="2" t="n"/>
    </row>
    <row r="150">
      <c r="A150" s="2" t="n">
        <v>37568</v>
      </c>
      <c r="B150" t="n">
        <v>146480.95</v>
      </c>
      <c r="C150" t="n">
        <v>59610.24</v>
      </c>
      <c r="D150" t="n">
        <v>-2553.13</v>
      </c>
      <c r="E150">
        <f>D150/MAX($B$2:B150,100000)</f>
        <v/>
      </c>
      <c r="H150" s="2" t="n"/>
      <c r="I150" s="2" t="n"/>
    </row>
    <row r="151">
      <c r="A151" s="2" t="n">
        <v>37575</v>
      </c>
      <c r="B151" t="n">
        <v>146915.67</v>
      </c>
      <c r="C151" t="n">
        <v>59610.24</v>
      </c>
      <c r="D151" t="n">
        <v>-2118.41</v>
      </c>
      <c r="E151">
        <f>D151/MAX($B$2:B151,100000)</f>
        <v/>
      </c>
      <c r="H151" s="2" t="n"/>
      <c r="I151" s="2" t="n"/>
    </row>
    <row r="152">
      <c r="A152" s="2" t="n">
        <v>37582</v>
      </c>
      <c r="B152" t="n">
        <v>147697</v>
      </c>
      <c r="C152" t="n">
        <v>59610.24</v>
      </c>
      <c r="D152" t="n">
        <v>-1337.08</v>
      </c>
      <c r="E152">
        <f>D152/MAX($B$2:B152,100000)</f>
        <v/>
      </c>
      <c r="H152" s="2" t="n"/>
      <c r="I152" s="2" t="n"/>
    </row>
    <row r="153">
      <c r="A153" s="2" t="n">
        <v>37589</v>
      </c>
      <c r="B153" t="n">
        <v>148094.52</v>
      </c>
      <c r="C153" t="n">
        <v>59610.24</v>
      </c>
      <c r="D153" t="n">
        <v>-939.5599999999999</v>
      </c>
      <c r="E153">
        <f>D153/MAX($B$2:B153,100000)</f>
        <v/>
      </c>
      <c r="H153" s="2" t="n"/>
      <c r="I153" s="2" t="n"/>
    </row>
    <row r="154">
      <c r="A154" s="2" t="n">
        <v>37596</v>
      </c>
      <c r="B154" t="n">
        <v>147500.2</v>
      </c>
      <c r="C154" t="n">
        <v>4181.34</v>
      </c>
      <c r="D154" t="n">
        <v>-1533.88</v>
      </c>
      <c r="E154">
        <f>D154/MAX($B$2:B154,100000)</f>
        <v/>
      </c>
      <c r="H154" s="2" t="n"/>
      <c r="I154" s="2" t="n"/>
    </row>
    <row r="155">
      <c r="A155" s="2" t="n">
        <v>37603</v>
      </c>
      <c r="B155" t="n">
        <v>149657.06</v>
      </c>
      <c r="C155" t="n">
        <v>4181.34</v>
      </c>
      <c r="D155" t="n">
        <v>0</v>
      </c>
      <c r="E155">
        <f>D155/MAX($B$2:B155,100000)</f>
        <v/>
      </c>
      <c r="H155" s="2" t="n"/>
      <c r="I155" s="2" t="n"/>
    </row>
    <row r="156">
      <c r="A156" s="2" t="n">
        <v>37610</v>
      </c>
      <c r="B156" t="n">
        <v>149327.52</v>
      </c>
      <c r="C156" t="n">
        <v>4181.34</v>
      </c>
      <c r="D156" t="n">
        <v>-329.55</v>
      </c>
      <c r="E156">
        <f>D156/MAX($B$2:B156,100000)</f>
        <v/>
      </c>
      <c r="H156" s="2" t="n"/>
      <c r="I156" s="2" t="n"/>
    </row>
    <row r="157">
      <c r="A157" s="2" t="n">
        <v>37617</v>
      </c>
      <c r="B157" t="n">
        <v>150250.89</v>
      </c>
      <c r="C157" t="n">
        <v>12545.76</v>
      </c>
      <c r="D157" t="n">
        <v>0</v>
      </c>
      <c r="E157">
        <f>D157/MAX($B$2:B157,100000)</f>
        <v/>
      </c>
      <c r="H157" s="2" t="n"/>
      <c r="I157" s="2" t="n"/>
    </row>
    <row r="158">
      <c r="A158" s="2" t="n">
        <v>37624</v>
      </c>
      <c r="B158" t="n">
        <v>151516.17</v>
      </c>
      <c r="C158" t="n">
        <v>2473.03</v>
      </c>
      <c r="D158" t="n">
        <v>0</v>
      </c>
      <c r="E158">
        <f>D158/MAX($B$2:B158,100000)</f>
        <v/>
      </c>
      <c r="H158" s="2" t="n"/>
      <c r="I158" s="2" t="n"/>
    </row>
    <row r="159">
      <c r="A159" s="2" t="n">
        <v>37631</v>
      </c>
      <c r="B159" t="n">
        <v>154075.11</v>
      </c>
      <c r="C159" t="n">
        <v>2473.03</v>
      </c>
      <c r="D159" t="n">
        <v>0</v>
      </c>
      <c r="E159">
        <f>D159/MAX($B$2:B159,100000)</f>
        <v/>
      </c>
      <c r="H159" s="2" t="n"/>
      <c r="I159" s="2" t="n"/>
    </row>
    <row r="160">
      <c r="A160" s="2" t="n">
        <v>37638</v>
      </c>
      <c r="B160" t="n">
        <v>152649.64</v>
      </c>
      <c r="C160" t="n">
        <v>2473.03</v>
      </c>
      <c r="D160" t="n">
        <v>-1425.47</v>
      </c>
      <c r="E160">
        <f>D160/MAX($B$2:B160,100000)</f>
        <v/>
      </c>
      <c r="H160" s="2" t="n"/>
      <c r="I160" s="2" t="n"/>
    </row>
    <row r="161">
      <c r="A161" s="2" t="n">
        <v>37645</v>
      </c>
      <c r="B161" t="n">
        <v>154400.55</v>
      </c>
      <c r="C161" t="n">
        <v>2473.03</v>
      </c>
      <c r="D161" t="n">
        <v>0</v>
      </c>
      <c r="E161">
        <f>D161/MAX($B$2:B161,100000)</f>
        <v/>
      </c>
      <c r="H161" s="2" t="n"/>
      <c r="I161" s="2" t="n"/>
    </row>
    <row r="162">
      <c r="A162" s="2" t="n">
        <v>37652</v>
      </c>
      <c r="B162" t="n">
        <v>153107.67</v>
      </c>
      <c r="C162" t="n">
        <v>2473.03</v>
      </c>
      <c r="D162" t="n">
        <v>-1292.88</v>
      </c>
      <c r="E162">
        <f>D162/MAX($B$2:B162,100000)</f>
        <v/>
      </c>
      <c r="H162" s="2" t="n"/>
      <c r="I162" s="2" t="n"/>
    </row>
    <row r="163">
      <c r="A163" s="2" t="n">
        <v>37659</v>
      </c>
      <c r="B163" t="n">
        <v>152803.22</v>
      </c>
      <c r="C163" t="n">
        <v>2473.03</v>
      </c>
      <c r="D163" t="n">
        <v>-1597.33</v>
      </c>
      <c r="E163">
        <f>D163/MAX($B$2:B163,100000)</f>
        <v/>
      </c>
      <c r="H163" s="2" t="n"/>
      <c r="I163" s="2" t="n"/>
    </row>
    <row r="164">
      <c r="A164" s="2" t="n">
        <v>37666</v>
      </c>
      <c r="B164" t="n">
        <v>151671.08</v>
      </c>
      <c r="C164" t="n">
        <v>2473.03</v>
      </c>
      <c r="D164" t="n">
        <v>-2729.47</v>
      </c>
      <c r="E164">
        <f>D164/MAX($B$2:B164,100000)</f>
        <v/>
      </c>
      <c r="H164" s="2" t="n"/>
      <c r="I164" s="2" t="n"/>
    </row>
    <row r="165">
      <c r="A165" s="2" t="n">
        <v>37673</v>
      </c>
      <c r="B165" t="n">
        <v>153698.91</v>
      </c>
      <c r="C165" t="n">
        <v>13996.86</v>
      </c>
      <c r="D165" t="n">
        <v>-701.64</v>
      </c>
      <c r="E165">
        <f>D165/MAX($B$2:B165,100000)</f>
        <v/>
      </c>
      <c r="H165" s="2" t="n"/>
      <c r="I165" s="2" t="n"/>
    </row>
    <row r="166">
      <c r="A166" s="2" t="n">
        <v>37680</v>
      </c>
      <c r="B166" t="n">
        <v>151838.22</v>
      </c>
      <c r="C166" t="n">
        <v>13996.86</v>
      </c>
      <c r="D166" t="n">
        <v>-2562.33</v>
      </c>
      <c r="E166">
        <f>D166/MAX($B$2:B166,100000)</f>
        <v/>
      </c>
      <c r="H166" s="2" t="n"/>
      <c r="I166" s="2" t="n"/>
    </row>
    <row r="167">
      <c r="A167" s="2" t="n">
        <v>37687</v>
      </c>
      <c r="B167" t="n">
        <v>151812.02</v>
      </c>
      <c r="C167" t="n">
        <v>13996.86</v>
      </c>
      <c r="D167" t="n">
        <v>-2588.53</v>
      </c>
      <c r="E167">
        <f>D167/MAX($B$2:B167,100000)</f>
        <v/>
      </c>
      <c r="H167" s="2" t="n"/>
      <c r="I167" s="2" t="n"/>
    </row>
    <row r="168">
      <c r="A168" s="2" t="n">
        <v>37694</v>
      </c>
      <c r="B168" t="n">
        <v>150233.45</v>
      </c>
      <c r="C168" t="n">
        <v>13996.86</v>
      </c>
      <c r="D168" t="n">
        <v>-4167.09</v>
      </c>
      <c r="E168">
        <f>D168/MAX($B$2:B168,100000)</f>
        <v/>
      </c>
      <c r="H168" s="2" t="n"/>
      <c r="I168" s="2" t="n"/>
    </row>
    <row r="169">
      <c r="A169" s="2" t="n">
        <v>37701</v>
      </c>
      <c r="B169" t="n">
        <v>154397.31</v>
      </c>
      <c r="C169" t="n">
        <v>21078.23</v>
      </c>
      <c r="D169" t="n">
        <v>-3.23</v>
      </c>
      <c r="E169">
        <f>D169/MAX($B$2:B169,100000)</f>
        <v/>
      </c>
      <c r="H169" s="2" t="n"/>
      <c r="I169" s="2" t="n"/>
    </row>
    <row r="170">
      <c r="A170" s="2" t="n">
        <v>37708</v>
      </c>
      <c r="B170" t="n">
        <v>156583.75</v>
      </c>
      <c r="C170" t="n">
        <v>21078.23</v>
      </c>
      <c r="D170" t="n">
        <v>0</v>
      </c>
      <c r="E170">
        <f>D170/MAX($B$2:B170,100000)</f>
        <v/>
      </c>
      <c r="H170" s="2" t="n"/>
      <c r="I170" s="2" t="n"/>
    </row>
    <row r="171">
      <c r="A171" s="2" t="n">
        <v>37715</v>
      </c>
      <c r="B171" t="n">
        <v>157428.36</v>
      </c>
      <c r="C171" t="n">
        <v>21078.23</v>
      </c>
      <c r="D171" t="n">
        <v>0</v>
      </c>
      <c r="E171">
        <f>D171/MAX($B$2:B171,100000)</f>
        <v/>
      </c>
      <c r="H171" s="2" t="n"/>
      <c r="I171" s="2" t="n"/>
    </row>
    <row r="172">
      <c r="A172" s="2" t="n">
        <v>37722</v>
      </c>
      <c r="B172" t="n">
        <v>159667.09</v>
      </c>
      <c r="C172" t="n">
        <v>3110.97</v>
      </c>
      <c r="D172" t="n">
        <v>0</v>
      </c>
      <c r="E172">
        <f>D172/MAX($B$2:B172,100000)</f>
        <v/>
      </c>
      <c r="H172" s="2" t="n"/>
      <c r="I172" s="2" t="n"/>
    </row>
    <row r="173">
      <c r="A173" s="2" t="n">
        <v>37728</v>
      </c>
      <c r="B173" t="n">
        <v>158455.09</v>
      </c>
      <c r="C173" t="n">
        <v>3110.97</v>
      </c>
      <c r="D173" t="n">
        <v>-1212</v>
      </c>
      <c r="E173">
        <f>D173/MAX($B$2:B173,100000)</f>
        <v/>
      </c>
      <c r="H173" s="2" t="n"/>
      <c r="I173" s="2" t="n"/>
    </row>
    <row r="174">
      <c r="A174" s="2" t="n">
        <v>37735</v>
      </c>
      <c r="B174" t="n">
        <v>159650.98</v>
      </c>
      <c r="C174" t="n">
        <v>3110.97</v>
      </c>
      <c r="D174" t="n">
        <v>-16.11</v>
      </c>
      <c r="E174">
        <f>D174/MAX($B$2:B174,100000)</f>
        <v/>
      </c>
      <c r="H174" s="2" t="n"/>
      <c r="I174" s="2" t="n"/>
    </row>
    <row r="175">
      <c r="A175" s="2" t="n">
        <v>37743</v>
      </c>
      <c r="B175" t="n">
        <v>161121.27</v>
      </c>
      <c r="C175" t="n">
        <v>3110.97</v>
      </c>
      <c r="D175" t="n">
        <v>0</v>
      </c>
      <c r="E175">
        <f>D175/MAX($B$2:B175,100000)</f>
        <v/>
      </c>
      <c r="H175" s="2" t="n"/>
      <c r="I175" s="2" t="n"/>
    </row>
    <row r="176">
      <c r="A176" s="2" t="n">
        <v>37750</v>
      </c>
      <c r="B176" t="n">
        <v>163897.13</v>
      </c>
      <c r="C176" t="n">
        <v>3110.97</v>
      </c>
      <c r="D176" t="n">
        <v>0</v>
      </c>
      <c r="E176">
        <f>D176/MAX($B$2:B176,100000)</f>
        <v/>
      </c>
      <c r="H176" s="2" t="n"/>
      <c r="I176" s="2" t="n"/>
    </row>
    <row r="177">
      <c r="A177" s="2" t="n">
        <v>37757</v>
      </c>
      <c r="B177" t="n">
        <v>162464.67</v>
      </c>
      <c r="C177" t="n">
        <v>3110.97</v>
      </c>
      <c r="D177" t="n">
        <v>-1432.45</v>
      </c>
      <c r="E177">
        <f>D177/MAX($B$2:B177,100000)</f>
        <v/>
      </c>
      <c r="H177" s="2" t="n"/>
      <c r="I177" s="2" t="n"/>
    </row>
    <row r="178">
      <c r="A178" s="2" t="n">
        <v>37764</v>
      </c>
      <c r="B178" t="n">
        <v>166761.3</v>
      </c>
      <c r="C178" t="n">
        <v>3110.97</v>
      </c>
      <c r="D178" t="n">
        <v>0</v>
      </c>
      <c r="E178">
        <f>D178/MAX($B$2:B178,100000)</f>
        <v/>
      </c>
      <c r="H178" s="2" t="n"/>
      <c r="I178" s="2" t="n"/>
    </row>
    <row r="179">
      <c r="A179" s="2" t="n">
        <v>37771</v>
      </c>
      <c r="B179" t="n">
        <v>167777.19</v>
      </c>
      <c r="C179" t="n">
        <v>3110.97</v>
      </c>
      <c r="D179" t="n">
        <v>0</v>
      </c>
      <c r="E179">
        <f>D179/MAX($B$2:B179,100000)</f>
        <v/>
      </c>
      <c r="H179" s="2" t="n"/>
      <c r="I179" s="2" t="n"/>
    </row>
    <row r="180">
      <c r="A180" s="2" t="n">
        <v>37778</v>
      </c>
      <c r="B180" t="n">
        <v>168581.02</v>
      </c>
      <c r="C180" t="n">
        <v>3110.97</v>
      </c>
      <c r="D180" t="n">
        <v>0</v>
      </c>
      <c r="E180">
        <f>D180/MAX($B$2:B180,100000)</f>
        <v/>
      </c>
      <c r="H180" s="2" t="n"/>
      <c r="I180" s="2" t="n"/>
    </row>
    <row r="181">
      <c r="A181" s="2" t="n">
        <v>37785</v>
      </c>
      <c r="B181" t="n">
        <v>170187.33</v>
      </c>
      <c r="C181" t="n">
        <v>3110.97</v>
      </c>
      <c r="D181" t="n">
        <v>0</v>
      </c>
      <c r="E181">
        <f>D181/MAX($B$2:B181,100000)</f>
        <v/>
      </c>
      <c r="H181" s="2" t="n"/>
      <c r="I181" s="2" t="n"/>
    </row>
    <row r="182">
      <c r="A182" s="2" t="n">
        <v>37792</v>
      </c>
      <c r="B182" t="n">
        <v>173807.28</v>
      </c>
      <c r="C182" t="n">
        <v>3110.97</v>
      </c>
      <c r="D182" t="n">
        <v>0</v>
      </c>
      <c r="E182">
        <f>D182/MAX($B$2:B182,100000)</f>
        <v/>
      </c>
      <c r="H182" s="2" t="n"/>
      <c r="I182" s="2" t="n"/>
    </row>
    <row r="183">
      <c r="A183" s="2" t="n">
        <v>37799</v>
      </c>
      <c r="B183" t="n">
        <v>172530</v>
      </c>
      <c r="C183" t="n">
        <v>3110.97</v>
      </c>
      <c r="D183" t="n">
        <v>-1277.28</v>
      </c>
      <c r="E183">
        <f>D183/MAX($B$2:B183,100000)</f>
        <v/>
      </c>
      <c r="H183" s="2" t="n"/>
      <c r="I183" s="2" t="n"/>
    </row>
    <row r="184">
      <c r="A184" s="2" t="n">
        <v>37806</v>
      </c>
      <c r="B184" t="n">
        <v>171831.41</v>
      </c>
      <c r="C184" t="n">
        <v>3110.97</v>
      </c>
      <c r="D184" t="n">
        <v>-1975.88</v>
      </c>
      <c r="E184">
        <f>D184/MAX($B$2:B184,100000)</f>
        <v/>
      </c>
      <c r="H184" s="2" t="n"/>
      <c r="I184" s="2" t="n"/>
    </row>
    <row r="185">
      <c r="A185" s="2" t="n">
        <v>37813</v>
      </c>
      <c r="B185" t="n">
        <v>170945.11</v>
      </c>
      <c r="C185" t="n">
        <v>3110.97</v>
      </c>
      <c r="D185" t="n">
        <v>-2862.17</v>
      </c>
      <c r="E185">
        <f>D185/MAX($B$2:B185,100000)</f>
        <v/>
      </c>
      <c r="H185" s="2" t="n"/>
      <c r="I185" s="2" t="n"/>
    </row>
    <row r="186">
      <c r="A186" s="2" t="n">
        <v>37820</v>
      </c>
      <c r="B186" t="n">
        <v>172330.61</v>
      </c>
      <c r="C186" t="n">
        <v>3110.97</v>
      </c>
      <c r="D186" t="n">
        <v>-1476.67</v>
      </c>
      <c r="E186">
        <f>D186/MAX($B$2:B186,100000)</f>
        <v/>
      </c>
      <c r="H186" s="2" t="n"/>
      <c r="I186" s="2" t="n"/>
    </row>
    <row r="187">
      <c r="A187" s="2" t="n">
        <v>37827</v>
      </c>
      <c r="B187" t="n">
        <v>171548.3</v>
      </c>
      <c r="C187" t="n">
        <v>2537.53</v>
      </c>
      <c r="D187" t="n">
        <v>-2258.98</v>
      </c>
      <c r="E187">
        <f>D187/MAX($B$2:B187,100000)</f>
        <v/>
      </c>
      <c r="H187" s="2" t="n"/>
      <c r="I187" s="2" t="n"/>
    </row>
    <row r="188">
      <c r="A188" s="2" t="n">
        <v>37834</v>
      </c>
      <c r="B188" t="n">
        <v>174831.55</v>
      </c>
      <c r="C188" t="n">
        <v>2537.53</v>
      </c>
      <c r="D188" t="n">
        <v>0</v>
      </c>
      <c r="E188">
        <f>D188/MAX($B$2:B188,100000)</f>
        <v/>
      </c>
      <c r="H188" s="2" t="n"/>
      <c r="I188" s="2" t="n"/>
    </row>
    <row r="189">
      <c r="A189" s="2" t="n">
        <v>37841</v>
      </c>
      <c r="B189" t="n">
        <v>174228.86</v>
      </c>
      <c r="C189" t="n">
        <v>2537.53</v>
      </c>
      <c r="D189" t="n">
        <v>-602.6900000000001</v>
      </c>
      <c r="E189">
        <f>D189/MAX($B$2:B189,100000)</f>
        <v/>
      </c>
      <c r="H189" s="2" t="n"/>
      <c r="I189" s="2" t="n"/>
    </row>
    <row r="190">
      <c r="A190" s="2" t="n">
        <v>37848</v>
      </c>
      <c r="B190" t="n">
        <v>174995.22</v>
      </c>
      <c r="C190" t="n">
        <v>2537.53</v>
      </c>
      <c r="D190" t="n">
        <v>0</v>
      </c>
      <c r="E190">
        <f>D190/MAX($B$2:B190,100000)</f>
        <v/>
      </c>
      <c r="H190" s="2" t="n"/>
      <c r="I190" s="2" t="n"/>
    </row>
    <row r="191">
      <c r="A191" s="2" t="n">
        <v>37855</v>
      </c>
      <c r="B191" t="n">
        <v>176200.73</v>
      </c>
      <c r="C191" t="n">
        <v>2537.53</v>
      </c>
      <c r="D191" t="n">
        <v>0</v>
      </c>
      <c r="E191">
        <f>D191/MAX($B$2:B191,100000)</f>
        <v/>
      </c>
      <c r="H191" s="2" t="n"/>
      <c r="I191" s="2" t="n"/>
    </row>
    <row r="192">
      <c r="A192" s="2" t="n">
        <v>37862</v>
      </c>
      <c r="B192" t="n">
        <v>176073.41</v>
      </c>
      <c r="C192" t="n">
        <v>2537.53</v>
      </c>
      <c r="D192" t="n">
        <v>-127.33</v>
      </c>
      <c r="E192">
        <f>D192/MAX($B$2:B192,100000)</f>
        <v/>
      </c>
      <c r="H192" s="2" t="n"/>
      <c r="I192" s="2" t="n"/>
    </row>
    <row r="193">
      <c r="A193" s="2" t="n">
        <v>37869</v>
      </c>
      <c r="B193" t="n">
        <v>176234.55</v>
      </c>
      <c r="C193" t="n">
        <v>2537.53</v>
      </c>
      <c r="D193" t="n">
        <v>0</v>
      </c>
      <c r="E193">
        <f>D193/MAX($B$2:B193,100000)</f>
        <v/>
      </c>
      <c r="H193" s="2" t="n"/>
      <c r="I193" s="2" t="n"/>
    </row>
    <row r="194">
      <c r="A194" s="2" t="n">
        <v>37876</v>
      </c>
      <c r="B194" t="n">
        <v>175701.94</v>
      </c>
      <c r="C194" t="n">
        <v>2537.53</v>
      </c>
      <c r="D194" t="n">
        <v>-532.61</v>
      </c>
      <c r="E194">
        <f>D194/MAX($B$2:B194,100000)</f>
        <v/>
      </c>
      <c r="H194" s="2" t="n"/>
      <c r="I194" s="2" t="n"/>
    </row>
    <row r="195">
      <c r="A195" s="2" t="n">
        <v>37883</v>
      </c>
      <c r="B195" t="n">
        <v>180265.78</v>
      </c>
      <c r="C195" t="n">
        <v>2537.53</v>
      </c>
      <c r="D195" t="n">
        <v>0</v>
      </c>
      <c r="E195">
        <f>D195/MAX($B$2:B195,100000)</f>
        <v/>
      </c>
      <c r="H195" s="2" t="n"/>
      <c r="I195" s="2" t="n"/>
    </row>
    <row r="196">
      <c r="A196" s="2" t="n">
        <v>37890</v>
      </c>
      <c r="B196" t="n">
        <v>179337.3</v>
      </c>
      <c r="C196" t="n">
        <v>2537.53</v>
      </c>
      <c r="D196" t="n">
        <v>-928.48</v>
      </c>
      <c r="E196">
        <f>D196/MAX($B$2:B196,100000)</f>
        <v/>
      </c>
      <c r="H196" s="2" t="n"/>
      <c r="I196" s="2" t="n"/>
    </row>
    <row r="197">
      <c r="A197" s="2" t="n">
        <v>37897</v>
      </c>
      <c r="B197" t="n">
        <v>179964.25</v>
      </c>
      <c r="C197" t="n">
        <v>2537.53</v>
      </c>
      <c r="D197" t="n">
        <v>-301.53</v>
      </c>
      <c r="E197">
        <f>D197/MAX($B$2:B197,100000)</f>
        <v/>
      </c>
      <c r="H197" s="2" t="n"/>
      <c r="I197" s="2" t="n"/>
    </row>
    <row r="198">
      <c r="A198" s="2" t="n">
        <v>37904</v>
      </c>
      <c r="B198" t="n">
        <v>184530.8</v>
      </c>
      <c r="C198" t="n">
        <v>2537.53</v>
      </c>
      <c r="D198" t="n">
        <v>0</v>
      </c>
      <c r="E198">
        <f>D198/MAX($B$2:B198,100000)</f>
        <v/>
      </c>
      <c r="H198" s="2" t="n"/>
      <c r="I198" s="2" t="n"/>
    </row>
    <row r="199">
      <c r="A199" s="2" t="n">
        <v>37911</v>
      </c>
      <c r="B199" t="n">
        <v>185054.78</v>
      </c>
      <c r="C199" t="n">
        <v>2537.53</v>
      </c>
      <c r="D199" t="n">
        <v>0</v>
      </c>
      <c r="E199">
        <f>D199/MAX($B$2:B199,100000)</f>
        <v/>
      </c>
      <c r="H199" s="2" t="n"/>
      <c r="I199" s="2" t="n"/>
    </row>
    <row r="200">
      <c r="A200" s="2" t="n">
        <v>37918</v>
      </c>
      <c r="B200" t="n">
        <v>185031.92</v>
      </c>
      <c r="C200" t="n">
        <v>2537.53</v>
      </c>
      <c r="D200" t="n">
        <v>-22.86</v>
      </c>
      <c r="E200">
        <f>D200/MAX($B$2:B200,100000)</f>
        <v/>
      </c>
      <c r="H200" s="2" t="n"/>
      <c r="I200" s="2" t="n"/>
    </row>
    <row r="201">
      <c r="A201" s="2" t="n">
        <v>37925</v>
      </c>
      <c r="B201" t="n">
        <v>182528.42</v>
      </c>
      <c r="C201" t="n">
        <v>2537.53</v>
      </c>
      <c r="D201" t="n">
        <v>-2526.36</v>
      </c>
      <c r="E201">
        <f>D201/MAX($B$2:B201,100000)</f>
        <v/>
      </c>
      <c r="H201" s="2" t="n"/>
      <c r="I201" s="2" t="n"/>
    </row>
    <row r="202">
      <c r="A202" s="2" t="n">
        <v>37932</v>
      </c>
      <c r="B202" t="n">
        <v>183204.27</v>
      </c>
      <c r="C202" t="n">
        <v>2537.53</v>
      </c>
      <c r="D202" t="n">
        <v>-1850.52</v>
      </c>
      <c r="E202">
        <f>D202/MAX($B$2:B202,100000)</f>
        <v/>
      </c>
      <c r="H202" s="2" t="n"/>
      <c r="I202" s="2" t="n"/>
    </row>
    <row r="203">
      <c r="A203" s="2" t="n">
        <v>37939</v>
      </c>
      <c r="B203" t="n">
        <v>179913.95</v>
      </c>
      <c r="C203" t="n">
        <v>13788.28</v>
      </c>
      <c r="D203" t="n">
        <v>-5140.83</v>
      </c>
      <c r="E203">
        <f>D203/MAX($B$2:B203,100000)</f>
        <v/>
      </c>
      <c r="H203" s="2" t="n"/>
      <c r="I203" s="2" t="n"/>
    </row>
    <row r="204">
      <c r="A204" s="2" t="n">
        <v>37946</v>
      </c>
      <c r="B204" t="n">
        <v>180217.58</v>
      </c>
      <c r="C204" t="n">
        <v>43543.07</v>
      </c>
      <c r="D204" t="n">
        <v>-4837.2</v>
      </c>
      <c r="E204">
        <f>D204/MAX($B$2:B204,100000)</f>
        <v/>
      </c>
      <c r="H204" s="2" t="n"/>
      <c r="I204" s="2" t="n"/>
    </row>
    <row r="205">
      <c r="A205" s="2" t="n">
        <v>37953</v>
      </c>
      <c r="B205" t="n">
        <v>179976.59</v>
      </c>
      <c r="C205" t="n">
        <v>43543.07</v>
      </c>
      <c r="D205" t="n">
        <v>-5078.19</v>
      </c>
      <c r="E205">
        <f>D205/MAX($B$2:B205,100000)</f>
        <v/>
      </c>
      <c r="H205" s="2" t="n"/>
      <c r="I205" s="2" t="n"/>
    </row>
    <row r="206">
      <c r="A206" s="2" t="n">
        <v>37960</v>
      </c>
      <c r="B206" t="n">
        <v>182087.03</v>
      </c>
      <c r="C206" t="n">
        <v>43543.07</v>
      </c>
      <c r="D206" t="n">
        <v>-2967.75</v>
      </c>
      <c r="E206">
        <f>D206/MAX($B$2:B206,100000)</f>
        <v/>
      </c>
      <c r="H206" s="2" t="n"/>
      <c r="I206" s="2" t="n"/>
    </row>
    <row r="207">
      <c r="A207" s="2" t="n">
        <v>37967</v>
      </c>
      <c r="B207" t="n">
        <v>180131.09</v>
      </c>
      <c r="C207" t="n">
        <v>43543.07</v>
      </c>
      <c r="D207" t="n">
        <v>-4923.69</v>
      </c>
      <c r="E207">
        <f>D207/MAX($B$2:B207,100000)</f>
        <v/>
      </c>
      <c r="H207" s="2" t="n"/>
      <c r="I207" s="2" t="n"/>
    </row>
    <row r="208">
      <c r="A208" s="2" t="n">
        <v>37974</v>
      </c>
      <c r="B208" t="n">
        <v>183760.84</v>
      </c>
      <c r="C208" t="n">
        <v>43543.07</v>
      </c>
      <c r="D208" t="n">
        <v>-1293.94</v>
      </c>
      <c r="E208">
        <f>D208/MAX($B$2:B208,100000)</f>
        <v/>
      </c>
      <c r="H208" s="2" t="n"/>
      <c r="I208" s="2" t="n"/>
    </row>
    <row r="209">
      <c r="A209" s="2" t="n">
        <v>37979</v>
      </c>
      <c r="B209" t="n">
        <v>187333.67</v>
      </c>
      <c r="C209" t="n">
        <v>8950.549999999999</v>
      </c>
      <c r="D209" t="n">
        <v>0</v>
      </c>
      <c r="E209">
        <f>D209/MAX($B$2:B209,100000)</f>
        <v/>
      </c>
      <c r="H209" s="2" t="n"/>
      <c r="I209" s="2" t="n"/>
    </row>
    <row r="210">
      <c r="A210" s="2" t="n">
        <v>37988</v>
      </c>
      <c r="B210" t="n">
        <v>190651.8</v>
      </c>
      <c r="C210" t="n">
        <v>8950.549999999999</v>
      </c>
      <c r="D210" t="n">
        <v>0</v>
      </c>
      <c r="E210">
        <f>D210/MAX($B$2:B210,100000)</f>
        <v/>
      </c>
      <c r="H210" s="2" t="n"/>
      <c r="I210" s="2" t="n"/>
    </row>
    <row r="211">
      <c r="A211" s="2" t="n">
        <v>37995</v>
      </c>
      <c r="B211" t="n">
        <v>191059.83</v>
      </c>
      <c r="C211" t="n">
        <v>8950.549999999999</v>
      </c>
      <c r="D211" t="n">
        <v>0</v>
      </c>
      <c r="E211">
        <f>D211/MAX($B$2:B211,100000)</f>
        <v/>
      </c>
      <c r="H211" s="2" t="n"/>
      <c r="I211" s="2" t="n"/>
    </row>
    <row r="212">
      <c r="A212" s="2" t="n">
        <v>38002</v>
      </c>
      <c r="B212" t="n">
        <v>193277.28</v>
      </c>
      <c r="C212" t="n">
        <v>8950.549999999999</v>
      </c>
      <c r="D212" t="n">
        <v>0</v>
      </c>
      <c r="E212">
        <f>D212/MAX($B$2:B212,100000)</f>
        <v/>
      </c>
      <c r="H212" s="2" t="n"/>
      <c r="I212" s="2" t="n"/>
    </row>
    <row r="213">
      <c r="A213" s="2" t="n">
        <v>38009</v>
      </c>
      <c r="B213" t="n">
        <v>196786.48</v>
      </c>
      <c r="C213" t="n">
        <v>8950.549999999999</v>
      </c>
      <c r="D213" t="n">
        <v>0</v>
      </c>
      <c r="E213">
        <f>D213/MAX($B$2:B213,100000)</f>
        <v/>
      </c>
      <c r="H213" s="2" t="n"/>
      <c r="I213" s="2" t="n"/>
    </row>
    <row r="214">
      <c r="A214" s="2" t="n">
        <v>38016</v>
      </c>
      <c r="B214" t="n">
        <v>191058.34</v>
      </c>
      <c r="C214" t="n">
        <v>8950.549999999999</v>
      </c>
      <c r="D214" t="n">
        <v>-5728.14</v>
      </c>
      <c r="E214">
        <f>D214/MAX($B$2:B214,100000)</f>
        <v/>
      </c>
      <c r="H214" s="2" t="n"/>
      <c r="I214" s="2" t="n"/>
    </row>
    <row r="215">
      <c r="A215" s="2" t="n">
        <v>38023</v>
      </c>
      <c r="B215" t="n">
        <v>190881.97</v>
      </c>
      <c r="C215" t="n">
        <v>8950.549999999999</v>
      </c>
      <c r="D215" t="n">
        <v>-5904.52</v>
      </c>
      <c r="E215">
        <f>D215/MAX($B$2:B215,100000)</f>
        <v/>
      </c>
      <c r="H215" s="2" t="n"/>
      <c r="I215" s="2" t="n"/>
    </row>
    <row r="216">
      <c r="A216" s="2" t="n">
        <v>38030</v>
      </c>
      <c r="B216" t="n">
        <v>196831.98</v>
      </c>
      <c r="C216" t="n">
        <v>8950.549999999999</v>
      </c>
      <c r="D216" t="n">
        <v>0</v>
      </c>
      <c r="E216">
        <f>D216/MAX($B$2:B216,100000)</f>
        <v/>
      </c>
      <c r="H216" s="2" t="n"/>
      <c r="I216" s="2" t="n"/>
    </row>
    <row r="217">
      <c r="A217" s="2" t="n">
        <v>38037</v>
      </c>
      <c r="B217" t="n">
        <v>196349.69</v>
      </c>
      <c r="C217" t="n">
        <v>8950.549999999999</v>
      </c>
      <c r="D217" t="n">
        <v>-482.3</v>
      </c>
      <c r="E217">
        <f>D217/MAX($B$2:B217,100000)</f>
        <v/>
      </c>
      <c r="H217" s="2" t="n"/>
      <c r="I217" s="2" t="n"/>
    </row>
    <row r="218">
      <c r="A218" s="2" t="n">
        <v>38044</v>
      </c>
      <c r="B218" t="n">
        <v>197368.77</v>
      </c>
      <c r="C218" t="n">
        <v>8950.549999999999</v>
      </c>
      <c r="D218" t="n">
        <v>0</v>
      </c>
      <c r="E218">
        <f>D218/MAX($B$2:B218,100000)</f>
        <v/>
      </c>
      <c r="H218" s="2" t="n"/>
      <c r="I218" s="2" t="n"/>
    </row>
    <row r="219">
      <c r="A219" s="2" t="n">
        <v>38051</v>
      </c>
      <c r="B219" t="n">
        <v>199448.73</v>
      </c>
      <c r="C219" t="n">
        <v>8950.549999999999</v>
      </c>
      <c r="D219" t="n">
        <v>0</v>
      </c>
      <c r="E219">
        <f>D219/MAX($B$2:B219,100000)</f>
        <v/>
      </c>
      <c r="H219" s="2" t="n"/>
      <c r="I219" s="2" t="n"/>
    </row>
    <row r="220">
      <c r="A220" s="2" t="n">
        <v>38058</v>
      </c>
      <c r="B220" t="n">
        <v>198334.56</v>
      </c>
      <c r="C220" t="n">
        <v>8950.549999999999</v>
      </c>
      <c r="D220" t="n">
        <v>-1114.17</v>
      </c>
      <c r="E220">
        <f>D220/MAX($B$2:B220,100000)</f>
        <v/>
      </c>
      <c r="H220" s="2" t="n"/>
      <c r="I220" s="2" t="n"/>
    </row>
    <row r="221">
      <c r="A221" s="2" t="n">
        <v>38065</v>
      </c>
      <c r="B221" t="n">
        <v>200423.52</v>
      </c>
      <c r="C221" t="n">
        <v>8950.549999999999</v>
      </c>
      <c r="D221" t="n">
        <v>0</v>
      </c>
      <c r="E221">
        <f>D221/MAX($B$2:B221,100000)</f>
        <v/>
      </c>
      <c r="H221" s="2" t="n"/>
      <c r="I221" s="2" t="n"/>
    </row>
    <row r="222">
      <c r="A222" s="2" t="n">
        <v>38072</v>
      </c>
      <c r="B222" t="n">
        <v>201758.22</v>
      </c>
      <c r="C222" t="n">
        <v>8950.549999999999</v>
      </c>
      <c r="D222" t="n">
        <v>0</v>
      </c>
      <c r="E222">
        <f>D222/MAX($B$2:B222,100000)</f>
        <v/>
      </c>
      <c r="H222" s="2" t="n"/>
      <c r="I222" s="2" t="n"/>
    </row>
    <row r="223">
      <c r="A223" s="2" t="n">
        <v>38079</v>
      </c>
      <c r="B223" t="n">
        <v>205096.47</v>
      </c>
      <c r="C223" t="n">
        <v>8950.549999999999</v>
      </c>
      <c r="D223" t="n">
        <v>0</v>
      </c>
      <c r="E223">
        <f>D223/MAX($B$2:B223,100000)</f>
        <v/>
      </c>
      <c r="H223" s="2" t="n"/>
      <c r="I223" s="2" t="n"/>
    </row>
    <row r="224">
      <c r="A224" s="2" t="n">
        <v>38085</v>
      </c>
      <c r="B224" t="n">
        <v>204810.31</v>
      </c>
      <c r="C224" t="n">
        <v>8950.549999999999</v>
      </c>
      <c r="D224" t="n">
        <v>-286.16</v>
      </c>
      <c r="E224">
        <f>D224/MAX($B$2:B224,100000)</f>
        <v/>
      </c>
      <c r="H224" s="2" t="n"/>
      <c r="I224" s="2" t="n"/>
    </row>
    <row r="225">
      <c r="A225" s="2" t="n">
        <v>38093</v>
      </c>
      <c r="B225" t="n">
        <v>204120.86</v>
      </c>
      <c r="C225" t="n">
        <v>8950.549999999999</v>
      </c>
      <c r="D225" t="n">
        <v>-975.61</v>
      </c>
      <c r="E225">
        <f>D225/MAX($B$2:B225,100000)</f>
        <v/>
      </c>
      <c r="H225" s="2" t="n"/>
      <c r="I225" s="2" t="n"/>
    </row>
    <row r="226">
      <c r="A226" s="2" t="n">
        <v>38100</v>
      </c>
      <c r="B226" t="n">
        <v>208007.84</v>
      </c>
      <c r="C226" t="n">
        <v>8950.549999999999</v>
      </c>
      <c r="D226" t="n">
        <v>0</v>
      </c>
      <c r="E226">
        <f>D226/MAX($B$2:B226,100000)</f>
        <v/>
      </c>
      <c r="H226" s="2" t="n"/>
      <c r="I226" s="2" t="n"/>
    </row>
    <row r="227">
      <c r="A227" s="2" t="n">
        <v>38107</v>
      </c>
      <c r="B227" t="n">
        <v>205438.86</v>
      </c>
      <c r="C227" t="n">
        <v>5374.27</v>
      </c>
      <c r="D227" t="n">
        <v>-2568.98</v>
      </c>
      <c r="E227">
        <f>D227/MAX($B$2:B227,100000)</f>
        <v/>
      </c>
      <c r="H227" s="2" t="n"/>
      <c r="I227" s="2" t="n"/>
    </row>
    <row r="228">
      <c r="A228" s="2" t="n">
        <v>38114</v>
      </c>
      <c r="B228" t="n">
        <v>208492.41</v>
      </c>
      <c r="C228" t="n">
        <v>5374.27</v>
      </c>
      <c r="D228" t="n">
        <v>0</v>
      </c>
      <c r="E228">
        <f>D228/MAX($B$2:B228,100000)</f>
        <v/>
      </c>
      <c r="H228" s="2" t="n"/>
      <c r="I228" s="2" t="n"/>
    </row>
    <row r="229">
      <c r="A229" s="2" t="n">
        <v>38121</v>
      </c>
      <c r="B229" t="n">
        <v>203036.48</v>
      </c>
      <c r="C229" t="n">
        <v>5374.27</v>
      </c>
      <c r="D229" t="n">
        <v>-5455.92</v>
      </c>
      <c r="E229">
        <f>D229/MAX($B$2:B229,100000)</f>
        <v/>
      </c>
      <c r="H229" s="2" t="n"/>
      <c r="I229" s="2" t="n"/>
    </row>
    <row r="230">
      <c r="A230" s="2" t="n">
        <v>38128</v>
      </c>
      <c r="B230" t="n">
        <v>204909.44</v>
      </c>
      <c r="C230" t="n">
        <v>5374.27</v>
      </c>
      <c r="D230" t="n">
        <v>-3582.97</v>
      </c>
      <c r="E230">
        <f>D230/MAX($B$2:B230,100000)</f>
        <v/>
      </c>
      <c r="H230" s="2" t="n"/>
      <c r="I230" s="2" t="n"/>
    </row>
    <row r="231">
      <c r="A231" s="2" t="n">
        <v>38135</v>
      </c>
      <c r="B231" t="n">
        <v>211647.27</v>
      </c>
      <c r="C231" t="n">
        <v>14888.91</v>
      </c>
      <c r="D231" t="n">
        <v>0</v>
      </c>
      <c r="E231">
        <f>D231/MAX($B$2:B231,100000)</f>
        <v/>
      </c>
      <c r="H231" s="2" t="n"/>
      <c r="I231" s="2" t="n"/>
    </row>
    <row r="232">
      <c r="A232" s="2" t="n">
        <v>38142</v>
      </c>
      <c r="B232" t="n">
        <v>212672.81</v>
      </c>
      <c r="C232" t="n">
        <v>1586.12</v>
      </c>
      <c r="D232" t="n">
        <v>0</v>
      </c>
      <c r="E232">
        <f>D232/MAX($B$2:B232,100000)</f>
        <v/>
      </c>
      <c r="H232" s="2" t="n"/>
      <c r="I232" s="2" t="n"/>
    </row>
    <row r="233">
      <c r="A233" s="2" t="n">
        <v>38149</v>
      </c>
      <c r="B233" t="n">
        <v>212154.83</v>
      </c>
      <c r="C233" t="n">
        <v>1586.12</v>
      </c>
      <c r="D233" t="n">
        <v>-517.98</v>
      </c>
      <c r="E233">
        <f>D233/MAX($B$2:B233,100000)</f>
        <v/>
      </c>
      <c r="H233" s="2" t="n"/>
      <c r="I233" s="2" t="n"/>
    </row>
    <row r="234">
      <c r="A234" s="2" t="n">
        <v>38156</v>
      </c>
      <c r="B234" t="n">
        <v>219033.58</v>
      </c>
      <c r="C234" t="n">
        <v>1586.12</v>
      </c>
      <c r="D234" t="n">
        <v>0</v>
      </c>
      <c r="E234">
        <f>D234/MAX($B$2:B234,100000)</f>
        <v/>
      </c>
      <c r="H234" s="2" t="n"/>
      <c r="I234" s="2" t="n"/>
    </row>
    <row r="235">
      <c r="A235" s="2" t="n">
        <v>38163</v>
      </c>
      <c r="B235" t="n">
        <v>217893.34</v>
      </c>
      <c r="C235" t="n">
        <v>1586.12</v>
      </c>
      <c r="D235" t="n">
        <v>-1140.23</v>
      </c>
      <c r="E235">
        <f>D235/MAX($B$2:B235,100000)</f>
        <v/>
      </c>
      <c r="H235" s="2" t="n"/>
      <c r="I235" s="2" t="n"/>
    </row>
    <row r="236">
      <c r="A236" s="2" t="n">
        <v>38170</v>
      </c>
      <c r="B236" t="n">
        <v>218410.23</v>
      </c>
      <c r="C236" t="n">
        <v>1586.12</v>
      </c>
      <c r="D236" t="n">
        <v>-623.34</v>
      </c>
      <c r="E236">
        <f>D236/MAX($B$2:B236,100000)</f>
        <v/>
      </c>
      <c r="H236" s="2" t="n"/>
      <c r="I236" s="2" t="n"/>
    </row>
    <row r="237">
      <c r="A237" s="2" t="n">
        <v>38177</v>
      </c>
      <c r="B237" t="n">
        <v>221159.08</v>
      </c>
      <c r="C237" t="n">
        <v>1586.12</v>
      </c>
      <c r="D237" t="n">
        <v>0</v>
      </c>
      <c r="E237">
        <f>D237/MAX($B$2:B237,100000)</f>
        <v/>
      </c>
      <c r="H237" s="2" t="n"/>
      <c r="I237" s="2" t="n"/>
    </row>
    <row r="238">
      <c r="A238" s="2" t="n">
        <v>38184</v>
      </c>
      <c r="B238" t="n">
        <v>221216.39</v>
      </c>
      <c r="C238" t="n">
        <v>1586.12</v>
      </c>
      <c r="D238" t="n">
        <v>0</v>
      </c>
      <c r="E238">
        <f>D238/MAX($B$2:B238,100000)</f>
        <v/>
      </c>
      <c r="H238" s="2" t="n"/>
      <c r="I238" s="2" t="n"/>
    </row>
    <row r="239">
      <c r="A239" s="2" t="n">
        <v>38191</v>
      </c>
      <c r="B239" t="n">
        <v>221918.3</v>
      </c>
      <c r="C239" t="n">
        <v>1586.12</v>
      </c>
      <c r="D239" t="n">
        <v>0</v>
      </c>
      <c r="E239">
        <f>D239/MAX($B$2:B239,100000)</f>
        <v/>
      </c>
      <c r="H239" s="2" t="n"/>
      <c r="I239" s="2" t="n"/>
    </row>
    <row r="240">
      <c r="A240" s="2" t="n">
        <v>38198</v>
      </c>
      <c r="B240" t="n">
        <v>228468.45</v>
      </c>
      <c r="C240" t="n">
        <v>1586.12</v>
      </c>
      <c r="D240" t="n">
        <v>0</v>
      </c>
      <c r="E240">
        <f>D240/MAX($B$2:B240,100000)</f>
        <v/>
      </c>
      <c r="H240" s="2" t="n"/>
      <c r="I240" s="2" t="n"/>
    </row>
    <row r="241">
      <c r="A241" s="2" t="n">
        <v>38205</v>
      </c>
      <c r="B241" t="n">
        <v>227486.75</v>
      </c>
      <c r="C241" t="n">
        <v>1586.12</v>
      </c>
      <c r="D241" t="n">
        <v>-981.7</v>
      </c>
      <c r="E241">
        <f>D241/MAX($B$2:B241,100000)</f>
        <v/>
      </c>
      <c r="H241" s="2" t="n"/>
      <c r="I241" s="2" t="n"/>
    </row>
    <row r="242">
      <c r="A242" s="2" t="n">
        <v>38212</v>
      </c>
      <c r="B242" t="n">
        <v>222466</v>
      </c>
      <c r="C242" t="n">
        <v>1586.12</v>
      </c>
      <c r="D242" t="n">
        <v>-6002.45</v>
      </c>
      <c r="E242">
        <f>D242/MAX($B$2:B242,100000)</f>
        <v/>
      </c>
      <c r="H242" s="2" t="n"/>
      <c r="I242" s="2" t="n"/>
    </row>
    <row r="243">
      <c r="A243" s="2" t="n">
        <v>38219</v>
      </c>
      <c r="B243" t="n">
        <v>224324.16</v>
      </c>
      <c r="C243" t="n">
        <v>1586.12</v>
      </c>
      <c r="D243" t="n">
        <v>-4144.3</v>
      </c>
      <c r="E243">
        <f>D243/MAX($B$2:B243,100000)</f>
        <v/>
      </c>
      <c r="H243" s="2" t="n"/>
      <c r="I243" s="2" t="n"/>
    </row>
    <row r="244">
      <c r="A244" s="2" t="n">
        <v>38226</v>
      </c>
      <c r="B244" t="n">
        <v>231565.83</v>
      </c>
      <c r="C244" t="n">
        <v>4779.7</v>
      </c>
      <c r="D244" t="n">
        <v>0</v>
      </c>
      <c r="E244">
        <f>D244/MAX($B$2:B244,100000)</f>
        <v/>
      </c>
      <c r="H244" s="2" t="n"/>
      <c r="I244" s="2" t="n"/>
    </row>
    <row r="245">
      <c r="A245" s="2" t="n">
        <v>38233</v>
      </c>
      <c r="B245" t="n">
        <v>233104.58</v>
      </c>
      <c r="C245" t="n">
        <v>4779.7</v>
      </c>
      <c r="D245" t="n">
        <v>0</v>
      </c>
      <c r="E245">
        <f>D245/MAX($B$2:B245,100000)</f>
        <v/>
      </c>
      <c r="H245" s="2" t="n"/>
      <c r="I245" s="2" t="n"/>
    </row>
    <row r="246">
      <c r="A246" s="2" t="n">
        <v>38240</v>
      </c>
      <c r="B246" t="n">
        <v>236101.22</v>
      </c>
      <c r="C246" t="n">
        <v>4779.7</v>
      </c>
      <c r="D246" t="n">
        <v>0</v>
      </c>
      <c r="E246">
        <f>D246/MAX($B$2:B246,100000)</f>
        <v/>
      </c>
      <c r="H246" s="2" t="n"/>
      <c r="I246" s="2" t="n"/>
    </row>
    <row r="247">
      <c r="A247" s="2" t="n">
        <v>38247</v>
      </c>
      <c r="B247" t="n">
        <v>239939.3</v>
      </c>
      <c r="C247" t="n">
        <v>4779.7</v>
      </c>
      <c r="D247" t="n">
        <v>0</v>
      </c>
      <c r="E247">
        <f>D247/MAX($B$2:B247,100000)</f>
        <v/>
      </c>
      <c r="H247" s="2" t="n"/>
      <c r="I247" s="2" t="n"/>
    </row>
    <row r="248">
      <c r="A248" s="2" t="n">
        <v>38254</v>
      </c>
      <c r="B248" t="n">
        <v>242591.7</v>
      </c>
      <c r="C248" t="n">
        <v>4779.7</v>
      </c>
      <c r="D248" t="n">
        <v>0</v>
      </c>
      <c r="E248">
        <f>D248/MAX($B$2:B248,100000)</f>
        <v/>
      </c>
      <c r="H248" s="2" t="n"/>
      <c r="I248" s="2" t="n"/>
    </row>
    <row r="249">
      <c r="A249" s="2" t="n">
        <v>38261</v>
      </c>
      <c r="B249" t="n">
        <v>242497.92</v>
      </c>
      <c r="C249" t="n">
        <v>4779.7</v>
      </c>
      <c r="D249" t="n">
        <v>-93.78</v>
      </c>
      <c r="E249">
        <f>D249/MAX($B$2:B249,100000)</f>
        <v/>
      </c>
      <c r="H249" s="2" t="n"/>
      <c r="I249" s="2" t="n"/>
    </row>
    <row r="250">
      <c r="A250" s="2" t="n">
        <v>38268</v>
      </c>
      <c r="B250" t="n">
        <v>243537.64</v>
      </c>
      <c r="C250" t="n">
        <v>4779.7</v>
      </c>
      <c r="D250" t="n">
        <v>0</v>
      </c>
      <c r="E250">
        <f>D250/MAX($B$2:B250,100000)</f>
        <v/>
      </c>
      <c r="H250" s="2" t="n"/>
      <c r="I250" s="2" t="n"/>
    </row>
    <row r="251">
      <c r="A251" s="2" t="n">
        <v>38275</v>
      </c>
      <c r="B251" t="n">
        <v>252533.92</v>
      </c>
      <c r="C251" t="n">
        <v>3477.16</v>
      </c>
      <c r="D251" t="n">
        <v>0</v>
      </c>
      <c r="E251">
        <f>D251/MAX($B$2:B251,100000)</f>
        <v/>
      </c>
      <c r="H251" s="2" t="n"/>
      <c r="I251" s="2" t="n"/>
    </row>
    <row r="252">
      <c r="A252" s="2" t="n">
        <v>38282</v>
      </c>
      <c r="B252" t="n">
        <v>259435.27</v>
      </c>
      <c r="C252" t="n">
        <v>3477.16</v>
      </c>
      <c r="D252" t="n">
        <v>0</v>
      </c>
      <c r="E252">
        <f>D252/MAX($B$2:B252,100000)</f>
        <v/>
      </c>
      <c r="H252" s="2" t="n"/>
      <c r="I252" s="2" t="n"/>
    </row>
    <row r="253">
      <c r="A253" s="2" t="n">
        <v>38289</v>
      </c>
      <c r="B253" t="n">
        <v>265218.44</v>
      </c>
      <c r="C253" t="n">
        <v>3477.16</v>
      </c>
      <c r="D253" t="n">
        <v>0</v>
      </c>
      <c r="E253">
        <f>D253/MAX($B$2:B253,100000)</f>
        <v/>
      </c>
      <c r="H253" s="2" t="n"/>
      <c r="I253" s="2" t="n"/>
    </row>
    <row r="254">
      <c r="A254" s="2" t="n">
        <v>38296</v>
      </c>
      <c r="B254" t="n">
        <v>267534.78</v>
      </c>
      <c r="C254" t="n">
        <v>3477.16</v>
      </c>
      <c r="D254" t="n">
        <v>0</v>
      </c>
      <c r="E254">
        <f>D254/MAX($B$2:B254,100000)</f>
        <v/>
      </c>
      <c r="H254" s="2" t="n"/>
      <c r="I254" s="2" t="n"/>
    </row>
    <row r="255">
      <c r="A255" s="2" t="n">
        <v>38303</v>
      </c>
      <c r="B255" t="n">
        <v>268599.81</v>
      </c>
      <c r="C255" t="n">
        <v>3477.16</v>
      </c>
      <c r="D255" t="n">
        <v>0</v>
      </c>
      <c r="E255">
        <f>D255/MAX($B$2:B255,100000)</f>
        <v/>
      </c>
      <c r="H255" s="2" t="n"/>
      <c r="I255" s="2" t="n"/>
    </row>
    <row r="256">
      <c r="A256" s="2" t="n">
        <v>38310</v>
      </c>
      <c r="B256" t="n">
        <v>268319.16</v>
      </c>
      <c r="C256" t="n">
        <v>3477.16</v>
      </c>
      <c r="D256" t="n">
        <v>-280.66</v>
      </c>
      <c r="E256">
        <f>D256/MAX($B$2:B256,100000)</f>
        <v/>
      </c>
      <c r="H256" s="2" t="n"/>
      <c r="I256" s="2" t="n"/>
    </row>
    <row r="257">
      <c r="A257" s="2" t="n">
        <v>38317</v>
      </c>
      <c r="B257" t="n">
        <v>270955.22</v>
      </c>
      <c r="C257" t="n">
        <v>3477.16</v>
      </c>
      <c r="D257" t="n">
        <v>0</v>
      </c>
      <c r="E257">
        <f>D257/MAX($B$2:B257,100000)</f>
        <v/>
      </c>
      <c r="H257" s="2" t="n"/>
      <c r="I257" s="2" t="n"/>
    </row>
    <row r="258">
      <c r="A258" s="2" t="n">
        <v>38324</v>
      </c>
      <c r="B258" t="n">
        <v>273080.72</v>
      </c>
      <c r="C258" t="n">
        <v>3477.16</v>
      </c>
      <c r="D258" t="n">
        <v>0</v>
      </c>
      <c r="E258">
        <f>D258/MAX($B$2:B258,100000)</f>
        <v/>
      </c>
      <c r="H258" s="2" t="n"/>
      <c r="I258" s="2" t="n"/>
    </row>
    <row r="259">
      <c r="A259" s="2" t="n">
        <v>38331</v>
      </c>
      <c r="B259" t="n">
        <v>269216.31</v>
      </c>
      <c r="C259" t="n">
        <v>3477.16</v>
      </c>
      <c r="D259" t="n">
        <v>-3864.41</v>
      </c>
      <c r="E259">
        <f>D259/MAX($B$2:B259,100000)</f>
        <v/>
      </c>
      <c r="H259" s="2" t="n"/>
      <c r="I259" s="2" t="n"/>
    </row>
    <row r="260">
      <c r="A260" s="2" t="n">
        <v>38338</v>
      </c>
      <c r="B260" t="n">
        <v>275177.22</v>
      </c>
      <c r="C260" t="n">
        <v>3477.16</v>
      </c>
      <c r="D260" t="n">
        <v>0</v>
      </c>
      <c r="E260">
        <f>D260/MAX($B$2:B260,100000)</f>
        <v/>
      </c>
      <c r="H260" s="2" t="n"/>
      <c r="I260" s="2" t="n"/>
    </row>
    <row r="261">
      <c r="A261" s="2" t="n">
        <v>38345</v>
      </c>
      <c r="B261" t="n">
        <v>283427.28</v>
      </c>
      <c r="C261" t="n">
        <v>3477.16</v>
      </c>
      <c r="D261" t="n">
        <v>0</v>
      </c>
      <c r="E261">
        <f>D261/MAX($B$2:B261,100000)</f>
        <v/>
      </c>
      <c r="H261" s="2" t="n"/>
      <c r="I261" s="2" t="n"/>
    </row>
    <row r="262">
      <c r="A262" s="2" t="n">
        <v>38352</v>
      </c>
      <c r="B262" t="n">
        <v>284725.25</v>
      </c>
      <c r="C262" t="n">
        <v>491.17</v>
      </c>
      <c r="D262" t="n">
        <v>0</v>
      </c>
      <c r="E262">
        <f>D262/MAX($B$2:B262,100000)</f>
        <v/>
      </c>
      <c r="H262" s="2" t="n"/>
      <c r="I262" s="2" t="n"/>
    </row>
    <row r="263">
      <c r="A263" s="2" t="n">
        <v>38359</v>
      </c>
      <c r="B263" t="n">
        <v>290297.22</v>
      </c>
      <c r="C263" t="n">
        <v>491.17</v>
      </c>
      <c r="D263" t="n">
        <v>0</v>
      </c>
      <c r="E263">
        <f>D263/MAX($B$2:B263,100000)</f>
        <v/>
      </c>
      <c r="H263" s="2" t="n"/>
      <c r="I263" s="2" t="n"/>
    </row>
    <row r="264">
      <c r="A264" s="2" t="n">
        <v>38366</v>
      </c>
      <c r="B264" t="n">
        <v>294029.06</v>
      </c>
      <c r="C264" t="n">
        <v>491.17</v>
      </c>
      <c r="D264" t="n">
        <v>0</v>
      </c>
      <c r="E264">
        <f>D264/MAX($B$2:B264,100000)</f>
        <v/>
      </c>
      <c r="H264" s="2" t="n"/>
      <c r="I264" s="2" t="n"/>
    </row>
    <row r="265">
      <c r="A265" s="2" t="n">
        <v>38373</v>
      </c>
      <c r="B265" t="n">
        <v>296228.69</v>
      </c>
      <c r="C265" t="n">
        <v>491.17</v>
      </c>
      <c r="D265" t="n">
        <v>0</v>
      </c>
      <c r="E265">
        <f>D265/MAX($B$2:B265,100000)</f>
        <v/>
      </c>
      <c r="H265" s="2" t="n"/>
      <c r="I265" s="2" t="n"/>
    </row>
    <row r="266">
      <c r="A266" s="2" t="n">
        <v>38380</v>
      </c>
      <c r="B266" t="n">
        <v>298283.78</v>
      </c>
      <c r="C266" t="n">
        <v>491.17</v>
      </c>
      <c r="D266" t="n">
        <v>0</v>
      </c>
      <c r="E266">
        <f>D266/MAX($B$2:B266,100000)</f>
        <v/>
      </c>
      <c r="H266" s="2" t="n"/>
      <c r="I266" s="2" t="n"/>
    </row>
    <row r="267">
      <c r="A267" s="2" t="n">
        <v>38387</v>
      </c>
      <c r="B267" t="n">
        <v>304758.25</v>
      </c>
      <c r="C267" t="n">
        <v>491.17</v>
      </c>
      <c r="D267" t="n">
        <v>0</v>
      </c>
      <c r="E267">
        <f>D267/MAX($B$2:B267,100000)</f>
        <v/>
      </c>
      <c r="H267" s="2" t="n"/>
      <c r="I267" s="2" t="n"/>
    </row>
    <row r="268">
      <c r="A268" s="2" t="n">
        <v>38394</v>
      </c>
      <c r="B268" t="n">
        <v>306752.38</v>
      </c>
      <c r="C268" t="n">
        <v>491.17</v>
      </c>
      <c r="D268" t="n">
        <v>0</v>
      </c>
      <c r="E268">
        <f>D268/MAX($B$2:B268,100000)</f>
        <v/>
      </c>
      <c r="H268" s="2" t="n"/>
      <c r="I268" s="2" t="n"/>
    </row>
    <row r="269">
      <c r="A269" s="2" t="n">
        <v>38401</v>
      </c>
      <c r="B269" t="n">
        <v>304828.75</v>
      </c>
      <c r="C269" t="n">
        <v>491.17</v>
      </c>
      <c r="D269" t="n">
        <v>-1923.63</v>
      </c>
      <c r="E269">
        <f>D269/MAX($B$2:B269,100000)</f>
        <v/>
      </c>
      <c r="H269" s="2" t="n"/>
      <c r="I269" s="2" t="n"/>
    </row>
    <row r="270">
      <c r="A270" s="2" t="n">
        <v>38408</v>
      </c>
      <c r="B270" t="n">
        <v>298516.28</v>
      </c>
      <c r="C270" t="n">
        <v>491.17</v>
      </c>
      <c r="D270" t="n">
        <v>-8236.09</v>
      </c>
      <c r="E270">
        <f>D270/MAX($B$2:B270,100000)</f>
        <v/>
      </c>
      <c r="H270" s="2" t="n"/>
      <c r="I270" s="2" t="n"/>
    </row>
    <row r="271">
      <c r="A271" s="2" t="n">
        <v>38415</v>
      </c>
      <c r="B271" t="n">
        <v>303585.31</v>
      </c>
      <c r="C271" t="n">
        <v>491.17</v>
      </c>
      <c r="D271" t="n">
        <v>-3167.06</v>
      </c>
      <c r="E271">
        <f>D271/MAX($B$2:B271,100000)</f>
        <v/>
      </c>
      <c r="H271" s="2" t="n"/>
      <c r="I271" s="2" t="n"/>
    </row>
    <row r="272">
      <c r="A272" s="2" t="n">
        <v>38422</v>
      </c>
      <c r="B272" t="n">
        <v>312796.03</v>
      </c>
      <c r="C272" t="n">
        <v>491.17</v>
      </c>
      <c r="D272" t="n">
        <v>0</v>
      </c>
      <c r="E272">
        <f>D272/MAX($B$2:B272,100000)</f>
        <v/>
      </c>
      <c r="H272" s="2" t="n"/>
      <c r="I272" s="2" t="n"/>
    </row>
    <row r="273">
      <c r="A273" s="2" t="n">
        <v>38429</v>
      </c>
      <c r="B273" t="n">
        <v>317350.44</v>
      </c>
      <c r="C273" t="n">
        <v>491.17</v>
      </c>
      <c r="D273" t="n">
        <v>0</v>
      </c>
      <c r="E273">
        <f>D273/MAX($B$2:B273,100000)</f>
        <v/>
      </c>
      <c r="H273" s="2" t="n"/>
      <c r="I273" s="2" t="n"/>
    </row>
    <row r="274">
      <c r="A274" s="2" t="n">
        <v>38435</v>
      </c>
      <c r="B274" t="n">
        <v>304035.75</v>
      </c>
      <c r="C274" t="n">
        <v>491.17</v>
      </c>
      <c r="D274" t="n">
        <v>-13314.69</v>
      </c>
      <c r="E274">
        <f>D274/MAX($B$2:B274,100000)</f>
        <v/>
      </c>
      <c r="H274" s="2" t="n"/>
      <c r="I274" s="2" t="n"/>
    </row>
    <row r="275">
      <c r="A275" s="2" t="n">
        <v>38443</v>
      </c>
      <c r="B275" t="n">
        <v>306929.06</v>
      </c>
      <c r="C275" t="n">
        <v>491.17</v>
      </c>
      <c r="D275" t="n">
        <v>-10421.38</v>
      </c>
      <c r="E275">
        <f>D275/MAX($B$2:B275,100000)</f>
        <v/>
      </c>
      <c r="H275" s="2" t="n"/>
      <c r="I275" s="2" t="n"/>
    </row>
    <row r="276">
      <c r="A276" s="2" t="n">
        <v>38450</v>
      </c>
      <c r="B276" t="n">
        <v>307639.69</v>
      </c>
      <c r="C276" t="n">
        <v>491.17</v>
      </c>
      <c r="D276" t="n">
        <v>-9710.75</v>
      </c>
      <c r="E276">
        <f>D276/MAX($B$2:B276,100000)</f>
        <v/>
      </c>
      <c r="H276" s="2" t="n"/>
      <c r="I276" s="2" t="n"/>
    </row>
    <row r="277">
      <c r="A277" s="2" t="n">
        <v>38457</v>
      </c>
      <c r="B277" t="n">
        <v>297569.84</v>
      </c>
      <c r="C277" t="n">
        <v>491.17</v>
      </c>
      <c r="D277" t="n">
        <v>-19780.59</v>
      </c>
      <c r="E277">
        <f>D277/MAX($B$2:B277,100000)</f>
        <v/>
      </c>
      <c r="H277" s="2" t="n"/>
      <c r="I277" s="2" t="n"/>
    </row>
    <row r="278">
      <c r="A278" s="2" t="n">
        <v>38464</v>
      </c>
      <c r="B278" t="n">
        <v>300006.06</v>
      </c>
      <c r="C278" t="n">
        <v>491.17</v>
      </c>
      <c r="D278" t="n">
        <v>-17344.38</v>
      </c>
      <c r="E278">
        <f>D278/MAX($B$2:B278,100000)</f>
        <v/>
      </c>
      <c r="H278" s="2" t="n"/>
      <c r="I278" s="2" t="n"/>
    </row>
    <row r="279">
      <c r="A279" s="2" t="n">
        <v>38471</v>
      </c>
      <c r="B279" t="n">
        <v>291237.56</v>
      </c>
      <c r="C279" t="n">
        <v>23403.64</v>
      </c>
      <c r="D279" t="n">
        <v>-26112.88</v>
      </c>
      <c r="E279">
        <f>D279/MAX($B$2:B279,100000)</f>
        <v/>
      </c>
      <c r="H279" s="2" t="n"/>
      <c r="I279" s="2" t="n"/>
    </row>
    <row r="280">
      <c r="A280" s="2" t="n">
        <v>38478</v>
      </c>
      <c r="B280" t="n">
        <v>284863.75</v>
      </c>
      <c r="C280" t="n">
        <v>23403.64</v>
      </c>
      <c r="D280" t="n">
        <v>-32486.69</v>
      </c>
      <c r="E280">
        <f>D280/MAX($B$2:B280,100000)</f>
        <v/>
      </c>
      <c r="H280" s="2" t="n"/>
      <c r="I280" s="2" t="n"/>
    </row>
    <row r="281">
      <c r="A281" s="2" t="n">
        <v>38485</v>
      </c>
      <c r="B281" t="n">
        <v>289925.25</v>
      </c>
      <c r="C281" t="n">
        <v>23403.64</v>
      </c>
      <c r="D281" t="n">
        <v>-27425.19</v>
      </c>
      <c r="E281">
        <f>D281/MAX($B$2:B281,100000)</f>
        <v/>
      </c>
      <c r="H281" s="2" t="n"/>
      <c r="I281" s="2" t="n"/>
    </row>
    <row r="282">
      <c r="A282" s="2" t="n">
        <v>38492</v>
      </c>
      <c r="B282" t="n">
        <v>295591.75</v>
      </c>
      <c r="C282" t="n">
        <v>75502.25</v>
      </c>
      <c r="D282" t="n">
        <v>-21758.69</v>
      </c>
      <c r="E282">
        <f>D282/MAX($B$2:B282,100000)</f>
        <v/>
      </c>
      <c r="H282" s="2" t="n"/>
      <c r="I282" s="2" t="n"/>
    </row>
    <row r="283">
      <c r="A283" s="2" t="n">
        <v>38499</v>
      </c>
      <c r="B283" t="n">
        <v>299211.97</v>
      </c>
      <c r="C283" t="n">
        <v>75502.25</v>
      </c>
      <c r="D283" t="n">
        <v>-18138.47</v>
      </c>
      <c r="E283">
        <f>D283/MAX($B$2:B283,100000)</f>
        <v/>
      </c>
      <c r="H283" s="2" t="n"/>
      <c r="I283" s="2" t="n"/>
    </row>
    <row r="284">
      <c r="A284" s="2" t="n">
        <v>38506</v>
      </c>
      <c r="B284" t="n">
        <v>306001.06</v>
      </c>
      <c r="C284" t="n">
        <v>38020.36</v>
      </c>
      <c r="D284" t="n">
        <v>-11349.38</v>
      </c>
      <c r="E284">
        <f>D284/MAX($B$2:B284,100000)</f>
        <v/>
      </c>
      <c r="H284" s="2" t="n"/>
      <c r="I284" s="2" t="n"/>
    </row>
    <row r="285">
      <c r="A285" s="2" t="n">
        <v>38513</v>
      </c>
      <c r="B285" t="n">
        <v>310509.66</v>
      </c>
      <c r="C285" t="n">
        <v>18885.4</v>
      </c>
      <c r="D285" t="n">
        <v>-6840.78</v>
      </c>
      <c r="E285">
        <f>D285/MAX($B$2:B285,100000)</f>
        <v/>
      </c>
      <c r="H285" s="2" t="n"/>
      <c r="I285" s="2" t="n"/>
    </row>
    <row r="286">
      <c r="A286" s="2" t="n">
        <v>38520</v>
      </c>
      <c r="B286" t="n">
        <v>319563.47</v>
      </c>
      <c r="C286" t="n">
        <v>18885.4</v>
      </c>
      <c r="D286" t="n">
        <v>0</v>
      </c>
      <c r="E286">
        <f>D286/MAX($B$2:B286,100000)</f>
        <v/>
      </c>
      <c r="H286" s="2" t="n"/>
      <c r="I286" s="2" t="n"/>
    </row>
    <row r="287">
      <c r="A287" s="2" t="n">
        <v>38527</v>
      </c>
      <c r="B287" t="n">
        <v>314696.78</v>
      </c>
      <c r="C287" t="n">
        <v>18885.4</v>
      </c>
      <c r="D287" t="n">
        <v>-4866.69</v>
      </c>
      <c r="E287">
        <f>D287/MAX($B$2:B287,100000)</f>
        <v/>
      </c>
      <c r="H287" s="2" t="n"/>
      <c r="I287" s="2" t="n"/>
    </row>
    <row r="288">
      <c r="A288" s="2" t="n">
        <v>38534</v>
      </c>
      <c r="B288" t="n">
        <v>318668.56</v>
      </c>
      <c r="C288" t="n">
        <v>18885.4</v>
      </c>
      <c r="D288" t="n">
        <v>-894.91</v>
      </c>
      <c r="E288">
        <f>D288/MAX($B$2:B288,100000)</f>
        <v/>
      </c>
      <c r="H288" s="2" t="n"/>
      <c r="I288" s="2" t="n"/>
    </row>
    <row r="289">
      <c r="A289" s="2" t="n">
        <v>38541</v>
      </c>
      <c r="B289" t="n">
        <v>317836.22</v>
      </c>
      <c r="C289" t="n">
        <v>18885.4</v>
      </c>
      <c r="D289" t="n">
        <v>-1727.25</v>
      </c>
      <c r="E289">
        <f>D289/MAX($B$2:B289,100000)</f>
        <v/>
      </c>
      <c r="H289" s="2" t="n"/>
      <c r="I289" s="2" t="n"/>
    </row>
    <row r="290">
      <c r="A290" s="2" t="n">
        <v>38548</v>
      </c>
      <c r="B290" t="n">
        <v>321260.09</v>
      </c>
      <c r="C290" t="n">
        <v>18885.4</v>
      </c>
      <c r="D290" t="n">
        <v>0</v>
      </c>
      <c r="E290">
        <f>D290/MAX($B$2:B290,100000)</f>
        <v/>
      </c>
      <c r="H290" s="2" t="n"/>
      <c r="I290" s="2" t="n"/>
    </row>
    <row r="291">
      <c r="A291" s="2" t="n">
        <v>38555</v>
      </c>
      <c r="B291" t="n">
        <v>329260.31</v>
      </c>
      <c r="C291" t="n">
        <v>18885.4</v>
      </c>
      <c r="D291" t="n">
        <v>0</v>
      </c>
      <c r="E291">
        <f>D291/MAX($B$2:B291,100000)</f>
        <v/>
      </c>
      <c r="H291" s="2" t="n"/>
      <c r="I291" s="2" t="n"/>
    </row>
    <row r="292">
      <c r="A292" s="2" t="n">
        <v>38562</v>
      </c>
      <c r="B292" t="n">
        <v>331320.81</v>
      </c>
      <c r="C292" t="n">
        <v>18885.4</v>
      </c>
      <c r="D292" t="n">
        <v>0</v>
      </c>
      <c r="E292">
        <f>D292/MAX($B$2:B292,100000)</f>
        <v/>
      </c>
      <c r="H292" s="2" t="n"/>
      <c r="I292" s="2" t="n"/>
    </row>
    <row r="293">
      <c r="A293" s="2" t="n">
        <v>38569</v>
      </c>
      <c r="B293" t="n">
        <v>329706.84</v>
      </c>
      <c r="C293" t="n">
        <v>18885.4</v>
      </c>
      <c r="D293" t="n">
        <v>-1613.97</v>
      </c>
      <c r="E293">
        <f>D293/MAX($B$2:B293,100000)</f>
        <v/>
      </c>
      <c r="H293" s="2" t="n"/>
      <c r="I293" s="2" t="n"/>
    </row>
    <row r="294">
      <c r="A294" s="2" t="n">
        <v>38576</v>
      </c>
      <c r="B294" t="n">
        <v>331063.63</v>
      </c>
      <c r="C294" t="n">
        <v>18885.4</v>
      </c>
      <c r="D294" t="n">
        <v>-257.19</v>
      </c>
      <c r="E294">
        <f>D294/MAX($B$2:B294,100000)</f>
        <v/>
      </c>
      <c r="H294" s="2" t="n"/>
      <c r="I294" s="2" t="n"/>
    </row>
    <row r="295">
      <c r="A295" s="2" t="n">
        <v>38583</v>
      </c>
      <c r="B295" t="n">
        <v>338853.22</v>
      </c>
      <c r="C295" t="n">
        <v>15601.88</v>
      </c>
      <c r="D295" t="n">
        <v>0</v>
      </c>
      <c r="E295">
        <f>D295/MAX($B$2:B295,100000)</f>
        <v/>
      </c>
      <c r="H295" s="2" t="n"/>
      <c r="I295" s="2" t="n"/>
    </row>
    <row r="296">
      <c r="A296" s="2" t="n">
        <v>38590</v>
      </c>
      <c r="B296" t="n">
        <v>343207.03</v>
      </c>
      <c r="C296" t="n">
        <v>15601.88</v>
      </c>
      <c r="D296" t="n">
        <v>0</v>
      </c>
      <c r="E296">
        <f>D296/MAX($B$2:B296,100000)</f>
        <v/>
      </c>
      <c r="H296" s="2" t="n"/>
      <c r="I296" s="2" t="n"/>
    </row>
    <row r="297">
      <c r="A297" s="2" t="n">
        <v>38597</v>
      </c>
      <c r="B297" t="n">
        <v>347715.25</v>
      </c>
      <c r="C297" t="n">
        <v>13218.94</v>
      </c>
      <c r="D297" t="n">
        <v>0</v>
      </c>
      <c r="E297">
        <f>D297/MAX($B$2:B297,100000)</f>
        <v/>
      </c>
      <c r="H297" s="2" t="n"/>
      <c r="I297" s="2" t="n"/>
    </row>
    <row r="298">
      <c r="A298" s="2" t="n">
        <v>38604</v>
      </c>
      <c r="B298" t="n">
        <v>344856.09</v>
      </c>
      <c r="C298" t="n">
        <v>13218.94</v>
      </c>
      <c r="D298" t="n">
        <v>-2859.16</v>
      </c>
      <c r="E298">
        <f>D298/MAX($B$2:B298,100000)</f>
        <v/>
      </c>
      <c r="H298" s="2" t="n"/>
      <c r="I298" s="2" t="n"/>
    </row>
    <row r="299">
      <c r="A299" s="2" t="n">
        <v>38611</v>
      </c>
      <c r="B299" t="n">
        <v>350772.44</v>
      </c>
      <c r="C299" t="n">
        <v>13218.94</v>
      </c>
      <c r="D299" t="n">
        <v>0</v>
      </c>
      <c r="E299">
        <f>D299/MAX($B$2:B299,100000)</f>
        <v/>
      </c>
      <c r="H299" s="2" t="n"/>
      <c r="I299" s="2" t="n"/>
    </row>
    <row r="300">
      <c r="A300" s="2" t="n">
        <v>38618</v>
      </c>
      <c r="B300" t="n">
        <v>351562.97</v>
      </c>
      <c r="C300" t="n">
        <v>13218.94</v>
      </c>
      <c r="D300" t="n">
        <v>0</v>
      </c>
      <c r="E300">
        <f>D300/MAX($B$2:B300,100000)</f>
        <v/>
      </c>
      <c r="H300" s="2" t="n"/>
      <c r="I300" s="2" t="n"/>
    </row>
    <row r="301">
      <c r="A301" s="2" t="n">
        <v>38625</v>
      </c>
      <c r="B301" t="n">
        <v>355152.06</v>
      </c>
      <c r="C301" t="n">
        <v>13218.94</v>
      </c>
      <c r="D301" t="n">
        <v>0</v>
      </c>
      <c r="E301">
        <f>D301/MAX($B$2:B301,100000)</f>
        <v/>
      </c>
      <c r="H301" s="2" t="n"/>
      <c r="I301" s="2" t="n"/>
    </row>
    <row r="302">
      <c r="A302" s="2" t="n">
        <v>38632</v>
      </c>
      <c r="B302" t="n">
        <v>337442.72</v>
      </c>
      <c r="C302" t="n">
        <v>13218.94</v>
      </c>
      <c r="D302" t="n">
        <v>-17709.34</v>
      </c>
      <c r="E302">
        <f>D302/MAX($B$2:B302,100000)</f>
        <v/>
      </c>
      <c r="H302" s="2" t="n"/>
      <c r="I302" s="2" t="n"/>
    </row>
    <row r="303">
      <c r="A303" s="2" t="n">
        <v>38639</v>
      </c>
      <c r="B303" t="n">
        <v>336750.34</v>
      </c>
      <c r="C303" t="n">
        <v>13218.94</v>
      </c>
      <c r="D303" t="n">
        <v>-18401.72</v>
      </c>
      <c r="E303">
        <f>D303/MAX($B$2:B303,100000)</f>
        <v/>
      </c>
      <c r="H303" s="2" t="n"/>
      <c r="I303" s="2" t="n"/>
    </row>
    <row r="304">
      <c r="A304" s="2" t="n">
        <v>38646</v>
      </c>
      <c r="B304" t="n">
        <v>331925.94</v>
      </c>
      <c r="C304" t="n">
        <v>13218.94</v>
      </c>
      <c r="D304" t="n">
        <v>-23226.13</v>
      </c>
      <c r="E304">
        <f>D304/MAX($B$2:B304,100000)</f>
        <v/>
      </c>
      <c r="H304" s="2" t="n"/>
      <c r="I304" s="2" t="n"/>
    </row>
    <row r="305">
      <c r="A305" s="2" t="n">
        <v>38653</v>
      </c>
      <c r="B305" t="n">
        <v>332614.25</v>
      </c>
      <c r="C305" t="n">
        <v>68215.50999999999</v>
      </c>
      <c r="D305" t="n">
        <v>-22537.81</v>
      </c>
      <c r="E305">
        <f>D305/MAX($B$2:B305,100000)</f>
        <v/>
      </c>
      <c r="H305" s="2" t="n"/>
      <c r="I305" s="2" t="n"/>
    </row>
    <row r="306">
      <c r="A306" s="2" t="n">
        <v>38660</v>
      </c>
      <c r="B306" t="n">
        <v>343207.34</v>
      </c>
      <c r="C306" t="n">
        <v>68215.50999999999</v>
      </c>
      <c r="D306" t="n">
        <v>-11944.72</v>
      </c>
      <c r="E306">
        <f>D306/MAX($B$2:B306,100000)</f>
        <v/>
      </c>
      <c r="H306" s="2" t="n"/>
      <c r="I306" s="2" t="n"/>
    </row>
    <row r="307">
      <c r="A307" s="2" t="n">
        <v>38667</v>
      </c>
      <c r="B307" t="n">
        <v>346134.81</v>
      </c>
      <c r="C307" t="n">
        <v>47805.11</v>
      </c>
      <c r="D307" t="n">
        <v>-9017.25</v>
      </c>
      <c r="E307">
        <f>D307/MAX($B$2:B307,100000)</f>
        <v/>
      </c>
      <c r="H307" s="2" t="n"/>
      <c r="I307" s="2" t="n"/>
    </row>
    <row r="308">
      <c r="A308" s="2" t="n">
        <v>38674</v>
      </c>
      <c r="B308" t="n">
        <v>356975.41</v>
      </c>
      <c r="C308" t="n">
        <v>26175.16</v>
      </c>
      <c r="D308" t="n">
        <v>0</v>
      </c>
      <c r="E308">
        <f>D308/MAX($B$2:B308,100000)</f>
        <v/>
      </c>
      <c r="H308" s="2" t="n"/>
      <c r="I308" s="2" t="n"/>
    </row>
    <row r="309">
      <c r="A309" s="2" t="n">
        <v>38681</v>
      </c>
      <c r="B309" t="n">
        <v>351846.19</v>
      </c>
      <c r="C309" t="n">
        <v>3775.7</v>
      </c>
      <c r="D309" t="n">
        <v>-5129.22</v>
      </c>
      <c r="E309">
        <f>D309/MAX($B$2:B309,100000)</f>
        <v/>
      </c>
      <c r="H309" s="2" t="n"/>
      <c r="I309" s="2" t="n"/>
    </row>
    <row r="310">
      <c r="A310" s="2" t="n">
        <v>38688</v>
      </c>
      <c r="B310" t="n">
        <v>349245.38</v>
      </c>
      <c r="C310" t="n">
        <v>3775.7</v>
      </c>
      <c r="D310" t="n">
        <v>-7730.03</v>
      </c>
      <c r="E310">
        <f>D310/MAX($B$2:B310,100000)</f>
        <v/>
      </c>
      <c r="H310" s="2" t="n"/>
      <c r="I310" s="2" t="n"/>
    </row>
    <row r="311">
      <c r="A311" s="2" t="n">
        <v>38695</v>
      </c>
      <c r="B311" t="n">
        <v>344950.13</v>
      </c>
      <c r="C311" t="n">
        <v>26493.45</v>
      </c>
      <c r="D311" t="n">
        <v>-12025.28</v>
      </c>
      <c r="E311">
        <f>D311/MAX($B$2:B311,100000)</f>
        <v/>
      </c>
      <c r="H311" s="2" t="n"/>
      <c r="I311" s="2" t="n"/>
    </row>
    <row r="312">
      <c r="A312" s="2" t="n">
        <v>38702</v>
      </c>
      <c r="B312" t="n">
        <v>349700.88</v>
      </c>
      <c r="C312" t="n">
        <v>4864.65</v>
      </c>
      <c r="D312" t="n">
        <v>-7274.53</v>
      </c>
      <c r="E312">
        <f>D312/MAX($B$2:B312,100000)</f>
        <v/>
      </c>
      <c r="H312" s="2" t="n"/>
      <c r="I312" s="2" t="n"/>
    </row>
    <row r="313">
      <c r="A313" s="2" t="n">
        <v>38709</v>
      </c>
      <c r="B313" t="n">
        <v>361460.38</v>
      </c>
      <c r="C313" t="n">
        <v>4864.65</v>
      </c>
      <c r="D313" t="n">
        <v>0</v>
      </c>
      <c r="E313">
        <f>D313/MAX($B$2:B313,100000)</f>
        <v/>
      </c>
      <c r="H313" s="2" t="n"/>
      <c r="I313" s="2" t="n"/>
    </row>
    <row r="314">
      <c r="A314" s="2" t="n">
        <v>38716</v>
      </c>
      <c r="B314" t="n">
        <v>367717.25</v>
      </c>
      <c r="C314" t="n">
        <v>4864.65</v>
      </c>
      <c r="D314" t="n">
        <v>0</v>
      </c>
      <c r="E314">
        <f>D314/MAX($B$2:B314,100000)</f>
        <v/>
      </c>
      <c r="H314" s="2" t="n"/>
      <c r="I314" s="2" t="n"/>
    </row>
    <row r="315">
      <c r="A315" s="2" t="n">
        <v>38723</v>
      </c>
      <c r="B315" t="n">
        <v>369187.34</v>
      </c>
      <c r="C315" t="n">
        <v>4864.65</v>
      </c>
      <c r="D315" t="n">
        <v>0</v>
      </c>
      <c r="E315">
        <f>D315/MAX($B$2:B315,100000)</f>
        <v/>
      </c>
      <c r="H315" s="2" t="n"/>
      <c r="I315" s="2" t="n"/>
    </row>
    <row r="316">
      <c r="A316" s="2" t="n">
        <v>38730</v>
      </c>
      <c r="B316" t="n">
        <v>377308.09</v>
      </c>
      <c r="C316" t="n">
        <v>4864.65</v>
      </c>
      <c r="D316" t="n">
        <v>0</v>
      </c>
      <c r="E316">
        <f>D316/MAX($B$2:B316,100000)</f>
        <v/>
      </c>
      <c r="H316" s="2" t="n"/>
      <c r="I316" s="2" t="n"/>
    </row>
    <row r="317">
      <c r="A317" s="2" t="n">
        <v>38737</v>
      </c>
      <c r="B317" t="n">
        <v>376798.63</v>
      </c>
      <c r="C317" t="n">
        <v>4864.65</v>
      </c>
      <c r="D317" t="n">
        <v>-509.47</v>
      </c>
      <c r="E317">
        <f>D317/MAX($B$2:B317,100000)</f>
        <v/>
      </c>
      <c r="H317" s="2" t="n"/>
      <c r="I317" s="2" t="n"/>
    </row>
    <row r="318">
      <c r="A318" s="2" t="n">
        <v>38744</v>
      </c>
      <c r="B318" t="n">
        <v>381124.25</v>
      </c>
      <c r="C318" t="n">
        <v>4864.65</v>
      </c>
      <c r="D318" t="n">
        <v>0</v>
      </c>
      <c r="E318">
        <f>D318/MAX($B$2:B318,100000)</f>
        <v/>
      </c>
      <c r="H318" s="2" t="n"/>
      <c r="I318" s="2" t="n"/>
    </row>
    <row r="319">
      <c r="A319" s="2" t="n">
        <v>38751</v>
      </c>
      <c r="B319" t="n">
        <v>373447.91</v>
      </c>
      <c r="C319" t="n">
        <v>4864.65</v>
      </c>
      <c r="D319" t="n">
        <v>-7676.34</v>
      </c>
      <c r="E319">
        <f>D319/MAX($B$2:B319,100000)</f>
        <v/>
      </c>
      <c r="H319" s="2" t="n"/>
      <c r="I319" s="2" t="n"/>
    </row>
    <row r="320">
      <c r="A320" s="2" t="n">
        <v>38758</v>
      </c>
      <c r="B320" t="n">
        <v>369075.28</v>
      </c>
      <c r="C320" t="n">
        <v>4864.65</v>
      </c>
      <c r="D320" t="n">
        <v>-12048.97</v>
      </c>
      <c r="E320">
        <f>D320/MAX($B$2:B320,100000)</f>
        <v/>
      </c>
      <c r="H320" s="2" t="n"/>
      <c r="I320" s="2" t="n"/>
    </row>
    <row r="321">
      <c r="A321" s="2" t="n">
        <v>38765</v>
      </c>
      <c r="B321" t="n">
        <v>365358.59</v>
      </c>
      <c r="C321" t="n">
        <v>4864.65</v>
      </c>
      <c r="D321" t="n">
        <v>-15765.66</v>
      </c>
      <c r="E321">
        <f>D321/MAX($B$2:B321,100000)</f>
        <v/>
      </c>
      <c r="H321" s="2" t="n"/>
      <c r="I321" s="2" t="n"/>
    </row>
    <row r="322">
      <c r="A322" s="2" t="n">
        <v>38772</v>
      </c>
      <c r="B322" t="n">
        <v>371338.5</v>
      </c>
      <c r="C322" t="n">
        <v>4864.65</v>
      </c>
      <c r="D322" t="n">
        <v>-9785.75</v>
      </c>
      <c r="E322">
        <f>D322/MAX($B$2:B322,100000)</f>
        <v/>
      </c>
      <c r="H322" s="2" t="n"/>
      <c r="I322" s="2" t="n"/>
    </row>
    <row r="323">
      <c r="A323" s="2" t="n">
        <v>38779</v>
      </c>
      <c r="B323" t="n">
        <v>378033.28</v>
      </c>
      <c r="C323" t="n">
        <v>4864.65</v>
      </c>
      <c r="D323" t="n">
        <v>-3090.97</v>
      </c>
      <c r="E323">
        <f>D323/MAX($B$2:B323,100000)</f>
        <v/>
      </c>
      <c r="H323" s="2" t="n"/>
      <c r="I323" s="2" t="n"/>
    </row>
    <row r="324">
      <c r="A324" s="2" t="n">
        <v>38786</v>
      </c>
      <c r="B324" t="n">
        <v>383094.16</v>
      </c>
      <c r="C324" t="n">
        <v>4864.65</v>
      </c>
      <c r="D324" t="n">
        <v>0</v>
      </c>
      <c r="E324">
        <f>D324/MAX($B$2:B324,100000)</f>
        <v/>
      </c>
      <c r="H324" s="2" t="n"/>
      <c r="I324" s="2" t="n"/>
    </row>
    <row r="325">
      <c r="A325" s="2" t="n">
        <v>38793</v>
      </c>
      <c r="B325" t="n">
        <v>389454.38</v>
      </c>
      <c r="C325" t="n">
        <v>4864.65</v>
      </c>
      <c r="D325" t="n">
        <v>0</v>
      </c>
      <c r="E325">
        <f>D325/MAX($B$2:B325,100000)</f>
        <v/>
      </c>
      <c r="H325" s="2" t="n"/>
      <c r="I325" s="2" t="n"/>
    </row>
    <row r="326">
      <c r="A326" s="2" t="n">
        <v>38800</v>
      </c>
      <c r="B326" t="n">
        <v>397516.31</v>
      </c>
      <c r="C326" t="n">
        <v>4864.65</v>
      </c>
      <c r="D326" t="n">
        <v>0</v>
      </c>
      <c r="E326">
        <f>D326/MAX($B$2:B326,100000)</f>
        <v/>
      </c>
      <c r="H326" s="2" t="n"/>
      <c r="I326" s="2" t="n"/>
    </row>
    <row r="327">
      <c r="A327" s="2" t="n">
        <v>38807</v>
      </c>
      <c r="B327" t="n">
        <v>418418.09</v>
      </c>
      <c r="C327" t="n">
        <v>4864.65</v>
      </c>
      <c r="D327" t="n">
        <v>0</v>
      </c>
      <c r="E327">
        <f>D327/MAX($B$2:B327,100000)</f>
        <v/>
      </c>
      <c r="H327" s="2" t="n"/>
      <c r="I327" s="2" t="n"/>
    </row>
    <row r="328">
      <c r="A328" s="2" t="n">
        <v>38814</v>
      </c>
      <c r="B328" t="n">
        <v>429132.59</v>
      </c>
      <c r="C328" t="n">
        <v>4864.65</v>
      </c>
      <c r="D328" t="n">
        <v>0</v>
      </c>
      <c r="E328">
        <f>D328/MAX($B$2:B328,100000)</f>
        <v/>
      </c>
      <c r="H328" s="2" t="n"/>
      <c r="I328" s="2" t="n"/>
    </row>
    <row r="329">
      <c r="A329" s="2" t="n">
        <v>38820</v>
      </c>
      <c r="B329" t="n">
        <v>418463.38</v>
      </c>
      <c r="C329" t="n">
        <v>4864.65</v>
      </c>
      <c r="D329" t="n">
        <v>-10669.22</v>
      </c>
      <c r="E329">
        <f>D329/MAX($B$2:B329,100000)</f>
        <v/>
      </c>
      <c r="H329" s="2" t="n"/>
      <c r="I329" s="2" t="n"/>
    </row>
    <row r="330">
      <c r="A330" s="2" t="n">
        <v>38828</v>
      </c>
      <c r="B330" t="n">
        <v>433183.69</v>
      </c>
      <c r="C330" t="n">
        <v>4864.65</v>
      </c>
      <c r="D330" t="n">
        <v>0</v>
      </c>
      <c r="E330">
        <f>D330/MAX($B$2:B330,100000)</f>
        <v/>
      </c>
      <c r="H330" s="2" t="n"/>
      <c r="I330" s="2" t="n"/>
    </row>
    <row r="331">
      <c r="A331" s="2" t="n">
        <v>38835</v>
      </c>
      <c r="B331" t="n">
        <v>439081.69</v>
      </c>
      <c r="C331" t="n">
        <v>4864.65</v>
      </c>
      <c r="D331" t="n">
        <v>0</v>
      </c>
      <c r="E331">
        <f>D331/MAX($B$2:B331,100000)</f>
        <v/>
      </c>
      <c r="H331" s="2" t="n"/>
      <c r="I331" s="2" t="n"/>
    </row>
    <row r="332">
      <c r="A332" s="2" t="n">
        <v>38842</v>
      </c>
      <c r="B332" t="n">
        <v>435859.09</v>
      </c>
      <c r="C332" t="n">
        <v>4864.65</v>
      </c>
      <c r="D332" t="n">
        <v>-3222.59</v>
      </c>
      <c r="E332">
        <f>D332/MAX($B$2:B332,100000)</f>
        <v/>
      </c>
      <c r="H332" s="2" t="n"/>
      <c r="I332" s="2" t="n"/>
    </row>
    <row r="333">
      <c r="A333" s="2" t="n">
        <v>38849</v>
      </c>
      <c r="B333" t="n">
        <v>446773.16</v>
      </c>
      <c r="C333" t="n">
        <v>4864.65</v>
      </c>
      <c r="D333" t="n">
        <v>0</v>
      </c>
      <c r="E333">
        <f>D333/MAX($B$2:B333,100000)</f>
        <v/>
      </c>
      <c r="H333" s="2" t="n"/>
      <c r="I333" s="2" t="n"/>
    </row>
    <row r="334">
      <c r="A334" s="2" t="n">
        <v>38856</v>
      </c>
      <c r="B334" t="n">
        <v>416303.13</v>
      </c>
      <c r="C334" t="n">
        <v>4864.65</v>
      </c>
      <c r="D334" t="n">
        <v>-30470.03</v>
      </c>
      <c r="E334">
        <f>D334/MAX($B$2:B334,100000)</f>
        <v/>
      </c>
      <c r="H334" s="2" t="n"/>
      <c r="I334" s="2" t="n"/>
    </row>
    <row r="335">
      <c r="A335" s="2" t="n">
        <v>38863</v>
      </c>
      <c r="B335" t="n">
        <v>408635.88</v>
      </c>
      <c r="C335" t="n">
        <v>4864.65</v>
      </c>
      <c r="D335" t="n">
        <v>-38137.28</v>
      </c>
      <c r="E335">
        <f>D335/MAX($B$2:B335,100000)</f>
        <v/>
      </c>
      <c r="H335" s="2" t="n"/>
      <c r="I335" s="2" t="n"/>
    </row>
    <row r="336">
      <c r="A336" s="2" t="n">
        <v>38870</v>
      </c>
      <c r="B336" t="n">
        <v>418188.91</v>
      </c>
      <c r="C336" t="n">
        <v>4864.65</v>
      </c>
      <c r="D336" t="n">
        <v>-28584.25</v>
      </c>
      <c r="E336">
        <f>D336/MAX($B$2:B336,100000)</f>
        <v/>
      </c>
      <c r="H336" s="2" t="n"/>
      <c r="I336" s="2" t="n"/>
    </row>
    <row r="337">
      <c r="A337" s="2" t="n">
        <v>38877</v>
      </c>
      <c r="B337" t="n">
        <v>416019.09</v>
      </c>
      <c r="C337" t="n">
        <v>110287</v>
      </c>
      <c r="D337" t="n">
        <v>-30754.06</v>
      </c>
      <c r="E337">
        <f>D337/MAX($B$2:B337,100000)</f>
        <v/>
      </c>
      <c r="H337" s="2" t="n"/>
      <c r="I337" s="2" t="n"/>
    </row>
    <row r="338">
      <c r="A338" s="2" t="n">
        <v>38884</v>
      </c>
      <c r="B338" t="n">
        <v>418241.06</v>
      </c>
      <c r="C338" t="n">
        <v>110287</v>
      </c>
      <c r="D338" t="n">
        <v>-28532.09</v>
      </c>
      <c r="E338">
        <f>D338/MAX($B$2:B338,100000)</f>
        <v/>
      </c>
      <c r="H338" s="2" t="n"/>
      <c r="I338" s="2" t="n"/>
    </row>
    <row r="339">
      <c r="A339" s="2" t="n">
        <v>38891</v>
      </c>
      <c r="B339" t="n">
        <v>418430.88</v>
      </c>
      <c r="C339" t="n">
        <v>110287</v>
      </c>
      <c r="D339" t="n">
        <v>-28342.28</v>
      </c>
      <c r="E339">
        <f>D339/MAX($B$2:B339,100000)</f>
        <v/>
      </c>
      <c r="H339" s="2" t="n"/>
      <c r="I339" s="2" t="n"/>
    </row>
    <row r="340">
      <c r="A340" s="2" t="n">
        <v>38898</v>
      </c>
      <c r="B340" t="n">
        <v>424333.13</v>
      </c>
      <c r="C340" t="n">
        <v>110287</v>
      </c>
      <c r="D340" t="n">
        <v>-22440.03</v>
      </c>
      <c r="E340">
        <f>D340/MAX($B$2:B340,100000)</f>
        <v/>
      </c>
      <c r="H340" s="2" t="n"/>
      <c r="I340" s="2" t="n"/>
    </row>
    <row r="341">
      <c r="A341" s="2" t="n">
        <v>38905</v>
      </c>
      <c r="B341" t="n">
        <v>430351.16</v>
      </c>
      <c r="C341" t="n">
        <v>110287</v>
      </c>
      <c r="D341" t="n">
        <v>-16422</v>
      </c>
      <c r="E341">
        <f>D341/MAX($B$2:B341,100000)</f>
        <v/>
      </c>
      <c r="H341" s="2" t="n"/>
      <c r="I341" s="2" t="n"/>
    </row>
    <row r="342">
      <c r="A342" s="2" t="n">
        <v>38912</v>
      </c>
      <c r="B342" t="n">
        <v>423149.47</v>
      </c>
      <c r="C342" t="n">
        <v>110287</v>
      </c>
      <c r="D342" t="n">
        <v>-23623.69</v>
      </c>
      <c r="E342">
        <f>D342/MAX($B$2:B342,100000)</f>
        <v/>
      </c>
      <c r="H342" s="2" t="n"/>
      <c r="I342" s="2" t="n"/>
    </row>
    <row r="343">
      <c r="A343" s="2" t="n">
        <v>38919</v>
      </c>
      <c r="B343" t="n">
        <v>425092.97</v>
      </c>
      <c r="C343" t="n">
        <v>181443.06</v>
      </c>
      <c r="D343" t="n">
        <v>-21680.19</v>
      </c>
      <c r="E343">
        <f>D343/MAX($B$2:B343,100000)</f>
        <v/>
      </c>
      <c r="H343" s="2" t="n"/>
      <c r="I343" s="2" t="n"/>
    </row>
    <row r="344">
      <c r="A344" s="2" t="n">
        <v>38926</v>
      </c>
      <c r="B344" t="n">
        <v>427927.72</v>
      </c>
      <c r="C344" t="n">
        <v>217106.19</v>
      </c>
      <c r="D344" t="n">
        <v>-18845.44</v>
      </c>
      <c r="E344">
        <f>D344/MAX($B$2:B344,100000)</f>
        <v/>
      </c>
      <c r="H344" s="2" t="n"/>
      <c r="I344" s="2" t="n"/>
    </row>
    <row r="345">
      <c r="A345" s="2" t="n">
        <v>38933</v>
      </c>
      <c r="B345" t="n">
        <v>425934.31</v>
      </c>
      <c r="C345" t="n">
        <v>217106.19</v>
      </c>
      <c r="D345" t="n">
        <v>-20838.84</v>
      </c>
      <c r="E345">
        <f>D345/MAX($B$2:B345,100000)</f>
        <v/>
      </c>
      <c r="H345" s="2" t="n"/>
      <c r="I345" s="2" t="n"/>
    </row>
    <row r="346">
      <c r="A346" s="2" t="n">
        <v>38940</v>
      </c>
      <c r="B346" t="n">
        <v>425727.69</v>
      </c>
      <c r="C346" t="n">
        <v>217106.19</v>
      </c>
      <c r="D346" t="n">
        <v>-21045.47</v>
      </c>
      <c r="E346">
        <f>D346/MAX($B$2:B346,100000)</f>
        <v/>
      </c>
      <c r="H346" s="2" t="n"/>
      <c r="I346" s="2" t="n"/>
    </row>
    <row r="347">
      <c r="A347" s="2" t="n">
        <v>38947</v>
      </c>
      <c r="B347" t="n">
        <v>428531.5</v>
      </c>
      <c r="C347" t="n">
        <v>217106.19</v>
      </c>
      <c r="D347" t="n">
        <v>-18241.66</v>
      </c>
      <c r="E347">
        <f>D347/MAX($B$2:B347,100000)</f>
        <v/>
      </c>
      <c r="H347" s="2" t="n"/>
      <c r="I347" s="2" t="n"/>
    </row>
    <row r="348">
      <c r="A348" s="2" t="n">
        <v>38954</v>
      </c>
      <c r="B348" t="n">
        <v>427767.13</v>
      </c>
      <c r="C348" t="n">
        <v>163356.88</v>
      </c>
      <c r="D348" t="n">
        <v>-19006.03</v>
      </c>
      <c r="E348">
        <f>D348/MAX($B$2:B348,100000)</f>
        <v/>
      </c>
      <c r="H348" s="2" t="n"/>
      <c r="I348" s="2" t="n"/>
    </row>
    <row r="349">
      <c r="A349" s="2" t="n">
        <v>38961</v>
      </c>
      <c r="B349" t="n">
        <v>439668.47</v>
      </c>
      <c r="C349" t="n">
        <v>56043.03</v>
      </c>
      <c r="D349" t="n">
        <v>-7104.69</v>
      </c>
      <c r="E349">
        <f>D349/MAX($B$2:B349,100000)</f>
        <v/>
      </c>
      <c r="H349" s="2" t="n"/>
      <c r="I349" s="2" t="n"/>
    </row>
    <row r="350">
      <c r="A350" s="2" t="n">
        <v>38968</v>
      </c>
      <c r="B350" t="n">
        <v>442983.69</v>
      </c>
      <c r="C350" t="n">
        <v>28413.84</v>
      </c>
      <c r="D350" t="n">
        <v>-3789.47</v>
      </c>
      <c r="E350">
        <f>D350/MAX($B$2:B350,100000)</f>
        <v/>
      </c>
      <c r="H350" s="2" t="n"/>
      <c r="I350" s="2" t="n"/>
    </row>
    <row r="351">
      <c r="A351" s="2" t="n">
        <v>38975</v>
      </c>
      <c r="B351" t="n">
        <v>449490.75</v>
      </c>
      <c r="C351" t="n">
        <v>28413.84</v>
      </c>
      <c r="D351" t="n">
        <v>0</v>
      </c>
      <c r="E351">
        <f>D351/MAX($B$2:B351,100000)</f>
        <v/>
      </c>
      <c r="H351" s="2" t="n"/>
      <c r="I351" s="2" t="n"/>
    </row>
    <row r="352">
      <c r="A352" s="2" t="n">
        <v>38982</v>
      </c>
      <c r="B352" t="n">
        <v>441214.09</v>
      </c>
      <c r="C352" t="n">
        <v>28413.84</v>
      </c>
      <c r="D352" t="n">
        <v>-8276.66</v>
      </c>
      <c r="E352">
        <f>D352/MAX($B$2:B352,100000)</f>
        <v/>
      </c>
      <c r="H352" s="2" t="n"/>
      <c r="I352" s="2" t="n"/>
    </row>
    <row r="353">
      <c r="A353" s="2" t="n">
        <v>38989</v>
      </c>
      <c r="B353" t="n">
        <v>461041.91</v>
      </c>
      <c r="C353" t="n">
        <v>28413.84</v>
      </c>
      <c r="D353" t="n">
        <v>0</v>
      </c>
      <c r="E353">
        <f>D353/MAX($B$2:B353,100000)</f>
        <v/>
      </c>
      <c r="H353" s="2" t="n"/>
      <c r="I353" s="2" t="n"/>
    </row>
    <row r="354">
      <c r="A354" s="2" t="n">
        <v>38996</v>
      </c>
      <c r="B354" t="n">
        <v>470939.66</v>
      </c>
      <c r="C354" t="n">
        <v>25550.3</v>
      </c>
      <c r="D354" t="n">
        <v>0</v>
      </c>
      <c r="E354">
        <f>D354/MAX($B$2:B354,100000)</f>
        <v/>
      </c>
      <c r="H354" s="2" t="n"/>
      <c r="I354" s="2" t="n"/>
    </row>
    <row r="355">
      <c r="A355" s="2" t="n">
        <v>39003</v>
      </c>
      <c r="B355" t="n">
        <v>481915.72</v>
      </c>
      <c r="C355" t="n">
        <v>25550.3</v>
      </c>
      <c r="D355" t="n">
        <v>0</v>
      </c>
      <c r="E355">
        <f>D355/MAX($B$2:B355,100000)</f>
        <v/>
      </c>
      <c r="H355" s="2" t="n"/>
      <c r="I355" s="2" t="n"/>
    </row>
    <row r="356">
      <c r="A356" s="2" t="n">
        <v>39010</v>
      </c>
      <c r="B356" t="n">
        <v>486248.47</v>
      </c>
      <c r="C356" t="n">
        <v>25550.3</v>
      </c>
      <c r="D356" t="n">
        <v>0</v>
      </c>
      <c r="E356">
        <f>D356/MAX($B$2:B356,100000)</f>
        <v/>
      </c>
      <c r="H356" s="2" t="n"/>
      <c r="I356" s="2" t="n"/>
    </row>
    <row r="357">
      <c r="A357" s="2" t="n">
        <v>39017</v>
      </c>
      <c r="B357" t="n">
        <v>490060.13</v>
      </c>
      <c r="C357" t="n">
        <v>25550.3</v>
      </c>
      <c r="D357" t="n">
        <v>0</v>
      </c>
      <c r="E357">
        <f>D357/MAX($B$2:B357,100000)</f>
        <v/>
      </c>
      <c r="H357" s="2" t="n"/>
      <c r="I357" s="2" t="n"/>
    </row>
    <row r="358">
      <c r="A358" s="2" t="n">
        <v>39024</v>
      </c>
      <c r="B358" t="n">
        <v>492607.34</v>
      </c>
      <c r="C358" t="n">
        <v>25550.3</v>
      </c>
      <c r="D358" t="n">
        <v>0</v>
      </c>
      <c r="E358">
        <f>D358/MAX($B$2:B358,100000)</f>
        <v/>
      </c>
      <c r="H358" s="2" t="n"/>
      <c r="I358" s="2" t="n"/>
    </row>
    <row r="359">
      <c r="A359" s="2" t="n">
        <v>39031</v>
      </c>
      <c r="B359" t="n">
        <v>500027.91</v>
      </c>
      <c r="C359" t="n">
        <v>25550.3</v>
      </c>
      <c r="D359" t="n">
        <v>0</v>
      </c>
      <c r="E359">
        <f>D359/MAX($B$2:B359,100000)</f>
        <v/>
      </c>
      <c r="H359" s="2" t="n"/>
      <c r="I359" s="2" t="n"/>
    </row>
    <row r="360">
      <c r="A360" s="2" t="n">
        <v>39038</v>
      </c>
      <c r="B360" t="n">
        <v>493577.94</v>
      </c>
      <c r="C360" t="n">
        <v>25550.3</v>
      </c>
      <c r="D360" t="n">
        <v>-6449.97</v>
      </c>
      <c r="E360">
        <f>D360/MAX($B$2:B360,100000)</f>
        <v/>
      </c>
      <c r="H360" s="2" t="n"/>
      <c r="I360" s="2" t="n"/>
    </row>
    <row r="361">
      <c r="A361" s="2" t="n">
        <v>39045</v>
      </c>
      <c r="B361" t="n">
        <v>501718.81</v>
      </c>
      <c r="C361" t="n">
        <v>21956.12</v>
      </c>
      <c r="D361" t="n">
        <v>0</v>
      </c>
      <c r="E361">
        <f>D361/MAX($B$2:B361,100000)</f>
        <v/>
      </c>
      <c r="H361" s="2" t="n"/>
      <c r="I361" s="2" t="n"/>
    </row>
    <row r="362">
      <c r="A362" s="2" t="n">
        <v>39052</v>
      </c>
      <c r="B362" t="n">
        <v>498673.72</v>
      </c>
      <c r="C362" t="n">
        <v>21956.12</v>
      </c>
      <c r="D362" t="n">
        <v>-3045.09</v>
      </c>
      <c r="E362">
        <f>D362/MAX($B$2:B362,100000)</f>
        <v/>
      </c>
      <c r="H362" s="2" t="n"/>
      <c r="I362" s="2" t="n"/>
    </row>
    <row r="363">
      <c r="A363" s="2" t="n">
        <v>39059</v>
      </c>
      <c r="B363" t="n">
        <v>497266.63</v>
      </c>
      <c r="C363" t="n">
        <v>21956.12</v>
      </c>
      <c r="D363" t="n">
        <v>-4452.19</v>
      </c>
      <c r="E363">
        <f>D363/MAX($B$2:B363,100000)</f>
        <v/>
      </c>
      <c r="H363" s="2" t="n"/>
      <c r="I363" s="2" t="n"/>
    </row>
    <row r="364">
      <c r="A364" s="2" t="n">
        <v>39066</v>
      </c>
      <c r="B364" t="n">
        <v>504657.75</v>
      </c>
      <c r="C364" t="n">
        <v>21956.12</v>
      </c>
      <c r="D364" t="n">
        <v>0</v>
      </c>
      <c r="E364">
        <f>D364/MAX($B$2:B364,100000)</f>
        <v/>
      </c>
      <c r="H364" s="2" t="n"/>
      <c r="I364" s="2" t="n"/>
    </row>
    <row r="365">
      <c r="A365" s="2" t="n">
        <v>39073</v>
      </c>
      <c r="B365" t="n">
        <v>506976.75</v>
      </c>
      <c r="C365" t="n">
        <v>21956.12</v>
      </c>
      <c r="D365" t="n">
        <v>0</v>
      </c>
      <c r="E365">
        <f>D365/MAX($B$2:B365,100000)</f>
        <v/>
      </c>
      <c r="H365" s="2" t="n"/>
      <c r="I365" s="2" t="n"/>
    </row>
    <row r="366">
      <c r="A366" s="2" t="n">
        <v>39080</v>
      </c>
      <c r="B366" t="n">
        <v>512338.34</v>
      </c>
      <c r="C366" t="n">
        <v>21956.12</v>
      </c>
      <c r="D366" t="n">
        <v>0</v>
      </c>
      <c r="E366">
        <f>D366/MAX($B$2:B366,100000)</f>
        <v/>
      </c>
      <c r="H366" s="2" t="n"/>
      <c r="I366" s="2" t="n"/>
    </row>
    <row r="367">
      <c r="A367" s="2" t="n">
        <v>39087</v>
      </c>
      <c r="B367" t="n">
        <v>503420.44</v>
      </c>
      <c r="C367" t="n">
        <v>21956.12</v>
      </c>
      <c r="D367" t="n">
        <v>-8917.91</v>
      </c>
      <c r="E367">
        <f>D367/MAX($B$2:B367,100000)</f>
        <v/>
      </c>
      <c r="H367" s="2" t="n"/>
      <c r="I367" s="2" t="n"/>
    </row>
    <row r="368">
      <c r="A368" s="2" t="n">
        <v>39094</v>
      </c>
      <c r="B368" t="n">
        <v>508905.97</v>
      </c>
      <c r="C368" t="n">
        <v>21956.12</v>
      </c>
      <c r="D368" t="n">
        <v>-3432.38</v>
      </c>
      <c r="E368">
        <f>D368/MAX($B$2:B368,100000)</f>
        <v/>
      </c>
      <c r="H368" s="2" t="n"/>
      <c r="I368" s="2" t="n"/>
    </row>
    <row r="369">
      <c r="A369" s="2" t="n">
        <v>39101</v>
      </c>
      <c r="B369" t="n">
        <v>517366.69</v>
      </c>
      <c r="C369" t="n">
        <v>21956.12</v>
      </c>
      <c r="D369" t="n">
        <v>0</v>
      </c>
      <c r="E369">
        <f>D369/MAX($B$2:B369,100000)</f>
        <v/>
      </c>
      <c r="H369" s="2" t="n"/>
      <c r="I369" s="2" t="n"/>
    </row>
    <row r="370">
      <c r="A370" s="2" t="n">
        <v>39107</v>
      </c>
      <c r="B370" t="n">
        <v>529560.5600000001</v>
      </c>
      <c r="C370" t="n">
        <v>36088.77</v>
      </c>
      <c r="D370" t="n">
        <v>0</v>
      </c>
      <c r="E370">
        <f>D370/MAX($B$2:B370,100000)</f>
        <v/>
      </c>
      <c r="H370" s="2" t="n"/>
      <c r="I370" s="2" t="n"/>
    </row>
    <row r="371">
      <c r="A371" s="2" t="n">
        <v>39115</v>
      </c>
      <c r="B371" t="n">
        <v>535231.38</v>
      </c>
      <c r="C371" t="n">
        <v>36088.77</v>
      </c>
      <c r="D371" t="n">
        <v>0</v>
      </c>
      <c r="E371">
        <f>D371/MAX($B$2:B371,100000)</f>
        <v/>
      </c>
      <c r="H371" s="2" t="n"/>
      <c r="I371" s="2" t="n"/>
    </row>
    <row r="372">
      <c r="A372" s="2" t="n">
        <v>39122</v>
      </c>
      <c r="B372" t="n">
        <v>537753</v>
      </c>
      <c r="C372" t="n">
        <v>36088.77</v>
      </c>
      <c r="D372" t="n">
        <v>0</v>
      </c>
      <c r="E372">
        <f>D372/MAX($B$2:B372,100000)</f>
        <v/>
      </c>
      <c r="H372" s="2" t="n"/>
      <c r="I372" s="2" t="n"/>
    </row>
    <row r="373">
      <c r="A373" s="2" t="n">
        <v>39129</v>
      </c>
      <c r="B373" t="n">
        <v>546418</v>
      </c>
      <c r="C373" t="n">
        <v>36088.77</v>
      </c>
      <c r="D373" t="n">
        <v>0</v>
      </c>
      <c r="E373">
        <f>D373/MAX($B$2:B373,100000)</f>
        <v/>
      </c>
      <c r="H373" s="2" t="n"/>
      <c r="I373" s="2" t="n"/>
    </row>
    <row r="374">
      <c r="A374" s="2" t="n">
        <v>39136</v>
      </c>
      <c r="B374" t="n">
        <v>556560.75</v>
      </c>
      <c r="C374" t="n">
        <v>36088.77</v>
      </c>
      <c r="D374" t="n">
        <v>0</v>
      </c>
      <c r="E374">
        <f>D374/MAX($B$2:B374,100000)</f>
        <v/>
      </c>
      <c r="H374" s="2" t="n"/>
      <c r="I374" s="2" t="n"/>
    </row>
    <row r="375">
      <c r="A375" s="2" t="n">
        <v>39143</v>
      </c>
      <c r="B375" t="n">
        <v>537029.63</v>
      </c>
      <c r="C375" t="n">
        <v>23603.43</v>
      </c>
      <c r="D375" t="n">
        <v>-19531.13</v>
      </c>
      <c r="E375">
        <f>D375/MAX($B$2:B375,100000)</f>
        <v/>
      </c>
      <c r="H375" s="2" t="n"/>
      <c r="I375" s="2" t="n"/>
    </row>
    <row r="376">
      <c r="A376" s="2" t="n">
        <v>39150</v>
      </c>
      <c r="B376" t="n">
        <v>540708.5600000001</v>
      </c>
      <c r="C376" t="n">
        <v>23603.43</v>
      </c>
      <c r="D376" t="n">
        <v>-15852.19</v>
      </c>
      <c r="E376">
        <f>D376/MAX($B$2:B376,100000)</f>
        <v/>
      </c>
      <c r="H376" s="2" t="n"/>
      <c r="I376" s="2" t="n"/>
    </row>
    <row r="377">
      <c r="A377" s="2" t="n">
        <v>39157</v>
      </c>
      <c r="B377" t="n">
        <v>542058.3100000001</v>
      </c>
      <c r="C377" t="n">
        <v>23603.43</v>
      </c>
      <c r="D377" t="n">
        <v>-14502.44</v>
      </c>
      <c r="E377">
        <f>D377/MAX($B$2:B377,100000)</f>
        <v/>
      </c>
      <c r="H377" s="2" t="n"/>
      <c r="I377" s="2" t="n"/>
    </row>
    <row r="378">
      <c r="A378" s="2" t="n">
        <v>39164</v>
      </c>
      <c r="B378" t="n">
        <v>559495.75</v>
      </c>
      <c r="C378" t="n">
        <v>23603.43</v>
      </c>
      <c r="D378" t="n">
        <v>0</v>
      </c>
      <c r="E378">
        <f>D378/MAX($B$2:B378,100000)</f>
        <v/>
      </c>
      <c r="H378" s="2" t="n"/>
      <c r="I378" s="2" t="n"/>
    </row>
    <row r="379">
      <c r="A379" s="2" t="n">
        <v>39171</v>
      </c>
      <c r="B379" t="n">
        <v>564593.9399999999</v>
      </c>
      <c r="C379" t="n">
        <v>23603.43</v>
      </c>
      <c r="D379" t="n">
        <v>0</v>
      </c>
      <c r="E379">
        <f>D379/MAX($B$2:B379,100000)</f>
        <v/>
      </c>
      <c r="H379" s="2" t="n"/>
      <c r="I379" s="2" t="n"/>
    </row>
    <row r="380">
      <c r="A380" s="2" t="n">
        <v>39177</v>
      </c>
      <c r="B380" t="n">
        <v>576714.9399999999</v>
      </c>
      <c r="C380" t="n">
        <v>23603.43</v>
      </c>
      <c r="D380" t="n">
        <v>0</v>
      </c>
      <c r="E380">
        <f>D380/MAX($B$2:B380,100000)</f>
        <v/>
      </c>
      <c r="H380" s="2" t="n"/>
      <c r="I380" s="2" t="n"/>
    </row>
    <row r="381">
      <c r="A381" s="2" t="n">
        <v>39185</v>
      </c>
      <c r="B381" t="n">
        <v>580759</v>
      </c>
      <c r="C381" t="n">
        <v>23603.43</v>
      </c>
      <c r="D381" t="n">
        <v>0</v>
      </c>
      <c r="E381">
        <f>D381/MAX($B$2:B381,100000)</f>
        <v/>
      </c>
      <c r="H381" s="2" t="n"/>
      <c r="I381" s="2" t="n"/>
    </row>
    <row r="382">
      <c r="A382" s="2" t="n">
        <v>39192</v>
      </c>
      <c r="B382" t="n">
        <v>574424.1899999999</v>
      </c>
      <c r="C382" t="n">
        <v>23603.43</v>
      </c>
      <c r="D382" t="n">
        <v>-6334.81</v>
      </c>
      <c r="E382">
        <f>D382/MAX($B$2:B382,100000)</f>
        <v/>
      </c>
      <c r="H382" s="2" t="n"/>
      <c r="I382" s="2" t="n"/>
    </row>
    <row r="383">
      <c r="A383" s="2" t="n">
        <v>39199</v>
      </c>
      <c r="B383" t="n">
        <v>573484.8100000001</v>
      </c>
      <c r="C383" t="n">
        <v>23603.43</v>
      </c>
      <c r="D383" t="n">
        <v>-7274.19</v>
      </c>
      <c r="E383">
        <f>D383/MAX($B$2:B383,100000)</f>
        <v/>
      </c>
      <c r="H383" s="2" t="n"/>
      <c r="I383" s="2" t="n"/>
    </row>
    <row r="384">
      <c r="A384" s="2" t="n">
        <v>39206</v>
      </c>
      <c r="B384" t="n">
        <v>601357.3100000001</v>
      </c>
      <c r="C384" t="n">
        <v>23603.43</v>
      </c>
      <c r="D384" t="n">
        <v>0</v>
      </c>
      <c r="E384">
        <f>D384/MAX($B$2:B384,100000)</f>
        <v/>
      </c>
      <c r="H384" s="2" t="n"/>
      <c r="I384" s="2" t="n"/>
    </row>
    <row r="385">
      <c r="A385" s="2" t="n">
        <v>39213</v>
      </c>
      <c r="B385" t="n">
        <v>600029.5</v>
      </c>
      <c r="C385" t="n">
        <v>23603.43</v>
      </c>
      <c r="D385" t="n">
        <v>-1327.81</v>
      </c>
      <c r="E385">
        <f>D385/MAX($B$2:B385,100000)</f>
        <v/>
      </c>
      <c r="H385" s="2" t="n"/>
      <c r="I385" s="2" t="n"/>
    </row>
    <row r="386">
      <c r="A386" s="2" t="n">
        <v>39220</v>
      </c>
      <c r="B386" t="n">
        <v>608464.75</v>
      </c>
      <c r="C386" t="n">
        <v>23603.43</v>
      </c>
      <c r="D386" t="n">
        <v>0</v>
      </c>
      <c r="E386">
        <f>D386/MAX($B$2:B386,100000)</f>
        <v/>
      </c>
      <c r="H386" s="2" t="n"/>
      <c r="I386" s="2" t="n"/>
    </row>
    <row r="387">
      <c r="A387" s="2" t="n">
        <v>39227</v>
      </c>
      <c r="B387" t="n">
        <v>604542.9399999999</v>
      </c>
      <c r="C387" t="n">
        <v>23603.43</v>
      </c>
      <c r="D387" t="n">
        <v>-3921.81</v>
      </c>
      <c r="E387">
        <f>D387/MAX($B$2:B387,100000)</f>
        <v/>
      </c>
      <c r="H387" s="2" t="n"/>
      <c r="I387" s="2" t="n"/>
    </row>
    <row r="388">
      <c r="A388" s="2" t="n">
        <v>39234</v>
      </c>
      <c r="B388" t="n">
        <v>609888.1899999999</v>
      </c>
      <c r="C388" t="n">
        <v>23603.43</v>
      </c>
      <c r="D388" t="n">
        <v>0</v>
      </c>
      <c r="E388">
        <f>D388/MAX($B$2:B388,100000)</f>
        <v/>
      </c>
      <c r="H388" s="2" t="n"/>
      <c r="I388" s="2" t="n"/>
    </row>
    <row r="389">
      <c r="A389" s="2" t="n">
        <v>39241</v>
      </c>
      <c r="B389" t="n">
        <v>594244.13</v>
      </c>
      <c r="C389" t="n">
        <v>23603.43</v>
      </c>
      <c r="D389" t="n">
        <v>-15644.06</v>
      </c>
      <c r="E389">
        <f>D389/MAX($B$2:B389,100000)</f>
        <v/>
      </c>
      <c r="H389" s="2" t="n"/>
      <c r="I389" s="2" t="n"/>
    </row>
    <row r="390">
      <c r="A390" s="2" t="n">
        <v>39248</v>
      </c>
      <c r="B390" t="n">
        <v>582207.38</v>
      </c>
      <c r="C390" t="n">
        <v>23603.43</v>
      </c>
      <c r="D390" t="n">
        <v>-27680.81</v>
      </c>
      <c r="E390">
        <f>D390/MAX($B$2:B390,100000)</f>
        <v/>
      </c>
      <c r="H390" s="2" t="n"/>
      <c r="I390" s="2" t="n"/>
    </row>
    <row r="391">
      <c r="A391" s="2" t="n">
        <v>39255</v>
      </c>
      <c r="B391" t="n">
        <v>586977.8100000001</v>
      </c>
      <c r="C391" t="n">
        <v>23603.43</v>
      </c>
      <c r="D391" t="n">
        <v>-22910.38</v>
      </c>
      <c r="E391">
        <f>D391/MAX($B$2:B391,100000)</f>
        <v/>
      </c>
      <c r="H391" s="2" t="n"/>
      <c r="I391" s="2" t="n"/>
    </row>
    <row r="392">
      <c r="A392" s="2" t="n">
        <v>39262</v>
      </c>
      <c r="B392" t="n">
        <v>577814.13</v>
      </c>
      <c r="C392" t="n">
        <v>23603.43</v>
      </c>
      <c r="D392" t="n">
        <v>-32074.06</v>
      </c>
      <c r="E392">
        <f>D392/MAX($B$2:B392,100000)</f>
        <v/>
      </c>
      <c r="H392" s="2" t="n"/>
      <c r="I392" s="2" t="n"/>
    </row>
    <row r="393">
      <c r="A393" s="2" t="n">
        <v>39269</v>
      </c>
      <c r="B393" t="n">
        <v>579909.6899999999</v>
      </c>
      <c r="C393" t="n">
        <v>11993.88</v>
      </c>
      <c r="D393" t="n">
        <v>-29978.5</v>
      </c>
      <c r="E393">
        <f>D393/MAX($B$2:B393,100000)</f>
        <v/>
      </c>
      <c r="H393" s="2" t="n"/>
      <c r="I393" s="2" t="n"/>
    </row>
    <row r="394">
      <c r="A394" s="2" t="n">
        <v>39276</v>
      </c>
      <c r="B394" t="n">
        <v>579359.3100000001</v>
      </c>
      <c r="C394" t="n">
        <v>11993.88</v>
      </c>
      <c r="D394" t="n">
        <v>-30528.88</v>
      </c>
      <c r="E394">
        <f>D394/MAX($B$2:B394,100000)</f>
        <v/>
      </c>
      <c r="H394" s="2" t="n"/>
      <c r="I394" s="2" t="n"/>
    </row>
    <row r="395">
      <c r="A395" s="2" t="n">
        <v>39283</v>
      </c>
      <c r="B395" t="n">
        <v>582773.63</v>
      </c>
      <c r="C395" t="n">
        <v>11993.88</v>
      </c>
      <c r="D395" t="n">
        <v>-27114.56</v>
      </c>
      <c r="E395">
        <f>D395/MAX($B$2:B395,100000)</f>
        <v/>
      </c>
      <c r="H395" s="2" t="n"/>
      <c r="I395" s="2" t="n"/>
    </row>
    <row r="396">
      <c r="A396" s="2" t="n">
        <v>39290</v>
      </c>
      <c r="B396" t="n">
        <v>554640.25</v>
      </c>
      <c r="C396" t="n">
        <v>11993.88</v>
      </c>
      <c r="D396" t="n">
        <v>-55247.94</v>
      </c>
      <c r="E396">
        <f>D396/MAX($B$2:B396,100000)</f>
        <v/>
      </c>
      <c r="H396" s="2" t="n"/>
      <c r="I396" s="2" t="n"/>
    </row>
    <row r="397">
      <c r="A397" s="2" t="n">
        <v>39297</v>
      </c>
      <c r="B397" t="n">
        <v>544411.13</v>
      </c>
      <c r="C397" t="n">
        <v>11993.88</v>
      </c>
      <c r="D397" t="n">
        <v>-65477.06</v>
      </c>
      <c r="E397">
        <f>D397/MAX($B$2:B397,100000)</f>
        <v/>
      </c>
      <c r="H397" s="2" t="n"/>
      <c r="I397" s="2" t="n"/>
    </row>
    <row r="398">
      <c r="A398" s="2" t="n">
        <v>39304</v>
      </c>
      <c r="B398" t="n">
        <v>545435.75</v>
      </c>
      <c r="C398" t="n">
        <v>158660.05</v>
      </c>
      <c r="D398" t="n">
        <v>-64452.44</v>
      </c>
      <c r="E398">
        <f>D398/MAX($B$2:B398,100000)</f>
        <v/>
      </c>
      <c r="H398" s="2" t="n"/>
      <c r="I398" s="2" t="n"/>
    </row>
    <row r="399">
      <c r="A399" s="2" t="n">
        <v>39311</v>
      </c>
      <c r="B399" t="n">
        <v>527873.9399999999</v>
      </c>
      <c r="C399" t="n">
        <v>224170.5</v>
      </c>
      <c r="D399" t="n">
        <v>-82014.25</v>
      </c>
      <c r="E399">
        <f>D399/MAX($B$2:B399,100000)</f>
        <v/>
      </c>
      <c r="H399" s="2" t="n"/>
      <c r="I399" s="2" t="n"/>
    </row>
    <row r="400">
      <c r="A400" s="2" t="n">
        <v>39318</v>
      </c>
      <c r="B400" t="n">
        <v>546233.13</v>
      </c>
      <c r="C400" t="n">
        <v>224170.5</v>
      </c>
      <c r="D400" t="n">
        <v>-63655.06</v>
      </c>
      <c r="E400">
        <f>D400/MAX($B$2:B400,100000)</f>
        <v/>
      </c>
      <c r="H400" s="2" t="n"/>
      <c r="I400" s="2" t="n"/>
    </row>
    <row r="401">
      <c r="A401" s="2" t="n">
        <v>39325</v>
      </c>
      <c r="B401" t="n">
        <v>554885.4399999999</v>
      </c>
      <c r="C401" t="n">
        <v>308491.53</v>
      </c>
      <c r="D401" t="n">
        <v>-55002.75</v>
      </c>
      <c r="E401">
        <f>D401/MAX($B$2:B401,100000)</f>
        <v/>
      </c>
      <c r="H401" s="2" t="n"/>
      <c r="I401" s="2" t="n"/>
    </row>
    <row r="402">
      <c r="A402" s="2" t="n">
        <v>39332</v>
      </c>
      <c r="B402" t="n">
        <v>559645.88</v>
      </c>
      <c r="C402" t="n">
        <v>169645.23</v>
      </c>
      <c r="D402" t="n">
        <v>-50242.31</v>
      </c>
      <c r="E402">
        <f>D402/MAX($B$2:B402,100000)</f>
        <v/>
      </c>
      <c r="H402" s="2" t="n"/>
      <c r="I402" s="2" t="n"/>
    </row>
    <row r="403">
      <c r="A403" s="2" t="n">
        <v>39339</v>
      </c>
      <c r="B403" t="n">
        <v>575050.25</v>
      </c>
      <c r="C403" t="n">
        <v>30935.2</v>
      </c>
      <c r="D403" t="n">
        <v>-34837.94</v>
      </c>
      <c r="E403">
        <f>D403/MAX($B$2:B403,100000)</f>
        <v/>
      </c>
      <c r="H403" s="2" t="n"/>
      <c r="I403" s="2" t="n"/>
    </row>
    <row r="404">
      <c r="A404" s="2" t="n">
        <v>39346</v>
      </c>
      <c r="B404" t="n">
        <v>580313.13</v>
      </c>
      <c r="C404" t="n">
        <v>30935.2</v>
      </c>
      <c r="D404" t="n">
        <v>-29575.06</v>
      </c>
      <c r="E404">
        <f>D404/MAX($B$2:B404,100000)</f>
        <v/>
      </c>
      <c r="H404" s="2" t="n"/>
      <c r="I404" s="2" t="n"/>
    </row>
    <row r="405">
      <c r="A405" s="2" t="n">
        <v>39353</v>
      </c>
      <c r="B405" t="n">
        <v>590712.5</v>
      </c>
      <c r="C405" t="n">
        <v>30935.2</v>
      </c>
      <c r="D405" t="n">
        <v>-19175.69</v>
      </c>
      <c r="E405">
        <f>D405/MAX($B$2:B405,100000)</f>
        <v/>
      </c>
      <c r="H405" s="2" t="n"/>
      <c r="I405" s="2" t="n"/>
    </row>
    <row r="406">
      <c r="A406" s="2" t="n">
        <v>39360</v>
      </c>
      <c r="B406" t="n">
        <v>588661.5</v>
      </c>
      <c r="C406" t="n">
        <v>30935.2</v>
      </c>
      <c r="D406" t="n">
        <v>-21226.69</v>
      </c>
      <c r="E406">
        <f>D406/MAX($B$2:B406,100000)</f>
        <v/>
      </c>
      <c r="H406" s="2" t="n"/>
      <c r="I406" s="2" t="n"/>
    </row>
    <row r="407">
      <c r="A407" s="2" t="n">
        <v>39367</v>
      </c>
      <c r="B407" t="n">
        <v>589882.4399999999</v>
      </c>
      <c r="C407" t="n">
        <v>30935.2</v>
      </c>
      <c r="D407" t="n">
        <v>-20005.75</v>
      </c>
      <c r="E407">
        <f>D407/MAX($B$2:B407,100000)</f>
        <v/>
      </c>
      <c r="H407" s="2" t="n"/>
      <c r="I407" s="2" t="n"/>
    </row>
    <row r="408">
      <c r="A408" s="2" t="n">
        <v>39374</v>
      </c>
      <c r="B408" t="n">
        <v>590188.1899999999</v>
      </c>
      <c r="C408" t="n">
        <v>30935.2</v>
      </c>
      <c r="D408" t="n">
        <v>-19700</v>
      </c>
      <c r="E408">
        <f>D408/MAX($B$2:B408,100000)</f>
        <v/>
      </c>
      <c r="H408" s="2" t="n"/>
      <c r="I408" s="2" t="n"/>
    </row>
    <row r="409">
      <c r="A409" s="2" t="n">
        <v>39381</v>
      </c>
      <c r="B409" t="n">
        <v>597190.63</v>
      </c>
      <c r="C409" t="n">
        <v>30935.2</v>
      </c>
      <c r="D409" t="n">
        <v>-12697.56</v>
      </c>
      <c r="E409">
        <f>D409/MAX($B$2:B409,100000)</f>
        <v/>
      </c>
      <c r="H409" s="2" t="n"/>
      <c r="I409" s="2" t="n"/>
    </row>
    <row r="410">
      <c r="A410" s="2" t="n">
        <v>39388</v>
      </c>
      <c r="B410" t="n">
        <v>596539.13</v>
      </c>
      <c r="C410" t="n">
        <v>30935.2</v>
      </c>
      <c r="D410" t="n">
        <v>-13349.06</v>
      </c>
      <c r="E410">
        <f>D410/MAX($B$2:B410,100000)</f>
        <v/>
      </c>
      <c r="H410" s="2" t="n"/>
      <c r="I410" s="2" t="n"/>
    </row>
    <row r="411">
      <c r="A411" s="2" t="n">
        <v>39395</v>
      </c>
      <c r="B411" t="n">
        <v>582349.6899999999</v>
      </c>
      <c r="C411" t="n">
        <v>30935.2</v>
      </c>
      <c r="D411" t="n">
        <v>-27538.5</v>
      </c>
      <c r="E411">
        <f>D411/MAX($B$2:B411,100000)</f>
        <v/>
      </c>
      <c r="H411" s="2" t="n"/>
      <c r="I411" s="2" t="n"/>
    </row>
    <row r="412">
      <c r="A412" s="2" t="n">
        <v>39402</v>
      </c>
      <c r="B412" t="n">
        <v>579948.5</v>
      </c>
      <c r="C412" t="n">
        <v>30935.2</v>
      </c>
      <c r="D412" t="n">
        <v>-29939.69</v>
      </c>
      <c r="E412">
        <f>D412/MAX($B$2:B412,100000)</f>
        <v/>
      </c>
      <c r="H412" s="2" t="n"/>
      <c r="I412" s="2" t="n"/>
    </row>
    <row r="413">
      <c r="A413" s="2" t="n">
        <v>39409</v>
      </c>
      <c r="B413" t="n">
        <v>569266.75</v>
      </c>
      <c r="C413" t="n">
        <v>30935.2</v>
      </c>
      <c r="D413" t="n">
        <v>-40621.44</v>
      </c>
      <c r="E413">
        <f>D413/MAX($B$2:B413,100000)</f>
        <v/>
      </c>
      <c r="H413" s="2" t="n"/>
      <c r="I413" s="2" t="n"/>
    </row>
    <row r="414">
      <c r="A414" s="2" t="n">
        <v>39416</v>
      </c>
      <c r="B414" t="n">
        <v>585200.5</v>
      </c>
      <c r="C414" t="n">
        <v>30935.2</v>
      </c>
      <c r="D414" t="n">
        <v>-24687.69</v>
      </c>
      <c r="E414">
        <f>D414/MAX($B$2:B414,100000)</f>
        <v/>
      </c>
      <c r="H414" s="2" t="n"/>
      <c r="I414" s="2" t="n"/>
    </row>
    <row r="415">
      <c r="A415" s="2" t="n">
        <v>39423</v>
      </c>
      <c r="B415" t="n">
        <v>596028.88</v>
      </c>
      <c r="C415" t="n">
        <v>38819.99</v>
      </c>
      <c r="D415" t="n">
        <v>-13859.31</v>
      </c>
      <c r="E415">
        <f>D415/MAX($B$2:B415,100000)</f>
        <v/>
      </c>
      <c r="H415" s="2" t="n"/>
      <c r="I415" s="2" t="n"/>
    </row>
    <row r="416">
      <c r="A416" s="2" t="n">
        <v>39430</v>
      </c>
      <c r="B416" t="n">
        <v>583880</v>
      </c>
      <c r="C416" t="n">
        <v>38819.99</v>
      </c>
      <c r="D416" t="n">
        <v>-26008.19</v>
      </c>
      <c r="E416">
        <f>D416/MAX($B$2:B416,100000)</f>
        <v/>
      </c>
      <c r="H416" s="2" t="n"/>
      <c r="I416" s="2" t="n"/>
    </row>
    <row r="417">
      <c r="A417" s="2" t="n">
        <v>39437</v>
      </c>
      <c r="B417" t="n">
        <v>576322.38</v>
      </c>
      <c r="C417" t="n">
        <v>38819.99</v>
      </c>
      <c r="D417" t="n">
        <v>-33565.81</v>
      </c>
      <c r="E417">
        <f>D417/MAX($B$2:B417,100000)</f>
        <v/>
      </c>
      <c r="H417" s="2" t="n"/>
      <c r="I417" s="2" t="n"/>
    </row>
    <row r="418">
      <c r="A418" s="2" t="n">
        <v>39444</v>
      </c>
      <c r="B418" t="n">
        <v>584499.75</v>
      </c>
      <c r="C418" t="n">
        <v>87272.99000000001</v>
      </c>
      <c r="D418" t="n">
        <v>-25388.44</v>
      </c>
      <c r="E418">
        <f>D418/MAX($B$2:B418,100000)</f>
        <v/>
      </c>
      <c r="H418" s="2" t="n"/>
      <c r="I418" s="2" t="n"/>
    </row>
    <row r="419">
      <c r="A419" s="2" t="n">
        <v>39451</v>
      </c>
      <c r="B419" t="n">
        <v>581380.88</v>
      </c>
      <c r="C419" t="n">
        <v>87272.99000000001</v>
      </c>
      <c r="D419" t="n">
        <v>-28507.31</v>
      </c>
      <c r="E419">
        <f>D419/MAX($B$2:B419,100000)</f>
        <v/>
      </c>
      <c r="H419" s="2" t="n"/>
      <c r="I419" s="2" t="n"/>
    </row>
    <row r="420">
      <c r="A420" s="2" t="n">
        <v>39458</v>
      </c>
      <c r="B420" t="n">
        <v>556163.4399999999</v>
      </c>
      <c r="C420" t="n">
        <v>87272.99000000001</v>
      </c>
      <c r="D420" t="n">
        <v>-53724.75</v>
      </c>
      <c r="E420">
        <f>D420/MAX($B$2:B420,100000)</f>
        <v/>
      </c>
      <c r="H420" s="2" t="n"/>
      <c r="I420" s="2" t="n"/>
    </row>
    <row r="421">
      <c r="A421" s="2" t="n">
        <v>39465</v>
      </c>
      <c r="B421" t="n">
        <v>545190</v>
      </c>
      <c r="C421" t="n">
        <v>87272.99000000001</v>
      </c>
      <c r="D421" t="n">
        <v>-64698.19</v>
      </c>
      <c r="E421">
        <f>D421/MAX($B$2:B421,100000)</f>
        <v/>
      </c>
      <c r="H421" s="2" t="n"/>
      <c r="I421" s="2" t="n"/>
    </row>
    <row r="422">
      <c r="A422" s="2" t="n">
        <v>39472</v>
      </c>
      <c r="B422" t="n">
        <v>552674.6899999999</v>
      </c>
      <c r="C422" t="n">
        <v>236976.08</v>
      </c>
      <c r="D422" t="n">
        <v>-57213.5</v>
      </c>
      <c r="E422">
        <f>D422/MAX($B$2:B422,100000)</f>
        <v/>
      </c>
      <c r="H422" s="2" t="n"/>
      <c r="I422" s="2" t="n"/>
    </row>
    <row r="423">
      <c r="A423" s="2" t="n">
        <v>39479</v>
      </c>
      <c r="B423" t="n">
        <v>558064.4399999999</v>
      </c>
      <c r="C423" t="n">
        <v>266458.25</v>
      </c>
      <c r="D423" t="n">
        <v>-51823.75</v>
      </c>
      <c r="E423">
        <f>D423/MAX($B$2:B423,100000)</f>
        <v/>
      </c>
      <c r="H423" s="2" t="n"/>
      <c r="I423" s="2" t="n"/>
    </row>
    <row r="424">
      <c r="A424" s="2" t="n">
        <v>39486</v>
      </c>
      <c r="B424" t="n">
        <v>552988.3100000001</v>
      </c>
      <c r="C424" t="n">
        <v>266458.25</v>
      </c>
      <c r="D424" t="n">
        <v>-56899.88</v>
      </c>
      <c r="E424">
        <f>D424/MAX($B$2:B424,100000)</f>
        <v/>
      </c>
      <c r="H424" s="2" t="n"/>
      <c r="I424" s="2" t="n"/>
    </row>
    <row r="425">
      <c r="A425" s="2" t="n">
        <v>39493</v>
      </c>
      <c r="B425" t="n">
        <v>555423.8100000001</v>
      </c>
      <c r="C425" t="n">
        <v>266458.25</v>
      </c>
      <c r="D425" t="n">
        <v>-54464.38</v>
      </c>
      <c r="E425">
        <f>D425/MAX($B$2:B425,100000)</f>
        <v/>
      </c>
      <c r="H425" s="2" t="n"/>
      <c r="I425" s="2" t="n"/>
    </row>
    <row r="426">
      <c r="A426" s="2" t="n">
        <v>39500</v>
      </c>
      <c r="B426" t="n">
        <v>557435.88</v>
      </c>
      <c r="C426" t="n">
        <v>266458.25</v>
      </c>
      <c r="D426" t="n">
        <v>-52452.31</v>
      </c>
      <c r="E426">
        <f>D426/MAX($B$2:B426,100000)</f>
        <v/>
      </c>
      <c r="H426" s="2" t="n"/>
      <c r="I426" s="2" t="n"/>
    </row>
    <row r="427">
      <c r="A427" s="2" t="n">
        <v>39507</v>
      </c>
      <c r="B427" t="n">
        <v>554176.75</v>
      </c>
      <c r="C427" t="n">
        <v>328151.56</v>
      </c>
      <c r="D427" t="n">
        <v>-55711.44</v>
      </c>
      <c r="E427">
        <f>D427/MAX($B$2:B427,100000)</f>
        <v/>
      </c>
      <c r="H427" s="2" t="n"/>
      <c r="I427" s="2" t="n"/>
    </row>
    <row r="428">
      <c r="A428" s="2" t="n">
        <v>39514</v>
      </c>
      <c r="B428" t="n">
        <v>545565.5600000001</v>
      </c>
      <c r="C428" t="n">
        <v>344204.75</v>
      </c>
      <c r="D428" t="n">
        <v>-64322.63</v>
      </c>
      <c r="E428">
        <f>D428/MAX($B$2:B428,100000)</f>
        <v/>
      </c>
      <c r="H428" s="2" t="n"/>
      <c r="I428" s="2" t="n"/>
    </row>
    <row r="429">
      <c r="A429" s="2" t="n">
        <v>39521</v>
      </c>
      <c r="B429" t="n">
        <v>542622.6899999999</v>
      </c>
      <c r="C429" t="n">
        <v>446808.5</v>
      </c>
      <c r="D429" t="n">
        <v>-67265.5</v>
      </c>
      <c r="E429">
        <f>D429/MAX($B$2:B429,100000)</f>
        <v/>
      </c>
      <c r="H429" s="2" t="n"/>
      <c r="I429" s="2" t="n"/>
    </row>
    <row r="430">
      <c r="A430" s="2" t="n">
        <v>39527</v>
      </c>
      <c r="B430" t="n">
        <v>541496.1899999999</v>
      </c>
      <c r="C430" t="n">
        <v>446808.5</v>
      </c>
      <c r="D430" t="n">
        <v>-68392</v>
      </c>
      <c r="E430">
        <f>D430/MAX($B$2:B430,100000)</f>
        <v/>
      </c>
      <c r="H430" s="2" t="n"/>
      <c r="I430" s="2" t="n"/>
    </row>
    <row r="431">
      <c r="A431" s="2" t="n">
        <v>39535</v>
      </c>
      <c r="B431" t="n">
        <v>543298.8100000001</v>
      </c>
      <c r="C431" t="n">
        <v>475203.38</v>
      </c>
      <c r="D431" t="n">
        <v>-66589.38</v>
      </c>
      <c r="E431">
        <f>D431/MAX($B$2:B431,100000)</f>
        <v/>
      </c>
      <c r="H431" s="2" t="n"/>
      <c r="I431" s="2" t="n"/>
    </row>
    <row r="432">
      <c r="A432" s="2" t="n">
        <v>39542</v>
      </c>
      <c r="B432" t="n">
        <v>548161.13</v>
      </c>
      <c r="C432" t="n">
        <v>475203.38</v>
      </c>
      <c r="D432" t="n">
        <v>-61727.06</v>
      </c>
      <c r="E432">
        <f>D432/MAX($B$2:B432,100000)</f>
        <v/>
      </c>
      <c r="H432" s="2" t="n"/>
      <c r="I432" s="2" t="n"/>
    </row>
    <row r="433">
      <c r="A433" s="2" t="n">
        <v>39549</v>
      </c>
      <c r="B433" t="n">
        <v>546162.5600000001</v>
      </c>
      <c r="C433" t="n">
        <v>475203.38</v>
      </c>
      <c r="D433" t="n">
        <v>-63725.63</v>
      </c>
      <c r="E433">
        <f>D433/MAX($B$2:B433,100000)</f>
        <v/>
      </c>
      <c r="H433" s="2" t="n"/>
      <c r="I433" s="2" t="n"/>
    </row>
    <row r="434">
      <c r="A434" s="2" t="n">
        <v>39556</v>
      </c>
      <c r="B434" t="n">
        <v>549767.13</v>
      </c>
      <c r="C434" t="n">
        <v>475203.38</v>
      </c>
      <c r="D434" t="n">
        <v>-60121.06</v>
      </c>
      <c r="E434">
        <f>D434/MAX($B$2:B434,100000)</f>
        <v/>
      </c>
      <c r="H434" s="2" t="n"/>
      <c r="I434" s="2" t="n"/>
    </row>
    <row r="435">
      <c r="A435" s="2" t="n">
        <v>39562</v>
      </c>
      <c r="B435" t="n">
        <v>551095.9399999999</v>
      </c>
      <c r="C435" t="n">
        <v>475203.38</v>
      </c>
      <c r="D435" t="n">
        <v>-58792.25</v>
      </c>
      <c r="E435">
        <f>D435/MAX($B$2:B435,100000)</f>
        <v/>
      </c>
      <c r="H435" s="2" t="n"/>
      <c r="I435" s="2" t="n"/>
    </row>
    <row r="436">
      <c r="A436" s="2" t="n">
        <v>39570</v>
      </c>
      <c r="B436" t="n">
        <v>573826.5600000001</v>
      </c>
      <c r="C436" t="n">
        <v>61405.44</v>
      </c>
      <c r="D436" t="n">
        <v>-36061.63</v>
      </c>
      <c r="E436">
        <f>D436/MAX($B$2:B436,100000)</f>
        <v/>
      </c>
      <c r="H436" s="2" t="n"/>
      <c r="I436" s="2" t="n"/>
    </row>
    <row r="437">
      <c r="A437" s="2" t="n">
        <v>39577</v>
      </c>
      <c r="B437" t="n">
        <v>585837.1899999999</v>
      </c>
      <c r="C437" t="n">
        <v>25126.03</v>
      </c>
      <c r="D437" t="n">
        <v>-24051</v>
      </c>
      <c r="E437">
        <f>D437/MAX($B$2:B437,100000)</f>
        <v/>
      </c>
      <c r="H437" s="2" t="n"/>
      <c r="I437" s="2" t="n"/>
    </row>
    <row r="438">
      <c r="A438" s="2" t="n">
        <v>39584</v>
      </c>
      <c r="B438" t="n">
        <v>588870.5</v>
      </c>
      <c r="C438" t="n">
        <v>25126.03</v>
      </c>
      <c r="D438" t="n">
        <v>-21017.69</v>
      </c>
      <c r="E438">
        <f>D438/MAX($B$2:B438,100000)</f>
        <v/>
      </c>
      <c r="H438" s="2" t="n"/>
      <c r="I438" s="2" t="n"/>
    </row>
    <row r="439">
      <c r="A439" s="2" t="n">
        <v>39591</v>
      </c>
      <c r="B439" t="n">
        <v>594236.25</v>
      </c>
      <c r="C439" t="n">
        <v>25126.03</v>
      </c>
      <c r="D439" t="n">
        <v>-15651.94</v>
      </c>
      <c r="E439">
        <f>D439/MAX($B$2:B439,100000)</f>
        <v/>
      </c>
      <c r="H439" s="2" t="n"/>
      <c r="I439" s="2" t="n"/>
    </row>
    <row r="440">
      <c r="A440" s="2" t="n">
        <v>39598</v>
      </c>
      <c r="B440" t="n">
        <v>605900.13</v>
      </c>
      <c r="C440" t="n">
        <v>25126.03</v>
      </c>
      <c r="D440" t="n">
        <v>-3988.06</v>
      </c>
      <c r="E440">
        <f>D440/MAX($B$2:B440,100000)</f>
        <v/>
      </c>
      <c r="H440" s="2" t="n"/>
      <c r="I440" s="2" t="n"/>
    </row>
    <row r="441">
      <c r="A441" s="2" t="n">
        <v>39605</v>
      </c>
      <c r="B441" t="n">
        <v>598050</v>
      </c>
      <c r="C441" t="n">
        <v>22231.14</v>
      </c>
      <c r="D441" t="n">
        <v>-11838.19</v>
      </c>
      <c r="E441">
        <f>D441/MAX($B$2:B441,100000)</f>
        <v/>
      </c>
      <c r="H441" s="2" t="n"/>
      <c r="I441" s="2" t="n"/>
    </row>
    <row r="442">
      <c r="A442" s="2" t="n">
        <v>39612</v>
      </c>
      <c r="B442" t="n">
        <v>585819.25</v>
      </c>
      <c r="C442" t="n">
        <v>22231.14</v>
      </c>
      <c r="D442" t="n">
        <v>-24068.94</v>
      </c>
      <c r="E442">
        <f>D442/MAX($B$2:B442,100000)</f>
        <v/>
      </c>
      <c r="H442" s="2" t="n"/>
      <c r="I442" s="2" t="n"/>
    </row>
    <row r="443">
      <c r="A443" s="2" t="n">
        <v>39619</v>
      </c>
      <c r="B443" t="n">
        <v>587754.38</v>
      </c>
      <c r="C443" t="n">
        <v>22231.14</v>
      </c>
      <c r="D443" t="n">
        <v>-22133.81</v>
      </c>
      <c r="E443">
        <f>D443/MAX($B$2:B443,100000)</f>
        <v/>
      </c>
      <c r="H443" s="2" t="n"/>
      <c r="I443" s="2" t="n"/>
    </row>
    <row r="444">
      <c r="A444" s="2" t="n">
        <v>39626</v>
      </c>
      <c r="B444" t="n">
        <v>582487.75</v>
      </c>
      <c r="C444" t="n">
        <v>95864.25</v>
      </c>
      <c r="D444" t="n">
        <v>-27400.44</v>
      </c>
      <c r="E444">
        <f>D444/MAX($B$2:B444,100000)</f>
        <v/>
      </c>
      <c r="H444" s="2" t="n"/>
      <c r="I444" s="2" t="n"/>
    </row>
    <row r="445">
      <c r="A445" s="2" t="n">
        <v>39633</v>
      </c>
      <c r="B445" t="n">
        <v>562138.9399999999</v>
      </c>
      <c r="C445" t="n">
        <v>123982.45</v>
      </c>
      <c r="D445" t="n">
        <v>-47749.25</v>
      </c>
      <c r="E445">
        <f>D445/MAX($B$2:B445,100000)</f>
        <v/>
      </c>
      <c r="H445" s="2" t="n"/>
      <c r="I445" s="2" t="n"/>
    </row>
    <row r="446">
      <c r="A446" s="2" t="n">
        <v>39640</v>
      </c>
      <c r="B446" t="n">
        <v>554593.38</v>
      </c>
      <c r="C446" t="n">
        <v>192142.89</v>
      </c>
      <c r="D446" t="n">
        <v>-55294.81</v>
      </c>
      <c r="E446">
        <f>D446/MAX($B$2:B446,100000)</f>
        <v/>
      </c>
      <c r="H446" s="2" t="n"/>
      <c r="I446" s="2" t="n"/>
    </row>
    <row r="447">
      <c r="A447" s="2" t="n">
        <v>39647</v>
      </c>
      <c r="B447" t="n">
        <v>554049.4399999999</v>
      </c>
      <c r="C447" t="n">
        <v>330455.94</v>
      </c>
      <c r="D447" t="n">
        <v>-55838.75</v>
      </c>
      <c r="E447">
        <f>D447/MAX($B$2:B447,100000)</f>
        <v/>
      </c>
      <c r="H447" s="2" t="n"/>
      <c r="I447" s="2" t="n"/>
    </row>
    <row r="448">
      <c r="A448" s="2" t="n">
        <v>39654</v>
      </c>
      <c r="B448" t="n">
        <v>552630.13</v>
      </c>
      <c r="C448" t="n">
        <v>440626.84</v>
      </c>
      <c r="D448" t="n">
        <v>-57258.06</v>
      </c>
      <c r="E448">
        <f>D448/MAX($B$2:B448,100000)</f>
        <v/>
      </c>
      <c r="H448" s="2" t="n"/>
      <c r="I448" s="2" t="n"/>
    </row>
    <row r="449">
      <c r="A449" s="2" t="n">
        <v>39661</v>
      </c>
      <c r="B449" t="n">
        <v>552326.8100000001</v>
      </c>
      <c r="C449" t="n">
        <v>440626.84</v>
      </c>
      <c r="D449" t="n">
        <v>-57561.38</v>
      </c>
      <c r="E449">
        <f>D449/MAX($B$2:B449,100000)</f>
        <v/>
      </c>
      <c r="H449" s="2" t="n"/>
      <c r="I449" s="2" t="n"/>
    </row>
    <row r="450">
      <c r="A450" s="2" t="n">
        <v>39668</v>
      </c>
      <c r="B450" t="n">
        <v>552252.9399999999</v>
      </c>
      <c r="C450" t="n">
        <v>470706.22</v>
      </c>
      <c r="D450" t="n">
        <v>-57635.25</v>
      </c>
      <c r="E450">
        <f>D450/MAX($B$2:B450,100000)</f>
        <v/>
      </c>
      <c r="H450" s="2" t="n"/>
      <c r="I450" s="2" t="n"/>
    </row>
    <row r="451">
      <c r="A451" s="2" t="n">
        <v>39675</v>
      </c>
      <c r="B451" t="n">
        <v>552376</v>
      </c>
      <c r="C451" t="n">
        <v>470706.22</v>
      </c>
      <c r="D451" t="n">
        <v>-57512.19</v>
      </c>
      <c r="E451">
        <f>D451/MAX($B$2:B451,100000)</f>
        <v/>
      </c>
      <c r="H451" s="2" t="n"/>
      <c r="I451" s="2" t="n"/>
    </row>
    <row r="452">
      <c r="A452" s="2" t="n">
        <v>39682</v>
      </c>
      <c r="B452" t="n">
        <v>551094.8100000001</v>
      </c>
      <c r="C452" t="n">
        <v>470706.22</v>
      </c>
      <c r="D452" t="n">
        <v>-58793.38</v>
      </c>
      <c r="E452">
        <f>D452/MAX($B$2:B452,100000)</f>
        <v/>
      </c>
      <c r="H452" s="2" t="n"/>
      <c r="I452" s="2" t="n"/>
    </row>
    <row r="453">
      <c r="A453" s="2" t="n">
        <v>39689</v>
      </c>
      <c r="B453" t="n">
        <v>552335.9399999999</v>
      </c>
      <c r="C453" t="n">
        <v>470706.22</v>
      </c>
      <c r="D453" t="n">
        <v>-57552.25</v>
      </c>
      <c r="E453">
        <f>D453/MAX($B$2:B453,100000)</f>
        <v/>
      </c>
      <c r="H453" s="2" t="n"/>
      <c r="I453" s="2" t="n"/>
    </row>
    <row r="454">
      <c r="A454" s="2" t="n">
        <v>39696</v>
      </c>
      <c r="B454" t="n">
        <v>551981.13</v>
      </c>
      <c r="C454" t="n">
        <v>470706.22</v>
      </c>
      <c r="D454" t="n">
        <v>-57907.06</v>
      </c>
      <c r="E454">
        <f>D454/MAX($B$2:B454,100000)</f>
        <v/>
      </c>
      <c r="H454" s="2" t="n"/>
      <c r="I454" s="2" t="n"/>
    </row>
    <row r="455">
      <c r="A455" s="2" t="n">
        <v>39703</v>
      </c>
      <c r="B455" t="n">
        <v>556285</v>
      </c>
      <c r="C455" t="n">
        <v>470706.22</v>
      </c>
      <c r="D455" t="n">
        <v>-53603.19</v>
      </c>
      <c r="E455">
        <f>D455/MAX($B$2:B455,100000)</f>
        <v/>
      </c>
      <c r="H455" s="2" t="n"/>
      <c r="I455" s="2" t="n"/>
    </row>
    <row r="456">
      <c r="A456" s="2" t="n">
        <v>39710</v>
      </c>
      <c r="B456" t="n">
        <v>554883.1899999999</v>
      </c>
      <c r="C456" t="n">
        <v>470706.22</v>
      </c>
      <c r="D456" t="n">
        <v>-55005</v>
      </c>
      <c r="E456">
        <f>D456/MAX($B$2:B456,100000)</f>
        <v/>
      </c>
      <c r="H456" s="2" t="n"/>
      <c r="I456" s="2" t="n"/>
    </row>
    <row r="457">
      <c r="A457" s="2" t="n">
        <v>39717</v>
      </c>
      <c r="B457" t="n">
        <v>556881.4399999999</v>
      </c>
      <c r="C457" t="n">
        <v>527037.13</v>
      </c>
      <c r="D457" t="n">
        <v>-53006.75</v>
      </c>
      <c r="E457">
        <f>D457/MAX($B$2:B457,100000)</f>
        <v/>
      </c>
      <c r="H457" s="2" t="n"/>
      <c r="I457" s="2" t="n"/>
    </row>
    <row r="458">
      <c r="A458" s="2" t="n">
        <v>39724</v>
      </c>
      <c r="B458" t="n">
        <v>556688.0600000001</v>
      </c>
      <c r="C458" t="n">
        <v>527037.13</v>
      </c>
      <c r="D458" t="n">
        <v>-53200.13</v>
      </c>
      <c r="E458">
        <f>D458/MAX($B$2:B458,100000)</f>
        <v/>
      </c>
      <c r="H458" s="2" t="n"/>
      <c r="I458" s="2" t="n"/>
    </row>
    <row r="459">
      <c r="A459" s="2" t="n">
        <v>39731</v>
      </c>
      <c r="B459" t="n">
        <v>555785.63</v>
      </c>
      <c r="C459" t="n">
        <v>527037.13</v>
      </c>
      <c r="D459" t="n">
        <v>-54102.56</v>
      </c>
      <c r="E459">
        <f>D459/MAX($B$2:B459,100000)</f>
        <v/>
      </c>
      <c r="H459" s="2" t="n"/>
      <c r="I459" s="2" t="n"/>
    </row>
    <row r="460">
      <c r="A460" s="2" t="n">
        <v>39738</v>
      </c>
      <c r="B460" t="n">
        <v>556688.0600000001</v>
      </c>
      <c r="C460" t="n">
        <v>527037.13</v>
      </c>
      <c r="D460" t="n">
        <v>-53200.13</v>
      </c>
      <c r="E460">
        <f>D460/MAX($B$2:B460,100000)</f>
        <v/>
      </c>
      <c r="H460" s="2" t="n"/>
      <c r="I460" s="2" t="n"/>
    </row>
    <row r="461">
      <c r="A461" s="2" t="n">
        <v>39745</v>
      </c>
      <c r="B461" t="n">
        <v>556881.4399999999</v>
      </c>
      <c r="C461" t="n">
        <v>527037.13</v>
      </c>
      <c r="D461" t="n">
        <v>-53006.75</v>
      </c>
      <c r="E461">
        <f>D461/MAX($B$2:B461,100000)</f>
        <v/>
      </c>
      <c r="H461" s="2" t="n"/>
      <c r="I461" s="2" t="n"/>
    </row>
    <row r="462">
      <c r="A462" s="2" t="n">
        <v>39752</v>
      </c>
      <c r="B462" t="n">
        <v>554818.75</v>
      </c>
      <c r="C462" t="n">
        <v>527037.13</v>
      </c>
      <c r="D462" t="n">
        <v>-55069.44</v>
      </c>
      <c r="E462">
        <f>D462/MAX($B$2:B462,100000)</f>
        <v/>
      </c>
      <c r="H462" s="2" t="n"/>
      <c r="I462" s="2" t="n"/>
    </row>
    <row r="463">
      <c r="A463" s="2" t="n">
        <v>39759</v>
      </c>
      <c r="B463" t="n">
        <v>558621.8100000001</v>
      </c>
      <c r="C463" t="n">
        <v>527037.13</v>
      </c>
      <c r="D463" t="n">
        <v>-51266.38</v>
      </c>
      <c r="E463">
        <f>D463/MAX($B$2:B463,100000)</f>
        <v/>
      </c>
      <c r="H463" s="2" t="n"/>
      <c r="I463" s="2" t="n"/>
    </row>
    <row r="464">
      <c r="A464" s="2" t="n">
        <v>39766</v>
      </c>
      <c r="B464" t="n">
        <v>557332.63</v>
      </c>
      <c r="C464" t="n">
        <v>527037.13</v>
      </c>
      <c r="D464" t="n">
        <v>-52555.56</v>
      </c>
      <c r="E464">
        <f>D464/MAX($B$2:B464,100000)</f>
        <v/>
      </c>
      <c r="H464" s="2" t="n"/>
      <c r="I464" s="2" t="n"/>
    </row>
    <row r="465">
      <c r="A465" s="2" t="n">
        <v>39773</v>
      </c>
      <c r="B465" t="n">
        <v>554754.3100000001</v>
      </c>
      <c r="C465" t="n">
        <v>527037.13</v>
      </c>
      <c r="D465" t="n">
        <v>-55133.88</v>
      </c>
      <c r="E465">
        <f>D465/MAX($B$2:B465,100000)</f>
        <v/>
      </c>
      <c r="H465" s="2" t="n"/>
      <c r="I465" s="2" t="n"/>
    </row>
    <row r="466">
      <c r="A466" s="2" t="n">
        <v>39780</v>
      </c>
      <c r="B466" t="n">
        <v>556043.4399999999</v>
      </c>
      <c r="C466" t="n">
        <v>527037.13</v>
      </c>
      <c r="D466" t="n">
        <v>-53844.75</v>
      </c>
      <c r="E466">
        <f>D466/MAX($B$2:B466,100000)</f>
        <v/>
      </c>
      <c r="H466" s="2" t="n"/>
      <c r="I466" s="2" t="n"/>
    </row>
    <row r="467">
      <c r="A467" s="2" t="n">
        <v>39787</v>
      </c>
      <c r="B467" t="n">
        <v>556043.4399999999</v>
      </c>
      <c r="C467" t="n">
        <v>556043.4399999999</v>
      </c>
      <c r="D467" t="n">
        <v>-53844.75</v>
      </c>
      <c r="E467">
        <f>D467/MAX($B$2:B467,100000)</f>
        <v/>
      </c>
      <c r="H467" s="2" t="n"/>
      <c r="I467" s="2" t="n"/>
    </row>
    <row r="468">
      <c r="A468" s="2" t="n">
        <v>39794</v>
      </c>
      <c r="B468" t="n">
        <v>556043.4399999999</v>
      </c>
      <c r="C468" t="n">
        <v>556043.4399999999</v>
      </c>
      <c r="D468" t="n">
        <v>-53844.75</v>
      </c>
      <c r="E468">
        <f>D468/MAX($B$2:B468,100000)</f>
        <v/>
      </c>
      <c r="H468" s="2" t="n"/>
      <c r="I468" s="2" t="n"/>
    </row>
    <row r="469">
      <c r="A469" s="2" t="n">
        <v>39801</v>
      </c>
      <c r="B469" t="n">
        <v>556043.4399999999</v>
      </c>
      <c r="C469" t="n">
        <v>556043.4399999999</v>
      </c>
      <c r="D469" t="n">
        <v>-53844.75</v>
      </c>
      <c r="E469">
        <f>D469/MAX($B$2:B469,100000)</f>
        <v/>
      </c>
      <c r="H469" s="2" t="n"/>
      <c r="I469" s="2" t="n"/>
    </row>
    <row r="470">
      <c r="A470" s="2" t="n">
        <v>39806</v>
      </c>
      <c r="B470" t="n">
        <v>556043.4399999999</v>
      </c>
      <c r="C470" t="n">
        <v>556043.4399999999</v>
      </c>
      <c r="D470" t="n">
        <v>-53844.75</v>
      </c>
      <c r="E470">
        <f>D470/MAX($B$2:B470,100000)</f>
        <v/>
      </c>
      <c r="H470" s="2" t="n"/>
      <c r="I470" s="2" t="n"/>
    </row>
    <row r="471">
      <c r="A471" s="2" t="n">
        <v>39815</v>
      </c>
      <c r="B471" t="n">
        <v>556043.4399999999</v>
      </c>
      <c r="C471" t="n">
        <v>556043.4399999999</v>
      </c>
      <c r="D471" t="n">
        <v>-53844.75</v>
      </c>
      <c r="E471">
        <f>D471/MAX($B$2:B471,100000)</f>
        <v/>
      </c>
      <c r="H471" s="2" t="n"/>
      <c r="I471" s="2" t="n"/>
    </row>
    <row r="472">
      <c r="A472" s="2" t="n">
        <v>39822</v>
      </c>
      <c r="B472" t="n">
        <v>556043.4399999999</v>
      </c>
      <c r="C472" t="n">
        <v>556043.4399999999</v>
      </c>
      <c r="D472" t="n">
        <v>-53844.75</v>
      </c>
      <c r="E472">
        <f>D472/MAX($B$2:B472,100000)</f>
        <v/>
      </c>
      <c r="H472" s="2" t="n"/>
      <c r="I472" s="2" t="n"/>
    </row>
    <row r="473">
      <c r="A473" s="2" t="n">
        <v>39829</v>
      </c>
      <c r="B473" t="n">
        <v>556043.4399999999</v>
      </c>
      <c r="C473" t="n">
        <v>556043.4399999999</v>
      </c>
      <c r="D473" t="n">
        <v>-53844.75</v>
      </c>
      <c r="E473">
        <f>D473/MAX($B$2:B473,100000)</f>
        <v/>
      </c>
      <c r="H473" s="2" t="n"/>
      <c r="I473" s="2" t="n"/>
    </row>
    <row r="474">
      <c r="A474" s="2" t="n">
        <v>39836</v>
      </c>
      <c r="B474" t="n">
        <v>556043.4399999999</v>
      </c>
      <c r="C474" t="n">
        <v>556043.4399999999</v>
      </c>
      <c r="D474" t="n">
        <v>-53844.75</v>
      </c>
      <c r="E474">
        <f>D474/MAX($B$2:B474,100000)</f>
        <v/>
      </c>
      <c r="H474" s="2" t="n"/>
      <c r="I474" s="2" t="n"/>
    </row>
    <row r="475">
      <c r="A475" s="2" t="n">
        <v>39843</v>
      </c>
      <c r="B475" t="n">
        <v>556043.4399999999</v>
      </c>
      <c r="C475" t="n">
        <v>556043.4399999999</v>
      </c>
      <c r="D475" t="n">
        <v>-53844.75</v>
      </c>
      <c r="E475">
        <f>D475/MAX($B$2:B475,100000)</f>
        <v/>
      </c>
      <c r="H475" s="2" t="n"/>
      <c r="I475" s="2" t="n"/>
    </row>
    <row r="476">
      <c r="A476" s="2" t="n">
        <v>39850</v>
      </c>
      <c r="B476" t="n">
        <v>556043.4399999999</v>
      </c>
      <c r="C476" t="n">
        <v>556043.4399999999</v>
      </c>
      <c r="D476" t="n">
        <v>-53844.75</v>
      </c>
      <c r="E476">
        <f>D476/MAX($B$2:B476,100000)</f>
        <v/>
      </c>
      <c r="H476" s="2" t="n"/>
      <c r="I476" s="2" t="n"/>
    </row>
    <row r="477">
      <c r="A477" s="2" t="n">
        <v>39857</v>
      </c>
      <c r="B477" t="n">
        <v>556043.4399999999</v>
      </c>
      <c r="C477" t="n">
        <v>556043.4399999999</v>
      </c>
      <c r="D477" t="n">
        <v>-53844.75</v>
      </c>
      <c r="E477">
        <f>D477/MAX($B$2:B477,100000)</f>
        <v/>
      </c>
      <c r="H477" s="2" t="n"/>
      <c r="I477" s="2" t="n"/>
    </row>
    <row r="478">
      <c r="A478" s="2" t="n">
        <v>39864</v>
      </c>
      <c r="B478" t="n">
        <v>556043.4399999999</v>
      </c>
      <c r="C478" t="n">
        <v>556043.4399999999</v>
      </c>
      <c r="D478" t="n">
        <v>-53844.75</v>
      </c>
      <c r="E478">
        <f>D478/MAX($B$2:B478,100000)</f>
        <v/>
      </c>
      <c r="H478" s="2" t="n"/>
      <c r="I478" s="2" t="n"/>
    </row>
    <row r="479">
      <c r="A479" s="2" t="n">
        <v>39871</v>
      </c>
      <c r="B479" t="n">
        <v>556043.4399999999</v>
      </c>
      <c r="C479" t="n">
        <v>556043.4399999999</v>
      </c>
      <c r="D479" t="n">
        <v>-53844.75</v>
      </c>
      <c r="E479">
        <f>D479/MAX($B$2:B479,100000)</f>
        <v/>
      </c>
      <c r="H479" s="2" t="n"/>
      <c r="I479" s="2" t="n"/>
    </row>
    <row r="480">
      <c r="A480" s="2" t="n">
        <v>39878</v>
      </c>
      <c r="B480" t="n">
        <v>556043.4399999999</v>
      </c>
      <c r="C480" t="n">
        <v>556043.4399999999</v>
      </c>
      <c r="D480" t="n">
        <v>-53844.75</v>
      </c>
      <c r="E480">
        <f>D480/MAX($B$2:B480,100000)</f>
        <v/>
      </c>
      <c r="H480" s="2" t="n"/>
      <c r="I480" s="2" t="n"/>
    </row>
    <row r="481">
      <c r="A481" s="2" t="n">
        <v>39885</v>
      </c>
      <c r="B481" t="n">
        <v>556043.4399999999</v>
      </c>
      <c r="C481" t="n">
        <v>556043.4399999999</v>
      </c>
      <c r="D481" t="n">
        <v>-53844.75</v>
      </c>
      <c r="E481">
        <f>D481/MAX($B$2:B481,100000)</f>
        <v/>
      </c>
      <c r="H481" s="2" t="n"/>
      <c r="I481" s="2" t="n"/>
    </row>
    <row r="482">
      <c r="A482" s="2" t="n">
        <v>39892</v>
      </c>
      <c r="B482" t="n">
        <v>556043.4399999999</v>
      </c>
      <c r="C482" t="n">
        <v>556043.4399999999</v>
      </c>
      <c r="D482" t="n">
        <v>-53844.75</v>
      </c>
      <c r="E482">
        <f>D482/MAX($B$2:B482,100000)</f>
        <v/>
      </c>
      <c r="H482" s="2" t="n"/>
      <c r="I482" s="2" t="n"/>
    </row>
    <row r="483">
      <c r="A483" s="2" t="n">
        <v>39899</v>
      </c>
      <c r="B483" t="n">
        <v>556043.4399999999</v>
      </c>
      <c r="C483" t="n">
        <v>556043.4399999999</v>
      </c>
      <c r="D483" t="n">
        <v>-53844.75</v>
      </c>
      <c r="E483">
        <f>D483/MAX($B$2:B483,100000)</f>
        <v/>
      </c>
      <c r="H483" s="2" t="n"/>
      <c r="I483" s="2" t="n"/>
    </row>
    <row r="484">
      <c r="A484" s="2" t="n">
        <v>39906</v>
      </c>
      <c r="B484" t="n">
        <v>567305.75</v>
      </c>
      <c r="C484" t="n">
        <v>173643.89</v>
      </c>
      <c r="D484" t="n">
        <v>-42582.44</v>
      </c>
      <c r="E484">
        <f>D484/MAX($B$2:B484,100000)</f>
        <v/>
      </c>
      <c r="H484" s="2" t="n"/>
      <c r="I484" s="2" t="n"/>
    </row>
    <row r="485">
      <c r="A485" s="2" t="n">
        <v>39912</v>
      </c>
      <c r="B485" t="n">
        <v>563640.4399999999</v>
      </c>
      <c r="C485" t="n">
        <v>29923.15</v>
      </c>
      <c r="D485" t="n">
        <v>-46247.75</v>
      </c>
      <c r="E485">
        <f>D485/MAX($B$2:B485,100000)</f>
        <v/>
      </c>
      <c r="H485" s="2" t="n"/>
      <c r="I485" s="2" t="n"/>
    </row>
    <row r="486">
      <c r="A486" s="2" t="n">
        <v>39920</v>
      </c>
      <c r="B486" t="n">
        <v>583922.38</v>
      </c>
      <c r="C486" t="n">
        <v>29923.15</v>
      </c>
      <c r="D486" t="n">
        <v>-25965.81</v>
      </c>
      <c r="E486">
        <f>D486/MAX($B$2:B486,100000)</f>
        <v/>
      </c>
      <c r="H486" s="2" t="n"/>
      <c r="I486" s="2" t="n"/>
    </row>
    <row r="487">
      <c r="A487" s="2" t="n">
        <v>39927</v>
      </c>
      <c r="B487" t="n">
        <v>563795.75</v>
      </c>
      <c r="C487" t="n">
        <v>29923.15</v>
      </c>
      <c r="D487" t="n">
        <v>-46092.44</v>
      </c>
      <c r="E487">
        <f>D487/MAX($B$2:B487,100000)</f>
        <v/>
      </c>
      <c r="H487" s="2" t="n"/>
      <c r="I487" s="2" t="n"/>
    </row>
    <row r="488">
      <c r="A488" s="2" t="n">
        <v>39934</v>
      </c>
      <c r="B488" t="n">
        <v>590197.75</v>
      </c>
      <c r="C488" t="n">
        <v>29923.15</v>
      </c>
      <c r="D488" t="n">
        <v>-19690.44</v>
      </c>
      <c r="E488">
        <f>D488/MAX($B$2:B488,100000)</f>
        <v/>
      </c>
      <c r="H488" s="2" t="n"/>
      <c r="I488" s="2" t="n"/>
    </row>
    <row r="489">
      <c r="A489" s="2" t="n">
        <v>39941</v>
      </c>
      <c r="B489" t="n">
        <v>631848.3100000001</v>
      </c>
      <c r="C489" t="n">
        <v>29923.15</v>
      </c>
      <c r="D489" t="n">
        <v>0</v>
      </c>
      <c r="E489">
        <f>D489/MAX($B$2:B489,100000)</f>
        <v/>
      </c>
      <c r="H489" s="2" t="n"/>
      <c r="I489" s="2" t="n"/>
    </row>
    <row r="490">
      <c r="A490" s="2" t="n">
        <v>39948</v>
      </c>
      <c r="B490" t="n">
        <v>620636.6899999999</v>
      </c>
      <c r="C490" t="n">
        <v>29923.15</v>
      </c>
      <c r="D490" t="n">
        <v>-11211.63</v>
      </c>
      <c r="E490">
        <f>D490/MAX($B$2:B490,100000)</f>
        <v/>
      </c>
      <c r="H490" s="2" t="n"/>
      <c r="I490" s="2" t="n"/>
    </row>
    <row r="491">
      <c r="A491" s="2" t="n">
        <v>39955</v>
      </c>
      <c r="B491" t="n">
        <v>613259.8100000001</v>
      </c>
      <c r="C491" t="n">
        <v>29923.15</v>
      </c>
      <c r="D491" t="n">
        <v>-18588.5</v>
      </c>
      <c r="E491">
        <f>D491/MAX($B$2:B491,100000)</f>
        <v/>
      </c>
      <c r="H491" s="2" t="n"/>
      <c r="I491" s="2" t="n"/>
    </row>
    <row r="492">
      <c r="A492" s="2" t="n">
        <v>39962</v>
      </c>
      <c r="B492" t="n">
        <v>630209.88</v>
      </c>
      <c r="C492" t="n">
        <v>29923.15</v>
      </c>
      <c r="D492" t="n">
        <v>-1638.44</v>
      </c>
      <c r="E492">
        <f>D492/MAX($B$2:B492,100000)</f>
        <v/>
      </c>
      <c r="H492" s="2" t="n"/>
      <c r="I492" s="2" t="n"/>
    </row>
    <row r="493">
      <c r="A493" s="2" t="n">
        <v>39969</v>
      </c>
      <c r="B493" t="n">
        <v>653335.88</v>
      </c>
      <c r="C493" t="n">
        <v>29923.15</v>
      </c>
      <c r="D493" t="n">
        <v>0</v>
      </c>
      <c r="E493">
        <f>D493/MAX($B$2:B493,100000)</f>
        <v/>
      </c>
      <c r="H493" s="2" t="n"/>
      <c r="I493" s="2" t="n"/>
    </row>
    <row r="494">
      <c r="A494" s="2" t="n">
        <v>39976</v>
      </c>
      <c r="B494" t="n">
        <v>685320.4399999999</v>
      </c>
      <c r="C494" t="n">
        <v>29923.15</v>
      </c>
      <c r="D494" t="n">
        <v>0</v>
      </c>
      <c r="E494">
        <f>D494/MAX($B$2:B494,100000)</f>
        <v/>
      </c>
      <c r="H494" s="2" t="n"/>
      <c r="I494" s="2" t="n"/>
    </row>
    <row r="495">
      <c r="A495" s="2" t="n">
        <v>39983</v>
      </c>
      <c r="B495" t="n">
        <v>640360.8100000001</v>
      </c>
      <c r="C495" t="n">
        <v>29923.15</v>
      </c>
      <c r="D495" t="n">
        <v>-44959.63</v>
      </c>
      <c r="E495">
        <f>D495/MAX($B$2:B495,100000)</f>
        <v/>
      </c>
      <c r="H495" s="2" t="n"/>
      <c r="I495" s="2" t="n"/>
    </row>
    <row r="496">
      <c r="A496" s="2" t="n">
        <v>39990</v>
      </c>
      <c r="B496" t="n">
        <v>653170.9399999999</v>
      </c>
      <c r="C496" t="n">
        <v>29923.15</v>
      </c>
      <c r="D496" t="n">
        <v>-32149.5</v>
      </c>
      <c r="E496">
        <f>D496/MAX($B$2:B496,100000)</f>
        <v/>
      </c>
      <c r="H496" s="2" t="n"/>
      <c r="I496" s="2" t="n"/>
    </row>
    <row r="497">
      <c r="A497" s="2" t="n">
        <v>39997</v>
      </c>
      <c r="B497" t="n">
        <v>643285.0600000001</v>
      </c>
      <c r="C497" t="n">
        <v>29923.15</v>
      </c>
      <c r="D497" t="n">
        <v>-42035.38</v>
      </c>
      <c r="E497">
        <f>D497/MAX($B$2:B497,100000)</f>
        <v/>
      </c>
      <c r="H497" s="2" t="n"/>
      <c r="I497" s="2" t="n"/>
    </row>
    <row r="498">
      <c r="A498" s="2" t="n">
        <v>40004</v>
      </c>
      <c r="B498" t="n">
        <v>614082.88</v>
      </c>
      <c r="C498" t="n">
        <v>39432.68</v>
      </c>
      <c r="D498" t="n">
        <v>-71237.56</v>
      </c>
      <c r="E498">
        <f>D498/MAX($B$2:B498,100000)</f>
        <v/>
      </c>
      <c r="H498" s="2" t="n"/>
      <c r="I498" s="2" t="n"/>
    </row>
    <row r="499">
      <c r="A499" s="2" t="n">
        <v>40011</v>
      </c>
      <c r="B499" t="n">
        <v>636364.4399999999</v>
      </c>
      <c r="C499" t="n">
        <v>39432.68</v>
      </c>
      <c r="D499" t="n">
        <v>-48956</v>
      </c>
      <c r="E499">
        <f>D499/MAX($B$2:B499,100000)</f>
        <v/>
      </c>
      <c r="H499" s="2" t="n"/>
      <c r="I499" s="2" t="n"/>
    </row>
    <row r="500">
      <c r="A500" s="2" t="n">
        <v>40018</v>
      </c>
      <c r="B500" t="n">
        <v>645417.4399999999</v>
      </c>
      <c r="C500" t="n">
        <v>39410.59</v>
      </c>
      <c r="D500" t="n">
        <v>-39903</v>
      </c>
      <c r="E500">
        <f>D500/MAX($B$2:B500,100000)</f>
        <v/>
      </c>
      <c r="H500" s="2" t="n"/>
      <c r="I500" s="2" t="n"/>
    </row>
    <row r="501">
      <c r="A501" s="2" t="n">
        <v>40025</v>
      </c>
      <c r="B501" t="n">
        <v>681474.8100000001</v>
      </c>
      <c r="C501" t="n">
        <v>39410.59</v>
      </c>
      <c r="D501" t="n">
        <v>-3845.63</v>
      </c>
      <c r="E501">
        <f>D501/MAX($B$2:B501,100000)</f>
        <v/>
      </c>
      <c r="H501" s="2" t="n"/>
      <c r="I501" s="2" t="n"/>
    </row>
    <row r="502">
      <c r="A502" s="2" t="n">
        <v>40032</v>
      </c>
      <c r="B502" t="n">
        <v>677429.3100000001</v>
      </c>
      <c r="C502" t="n">
        <v>39410.59</v>
      </c>
      <c r="D502" t="n">
        <v>-7891.13</v>
      </c>
      <c r="E502">
        <f>D502/MAX($B$2:B502,100000)</f>
        <v/>
      </c>
      <c r="H502" s="2" t="n"/>
      <c r="I502" s="2" t="n"/>
    </row>
    <row r="503">
      <c r="A503" s="2" t="n">
        <v>40039</v>
      </c>
      <c r="B503" t="n">
        <v>692067.5600000001</v>
      </c>
      <c r="C503" t="n">
        <v>39410.59</v>
      </c>
      <c r="D503" t="n">
        <v>0</v>
      </c>
      <c r="E503">
        <f>D503/MAX($B$2:B503,100000)</f>
        <v/>
      </c>
      <c r="H503" s="2" t="n"/>
      <c r="I503" s="2" t="n"/>
    </row>
    <row r="504">
      <c r="A504" s="2" t="n">
        <v>40046</v>
      </c>
      <c r="B504" t="n">
        <v>672313.9399999999</v>
      </c>
      <c r="C504" t="n">
        <v>39410.59</v>
      </c>
      <c r="D504" t="n">
        <v>-19753.63</v>
      </c>
      <c r="E504">
        <f>D504/MAX($B$2:B504,100000)</f>
        <v/>
      </c>
      <c r="H504" s="2" t="n"/>
      <c r="I504" s="2" t="n"/>
    </row>
    <row r="505">
      <c r="A505" s="2" t="n">
        <v>40053</v>
      </c>
      <c r="B505" t="n">
        <v>701903.13</v>
      </c>
      <c r="C505" t="n">
        <v>39410.59</v>
      </c>
      <c r="D505" t="n">
        <v>0</v>
      </c>
      <c r="E505">
        <f>D505/MAX($B$2:B505,100000)</f>
        <v/>
      </c>
      <c r="H505" s="2" t="n"/>
      <c r="I505" s="2" t="n"/>
    </row>
    <row r="506">
      <c r="A506" s="2" t="n">
        <v>40060</v>
      </c>
      <c r="B506" t="n">
        <v>696427.5</v>
      </c>
      <c r="C506" t="n">
        <v>39410.59</v>
      </c>
      <c r="D506" t="n">
        <v>-5475.63</v>
      </c>
      <c r="E506">
        <f>D506/MAX($B$2:B506,100000)</f>
        <v/>
      </c>
      <c r="H506" s="2" t="n"/>
      <c r="I506" s="2" t="n"/>
    </row>
    <row r="507">
      <c r="A507" s="2" t="n">
        <v>40067</v>
      </c>
      <c r="B507" t="n">
        <v>722607.9399999999</v>
      </c>
      <c r="C507" t="n">
        <v>39410.59</v>
      </c>
      <c r="D507" t="n">
        <v>0</v>
      </c>
      <c r="E507">
        <f>D507/MAX($B$2:B507,100000)</f>
        <v/>
      </c>
      <c r="H507" s="2" t="n"/>
      <c r="I507" s="2" t="n"/>
    </row>
    <row r="508">
      <c r="A508" s="2" t="n">
        <v>40074</v>
      </c>
      <c r="B508" t="n">
        <v>738731.25</v>
      </c>
      <c r="C508" t="n">
        <v>39410.59</v>
      </c>
      <c r="D508" t="n">
        <v>0</v>
      </c>
      <c r="E508">
        <f>D508/MAX($B$2:B508,100000)</f>
        <v/>
      </c>
      <c r="H508" s="2" t="n"/>
      <c r="I508" s="2" t="n"/>
    </row>
    <row r="509">
      <c r="A509" s="2" t="n">
        <v>40081</v>
      </c>
      <c r="B509" t="n">
        <v>726466.0600000001</v>
      </c>
      <c r="C509" t="n">
        <v>39410.59</v>
      </c>
      <c r="D509" t="n">
        <v>-12265.19</v>
      </c>
      <c r="E509">
        <f>D509/MAX($B$2:B509,100000)</f>
        <v/>
      </c>
      <c r="H509" s="2" t="n"/>
      <c r="I509" s="2" t="n"/>
    </row>
    <row r="510">
      <c r="A510" s="2" t="n">
        <v>40088</v>
      </c>
      <c r="B510" t="n">
        <v>720597.75</v>
      </c>
      <c r="C510" t="n">
        <v>39410.59</v>
      </c>
      <c r="D510" t="n">
        <v>-18133.5</v>
      </c>
      <c r="E510">
        <f>D510/MAX($B$2:B510,100000)</f>
        <v/>
      </c>
      <c r="H510" s="2" t="n"/>
      <c r="I510" s="2" t="n"/>
    </row>
    <row r="511">
      <c r="A511" s="2" t="n">
        <v>40095</v>
      </c>
      <c r="B511" t="n">
        <v>736082.25</v>
      </c>
      <c r="C511" t="n">
        <v>39410.59</v>
      </c>
      <c r="D511" t="n">
        <v>-2649</v>
      </c>
      <c r="E511">
        <f>D511/MAX($B$2:B511,100000)</f>
        <v/>
      </c>
      <c r="H511" s="2" t="n"/>
      <c r="I511" s="2" t="n"/>
    </row>
    <row r="512">
      <c r="A512" s="2" t="n">
        <v>40102</v>
      </c>
      <c r="B512" t="n">
        <v>755565.9399999999</v>
      </c>
      <c r="C512" t="n">
        <v>39410.59</v>
      </c>
      <c r="D512" t="n">
        <v>0</v>
      </c>
      <c r="E512">
        <f>D512/MAX($B$2:B512,100000)</f>
        <v/>
      </c>
      <c r="H512" s="2" t="n"/>
      <c r="I512" s="2" t="n"/>
    </row>
    <row r="513">
      <c r="A513" s="2" t="n">
        <v>40109</v>
      </c>
      <c r="B513" t="n">
        <v>749854.8100000001</v>
      </c>
      <c r="C513" t="n">
        <v>39410.59</v>
      </c>
      <c r="D513" t="n">
        <v>-5711.13</v>
      </c>
      <c r="E513">
        <f>D513/MAX($B$2:B513,100000)</f>
        <v/>
      </c>
      <c r="H513" s="2" t="n"/>
      <c r="I513" s="2" t="n"/>
    </row>
    <row r="514">
      <c r="A514" s="2" t="n">
        <v>40116</v>
      </c>
      <c r="B514" t="n">
        <v>720357.63</v>
      </c>
      <c r="C514" t="n">
        <v>39410.59</v>
      </c>
      <c r="D514" t="n">
        <v>-35208.31</v>
      </c>
      <c r="E514">
        <f>D514/MAX($B$2:B514,100000)</f>
        <v/>
      </c>
      <c r="H514" s="2" t="n"/>
      <c r="I514" s="2" t="n"/>
    </row>
    <row r="515">
      <c r="A515" s="2" t="n">
        <v>40123</v>
      </c>
      <c r="B515" t="n">
        <v>712449.13</v>
      </c>
      <c r="C515" t="n">
        <v>39410.59</v>
      </c>
      <c r="D515" t="n">
        <v>-43116.81</v>
      </c>
      <c r="E515">
        <f>D515/MAX($B$2:B515,100000)</f>
        <v/>
      </c>
      <c r="H515" s="2" t="n"/>
      <c r="I515" s="2" t="n"/>
    </row>
    <row r="516">
      <c r="A516" s="2" t="n">
        <v>40130</v>
      </c>
      <c r="B516" t="n">
        <v>737694.75</v>
      </c>
      <c r="C516" t="n">
        <v>39410.59</v>
      </c>
      <c r="D516" t="n">
        <v>-17871.19</v>
      </c>
      <c r="E516">
        <f>D516/MAX($B$2:B516,100000)</f>
        <v/>
      </c>
      <c r="H516" s="2" t="n"/>
      <c r="I516" s="2" t="n"/>
    </row>
    <row r="517">
      <c r="A517" s="2" t="n">
        <v>40137</v>
      </c>
      <c r="B517" t="n">
        <v>738074.5600000001</v>
      </c>
      <c r="C517" t="n">
        <v>39410.59</v>
      </c>
      <c r="D517" t="n">
        <v>-17491.38</v>
      </c>
      <c r="E517">
        <f>D517/MAX($B$2:B517,100000)</f>
        <v/>
      </c>
      <c r="H517" s="2" t="n"/>
      <c r="I517" s="2" t="n"/>
    </row>
    <row r="518">
      <c r="A518" s="2" t="n">
        <v>40144</v>
      </c>
      <c r="B518" t="n">
        <v>719003.4399999999</v>
      </c>
      <c r="C518" t="n">
        <v>39410.59</v>
      </c>
      <c r="D518" t="n">
        <v>-36562.5</v>
      </c>
      <c r="E518">
        <f>D518/MAX($B$2:B518,100000)</f>
        <v/>
      </c>
      <c r="H518" s="2" t="n"/>
      <c r="I518" s="2" t="n"/>
    </row>
    <row r="519">
      <c r="A519" s="2" t="n">
        <v>40151</v>
      </c>
      <c r="B519" t="n">
        <v>727832.75</v>
      </c>
      <c r="C519" t="n">
        <v>39410.59</v>
      </c>
      <c r="D519" t="n">
        <v>-27733.19</v>
      </c>
      <c r="E519">
        <f>D519/MAX($B$2:B519,100000)</f>
        <v/>
      </c>
      <c r="H519" s="2" t="n"/>
      <c r="I519" s="2" t="n"/>
    </row>
    <row r="520">
      <c r="A520" s="2" t="n">
        <v>40158</v>
      </c>
      <c r="B520" t="n">
        <v>718009.38</v>
      </c>
      <c r="C520" t="n">
        <v>196399.47</v>
      </c>
      <c r="D520" t="n">
        <v>-37556.56</v>
      </c>
      <c r="E520">
        <f>D520/MAX($B$2:B520,100000)</f>
        <v/>
      </c>
      <c r="H520" s="2" t="n"/>
      <c r="I520" s="2" t="n"/>
    </row>
    <row r="521">
      <c r="A521" s="2" t="n">
        <v>40165</v>
      </c>
      <c r="B521" t="n">
        <v>722356.3100000001</v>
      </c>
      <c r="C521" t="n">
        <v>196399.47</v>
      </c>
      <c r="D521" t="n">
        <v>-33209.63</v>
      </c>
      <c r="E521">
        <f>D521/MAX($B$2:B521,100000)</f>
        <v/>
      </c>
      <c r="H521" s="2" t="n"/>
      <c r="I521" s="2" t="n"/>
    </row>
    <row r="522">
      <c r="A522" s="2" t="n">
        <v>40171</v>
      </c>
      <c r="B522" t="n">
        <v>744464.88</v>
      </c>
      <c r="C522" t="n">
        <v>293197.22</v>
      </c>
      <c r="D522" t="n">
        <v>-11101.06</v>
      </c>
      <c r="E522">
        <f>D522/MAX($B$2:B522,100000)</f>
        <v/>
      </c>
      <c r="H522" s="2" t="n"/>
      <c r="I522" s="2" t="n"/>
    </row>
    <row r="523">
      <c r="A523" s="2" t="n">
        <v>40178</v>
      </c>
      <c r="B523" t="n">
        <v>756549.0600000001</v>
      </c>
      <c r="C523" t="n">
        <v>13274.43</v>
      </c>
      <c r="D523" t="n">
        <v>0</v>
      </c>
      <c r="E523">
        <f>D523/MAX($B$2:B523,100000)</f>
        <v/>
      </c>
      <c r="H523" s="2" t="n"/>
      <c r="I523" s="2" t="n"/>
    </row>
    <row r="524">
      <c r="A524" s="2" t="n">
        <v>40186</v>
      </c>
      <c r="B524" t="n">
        <v>754792.6899999999</v>
      </c>
      <c r="C524" t="n">
        <v>13274.43</v>
      </c>
      <c r="D524" t="n">
        <v>-1756.38</v>
      </c>
      <c r="E524">
        <f>D524/MAX($B$2:B524,100000)</f>
        <v/>
      </c>
      <c r="H524" s="2" t="n"/>
      <c r="I524" s="2" t="n"/>
    </row>
    <row r="525">
      <c r="A525" s="2" t="n">
        <v>40193</v>
      </c>
      <c r="B525" t="n">
        <v>754225.5</v>
      </c>
      <c r="C525" t="n">
        <v>13274.43</v>
      </c>
      <c r="D525" t="n">
        <v>-2323.56</v>
      </c>
      <c r="E525">
        <f>D525/MAX($B$2:B525,100000)</f>
        <v/>
      </c>
      <c r="H525" s="2" t="n"/>
      <c r="I525" s="2" t="n"/>
    </row>
    <row r="526">
      <c r="A526" s="2" t="n">
        <v>40200</v>
      </c>
      <c r="B526" t="n">
        <v>735495.8100000001</v>
      </c>
      <c r="C526" t="n">
        <v>13274.43</v>
      </c>
      <c r="D526" t="n">
        <v>-21053.25</v>
      </c>
      <c r="E526">
        <f>D526/MAX($B$2:B526,100000)</f>
        <v/>
      </c>
      <c r="H526" s="2" t="n"/>
      <c r="I526" s="2" t="n"/>
    </row>
    <row r="527">
      <c r="A527" s="2" t="n">
        <v>40207</v>
      </c>
      <c r="B527" t="n">
        <v>710098.63</v>
      </c>
      <c r="C527" t="n">
        <v>13274.43</v>
      </c>
      <c r="D527" t="n">
        <v>-46450.44</v>
      </c>
      <c r="E527">
        <f>D527/MAX($B$2:B527,100000)</f>
        <v/>
      </c>
      <c r="H527" s="2" t="n"/>
      <c r="I527" s="2" t="n"/>
    </row>
    <row r="528">
      <c r="A528" s="2" t="n">
        <v>40214</v>
      </c>
      <c r="B528" t="n">
        <v>708077.0600000001</v>
      </c>
      <c r="C528" t="n">
        <v>13274.43</v>
      </c>
      <c r="D528" t="n">
        <v>-48472</v>
      </c>
      <c r="E528">
        <f>D528/MAX($B$2:B528,100000)</f>
        <v/>
      </c>
      <c r="H528" s="2" t="n"/>
      <c r="I528" s="2" t="n"/>
    </row>
    <row r="529">
      <c r="A529" s="2" t="n">
        <v>40221</v>
      </c>
      <c r="B529" t="n">
        <v>711279.38</v>
      </c>
      <c r="C529" t="n">
        <v>235436.17</v>
      </c>
      <c r="D529" t="n">
        <v>-45269.69</v>
      </c>
      <c r="E529">
        <f>D529/MAX($B$2:B529,100000)</f>
        <v/>
      </c>
      <c r="H529" s="2" t="n"/>
      <c r="I529" s="2" t="n"/>
    </row>
    <row r="530">
      <c r="A530" s="2" t="n">
        <v>40228</v>
      </c>
      <c r="B530" t="n">
        <v>719585.63</v>
      </c>
      <c r="C530" t="n">
        <v>235436.17</v>
      </c>
      <c r="D530" t="n">
        <v>-36963.44</v>
      </c>
      <c r="E530">
        <f>D530/MAX($B$2:B530,100000)</f>
        <v/>
      </c>
      <c r="H530" s="2" t="n"/>
      <c r="I530" s="2" t="n"/>
    </row>
    <row r="531">
      <c r="A531" s="2" t="n">
        <v>40235</v>
      </c>
      <c r="B531" t="n">
        <v>717156.9399999999</v>
      </c>
      <c r="C531" t="n">
        <v>235436.17</v>
      </c>
      <c r="D531" t="n">
        <v>-39392.13</v>
      </c>
      <c r="E531">
        <f>D531/MAX($B$2:B531,100000)</f>
        <v/>
      </c>
      <c r="H531" s="2" t="n"/>
      <c r="I531" s="2" t="n"/>
    </row>
    <row r="532">
      <c r="A532" s="2" t="n">
        <v>40242</v>
      </c>
      <c r="B532" t="n">
        <v>729123.25</v>
      </c>
      <c r="C532" t="n">
        <v>235436.17</v>
      </c>
      <c r="D532" t="n">
        <v>-27425.81</v>
      </c>
      <c r="E532">
        <f>D532/MAX($B$2:B532,100000)</f>
        <v/>
      </c>
      <c r="H532" s="2" t="n"/>
      <c r="I532" s="2" t="n"/>
    </row>
    <row r="533">
      <c r="A533" s="2" t="n">
        <v>40249</v>
      </c>
      <c r="B533" t="n">
        <v>729718.6899999999</v>
      </c>
      <c r="C533" t="n">
        <v>9146.25</v>
      </c>
      <c r="D533" t="n">
        <v>-26830.38</v>
      </c>
      <c r="E533">
        <f>D533/MAX($B$2:B533,100000)</f>
        <v/>
      </c>
      <c r="H533" s="2" t="n"/>
      <c r="I533" s="2" t="n"/>
    </row>
    <row r="534">
      <c r="A534" s="2" t="n">
        <v>40256</v>
      </c>
      <c r="B534" t="n">
        <v>733256.5</v>
      </c>
      <c r="C534" t="n">
        <v>9146.25</v>
      </c>
      <c r="D534" t="n">
        <v>-23292.56</v>
      </c>
      <c r="E534">
        <f>D534/MAX($B$2:B534,100000)</f>
        <v/>
      </c>
      <c r="H534" s="2" t="n"/>
      <c r="I534" s="2" t="n"/>
    </row>
    <row r="535">
      <c r="A535" s="2" t="n">
        <v>40263</v>
      </c>
      <c r="B535" t="n">
        <v>730062.3100000001</v>
      </c>
      <c r="C535" t="n">
        <v>9146.25</v>
      </c>
      <c r="D535" t="n">
        <v>-26486.75</v>
      </c>
      <c r="E535">
        <f>D535/MAX($B$2:B535,100000)</f>
        <v/>
      </c>
      <c r="H535" s="2" t="n"/>
      <c r="I535" s="2" t="n"/>
    </row>
    <row r="536">
      <c r="A536" s="2" t="n">
        <v>40269</v>
      </c>
      <c r="B536" t="n">
        <v>728935.63</v>
      </c>
      <c r="C536" t="n">
        <v>9146.25</v>
      </c>
      <c r="D536" t="n">
        <v>-27613.44</v>
      </c>
      <c r="E536">
        <f>D536/MAX($B$2:B536,100000)</f>
        <v/>
      </c>
      <c r="H536" s="2" t="n"/>
      <c r="I536" s="2" t="n"/>
    </row>
    <row r="537">
      <c r="A537" s="2" t="n">
        <v>40277</v>
      </c>
      <c r="B537" t="n">
        <v>743311.3100000001</v>
      </c>
      <c r="C537" t="n">
        <v>9146.25</v>
      </c>
      <c r="D537" t="n">
        <v>-13237.75</v>
      </c>
      <c r="E537">
        <f>D537/MAX($B$2:B537,100000)</f>
        <v/>
      </c>
      <c r="H537" s="2" t="n"/>
      <c r="I537" s="2" t="n"/>
    </row>
    <row r="538">
      <c r="A538" s="2" t="n">
        <v>40284</v>
      </c>
      <c r="B538" t="n">
        <v>740852.88</v>
      </c>
      <c r="C538" t="n">
        <v>9146.25</v>
      </c>
      <c r="D538" t="n">
        <v>-15696.19</v>
      </c>
      <c r="E538">
        <f>D538/MAX($B$2:B538,100000)</f>
        <v/>
      </c>
      <c r="H538" s="2" t="n"/>
      <c r="I538" s="2" t="n"/>
    </row>
    <row r="539">
      <c r="A539" s="2" t="n">
        <v>40291</v>
      </c>
      <c r="B539" t="n">
        <v>730156.25</v>
      </c>
      <c r="C539" t="n">
        <v>9146.25</v>
      </c>
      <c r="D539" t="n">
        <v>-26392.81</v>
      </c>
      <c r="E539">
        <f>D539/MAX($B$2:B539,100000)</f>
        <v/>
      </c>
      <c r="H539" s="2" t="n"/>
      <c r="I539" s="2" t="n"/>
    </row>
    <row r="540">
      <c r="A540" s="2" t="n">
        <v>40298</v>
      </c>
      <c r="B540" t="n">
        <v>712726.3100000001</v>
      </c>
      <c r="C540" t="n">
        <v>9146.25</v>
      </c>
      <c r="D540" t="n">
        <v>-43822.75</v>
      </c>
      <c r="E540">
        <f>D540/MAX($B$2:B540,100000)</f>
        <v/>
      </c>
      <c r="H540" s="2" t="n"/>
      <c r="I540" s="2" t="n"/>
    </row>
    <row r="541">
      <c r="A541" s="2" t="n">
        <v>40305</v>
      </c>
      <c r="B541" t="n">
        <v>674143.8100000001</v>
      </c>
      <c r="C541" t="n">
        <v>9146.25</v>
      </c>
      <c r="D541" t="n">
        <v>-82405.25</v>
      </c>
      <c r="E541">
        <f>D541/MAX($B$2:B541,100000)</f>
        <v/>
      </c>
      <c r="H541" s="2" t="n"/>
      <c r="I541" s="2" t="n"/>
    </row>
    <row r="542">
      <c r="A542" s="2" t="n">
        <v>40312</v>
      </c>
      <c r="B542" t="n">
        <v>691983.63</v>
      </c>
      <c r="C542" t="n">
        <v>9146.25</v>
      </c>
      <c r="D542" t="n">
        <v>-64565.44</v>
      </c>
      <c r="E542">
        <f>D542/MAX($B$2:B542,100000)</f>
        <v/>
      </c>
      <c r="H542" s="2" t="n"/>
      <c r="I542" s="2" t="n"/>
    </row>
    <row r="543">
      <c r="A543" s="2" t="n">
        <v>40319</v>
      </c>
      <c r="B543" t="n">
        <v>668661.4399999999</v>
      </c>
      <c r="C543" t="n">
        <v>253190.19</v>
      </c>
      <c r="D543" t="n">
        <v>-87887.63</v>
      </c>
      <c r="E543">
        <f>D543/MAX($B$2:B543,100000)</f>
        <v/>
      </c>
      <c r="H543" s="2" t="n"/>
      <c r="I543" s="2" t="n"/>
    </row>
    <row r="544">
      <c r="A544" s="2" t="n">
        <v>40326</v>
      </c>
      <c r="B544" t="n">
        <v>669862.3100000001</v>
      </c>
      <c r="C544" t="n">
        <v>253190.19</v>
      </c>
      <c r="D544" t="n">
        <v>-86686.75</v>
      </c>
      <c r="E544">
        <f>D544/MAX($B$2:B544,100000)</f>
        <v/>
      </c>
      <c r="H544" s="2" t="n"/>
      <c r="I544" s="2" t="n"/>
    </row>
    <row r="545">
      <c r="A545" s="2" t="n">
        <v>40333</v>
      </c>
      <c r="B545" t="n">
        <v>675757.9399999999</v>
      </c>
      <c r="C545" t="n">
        <v>337883.66</v>
      </c>
      <c r="D545" t="n">
        <v>-80791.13</v>
      </c>
      <c r="E545">
        <f>D545/MAX($B$2:B545,100000)</f>
        <v/>
      </c>
      <c r="H545" s="2" t="n"/>
      <c r="I545" s="2" t="n"/>
    </row>
    <row r="546">
      <c r="A546" s="2" t="n">
        <v>40340</v>
      </c>
      <c r="B546" t="n">
        <v>672557.0600000001</v>
      </c>
      <c r="C546" t="n">
        <v>337883.66</v>
      </c>
      <c r="D546" t="n">
        <v>-83992</v>
      </c>
      <c r="E546">
        <f>D546/MAX($B$2:B546,100000)</f>
        <v/>
      </c>
      <c r="H546" s="2" t="n"/>
      <c r="I546" s="2" t="n"/>
    </row>
    <row r="547">
      <c r="A547" s="2" t="n">
        <v>40347</v>
      </c>
      <c r="B547" t="n">
        <v>678173.75</v>
      </c>
      <c r="C547" t="n">
        <v>337883.66</v>
      </c>
      <c r="D547" t="n">
        <v>-78375.31</v>
      </c>
      <c r="E547">
        <f>D547/MAX($B$2:B547,100000)</f>
        <v/>
      </c>
      <c r="H547" s="2" t="n"/>
      <c r="I547" s="2" t="n"/>
    </row>
    <row r="548">
      <c r="A548" s="2" t="n">
        <v>40354</v>
      </c>
      <c r="B548" t="n">
        <v>669011.4399999999</v>
      </c>
      <c r="C548" t="n">
        <v>337883.66</v>
      </c>
      <c r="D548" t="n">
        <v>-87537.63</v>
      </c>
      <c r="E548">
        <f>D548/MAX($B$2:B548,100000)</f>
        <v/>
      </c>
      <c r="H548" s="2" t="n"/>
      <c r="I548" s="2" t="n"/>
    </row>
    <row r="549">
      <c r="A549" s="2" t="n">
        <v>40361</v>
      </c>
      <c r="B549" t="n">
        <v>663668.1899999999</v>
      </c>
      <c r="C549" t="n">
        <v>337883.66</v>
      </c>
      <c r="D549" t="n">
        <v>-92880.88</v>
      </c>
      <c r="E549">
        <f>D549/MAX($B$2:B549,100000)</f>
        <v/>
      </c>
      <c r="H549" s="2" t="n"/>
      <c r="I549" s="2" t="n"/>
    </row>
    <row r="550">
      <c r="A550" s="2" t="n">
        <v>40368</v>
      </c>
      <c r="B550" t="n">
        <v>671207.8100000001</v>
      </c>
      <c r="C550" t="n">
        <v>337883.66</v>
      </c>
      <c r="D550" t="n">
        <v>-85341.25</v>
      </c>
      <c r="E550">
        <f>D550/MAX($B$2:B550,100000)</f>
        <v/>
      </c>
      <c r="H550" s="2" t="n"/>
      <c r="I550" s="2" t="n"/>
    </row>
    <row r="551">
      <c r="A551" s="2" t="n">
        <v>40375</v>
      </c>
      <c r="B551" t="n">
        <v>673253.25</v>
      </c>
      <c r="C551" t="n">
        <v>337883.66</v>
      </c>
      <c r="D551" t="n">
        <v>-83295.81</v>
      </c>
      <c r="E551">
        <f>D551/MAX($B$2:B551,100000)</f>
        <v/>
      </c>
      <c r="H551" s="2" t="n"/>
      <c r="I551" s="2" t="n"/>
    </row>
    <row r="552">
      <c r="A552" s="2" t="n">
        <v>40382</v>
      </c>
      <c r="B552" t="n">
        <v>671767.75</v>
      </c>
      <c r="C552" t="n">
        <v>337883.66</v>
      </c>
      <c r="D552" t="n">
        <v>-84781.31</v>
      </c>
      <c r="E552">
        <f>D552/MAX($B$2:B552,100000)</f>
        <v/>
      </c>
      <c r="H552" s="2" t="n"/>
      <c r="I552" s="2" t="n"/>
    </row>
    <row r="553">
      <c r="A553" s="2" t="n">
        <v>40389</v>
      </c>
      <c r="B553" t="n">
        <v>676823.8100000001</v>
      </c>
      <c r="C553" t="n">
        <v>337883.66</v>
      </c>
      <c r="D553" t="n">
        <v>-79725.25</v>
      </c>
      <c r="E553">
        <f>D553/MAX($B$2:B553,100000)</f>
        <v/>
      </c>
      <c r="H553" s="2" t="n"/>
      <c r="I553" s="2" t="n"/>
    </row>
    <row r="554">
      <c r="A554" s="2" t="n">
        <v>40396</v>
      </c>
      <c r="B554" t="n">
        <v>679882.13</v>
      </c>
      <c r="C554" t="n">
        <v>337883.66</v>
      </c>
      <c r="D554" t="n">
        <v>-76666.94</v>
      </c>
      <c r="E554">
        <f>D554/MAX($B$2:B554,100000)</f>
        <v/>
      </c>
      <c r="H554" s="2" t="n"/>
      <c r="I554" s="2" t="n"/>
    </row>
    <row r="555">
      <c r="A555" s="2" t="n">
        <v>40403</v>
      </c>
      <c r="B555" t="n">
        <v>664019</v>
      </c>
      <c r="C555" t="n">
        <v>42053.4</v>
      </c>
      <c r="D555" t="n">
        <v>-92530.06</v>
      </c>
      <c r="E555">
        <f>D555/MAX($B$2:B555,100000)</f>
        <v/>
      </c>
      <c r="H555" s="2" t="n"/>
      <c r="I555" s="2" t="n"/>
    </row>
    <row r="556">
      <c r="A556" s="2" t="n">
        <v>40410</v>
      </c>
      <c r="B556" t="n">
        <v>673837</v>
      </c>
      <c r="C556" t="n">
        <v>670.38</v>
      </c>
      <c r="D556" t="n">
        <v>-82712.06</v>
      </c>
      <c r="E556">
        <f>D556/MAX($B$2:B556,100000)</f>
        <v/>
      </c>
      <c r="H556" s="2" t="n"/>
      <c r="I556" s="2" t="n"/>
    </row>
    <row r="557">
      <c r="A557" s="2" t="n">
        <v>40417</v>
      </c>
      <c r="B557" t="n">
        <v>666103.5600000001</v>
      </c>
      <c r="C557" t="n">
        <v>670.38</v>
      </c>
      <c r="D557" t="n">
        <v>-90445.5</v>
      </c>
      <c r="E557">
        <f>D557/MAX($B$2:B557,100000)</f>
        <v/>
      </c>
      <c r="H557" s="2" t="n"/>
      <c r="I557" s="2" t="n"/>
    </row>
    <row r="558">
      <c r="A558" s="2" t="n">
        <v>40424</v>
      </c>
      <c r="B558" t="n">
        <v>707214</v>
      </c>
      <c r="C558" t="n">
        <v>36885.01</v>
      </c>
      <c r="D558" t="n">
        <v>-49335.06</v>
      </c>
      <c r="E558">
        <f>D558/MAX($B$2:B558,100000)</f>
        <v/>
      </c>
      <c r="H558" s="2" t="n"/>
      <c r="I558" s="2" t="n"/>
    </row>
    <row r="559">
      <c r="A559" s="2" t="n">
        <v>40431</v>
      </c>
      <c r="B559" t="n">
        <v>718152.5</v>
      </c>
      <c r="C559" t="n">
        <v>36885.01</v>
      </c>
      <c r="D559" t="n">
        <v>-38396.56</v>
      </c>
      <c r="E559">
        <f>D559/MAX($B$2:B559,100000)</f>
        <v/>
      </c>
      <c r="H559" s="2" t="n"/>
      <c r="I559" s="2" t="n"/>
    </row>
    <row r="560">
      <c r="A560" s="2" t="n">
        <v>40438</v>
      </c>
      <c r="B560" t="n">
        <v>733717.6899999999</v>
      </c>
      <c r="C560" t="n">
        <v>36885.01</v>
      </c>
      <c r="D560" t="n">
        <v>-22831.38</v>
      </c>
      <c r="E560">
        <f>D560/MAX($B$2:B560,100000)</f>
        <v/>
      </c>
      <c r="H560" s="2" t="n"/>
      <c r="I560" s="2" t="n"/>
    </row>
    <row r="561">
      <c r="A561" s="2" t="n">
        <v>40445</v>
      </c>
      <c r="B561" t="n">
        <v>717421.75</v>
      </c>
      <c r="C561" t="n">
        <v>36885.01</v>
      </c>
      <c r="D561" t="n">
        <v>-39127.31</v>
      </c>
      <c r="E561">
        <f>D561/MAX($B$2:B561,100000)</f>
        <v/>
      </c>
      <c r="H561" s="2" t="n"/>
      <c r="I561" s="2" t="n"/>
    </row>
    <row r="562">
      <c r="A562" s="2" t="n">
        <v>40452</v>
      </c>
      <c r="B562" t="n">
        <v>720114.1899999999</v>
      </c>
      <c r="C562" t="n">
        <v>36885.01</v>
      </c>
      <c r="D562" t="n">
        <v>-36434.88</v>
      </c>
      <c r="E562">
        <f>D562/MAX($B$2:B562,100000)</f>
        <v/>
      </c>
      <c r="H562" s="2" t="n"/>
      <c r="I562" s="2" t="n"/>
    </row>
    <row r="563">
      <c r="A563" s="2" t="n">
        <v>40459</v>
      </c>
      <c r="B563" t="n">
        <v>738663.38</v>
      </c>
      <c r="C563" t="n">
        <v>36885.01</v>
      </c>
      <c r="D563" t="n">
        <v>-17885.69</v>
      </c>
      <c r="E563">
        <f>D563/MAX($B$2:B563,100000)</f>
        <v/>
      </c>
      <c r="H563" s="2" t="n"/>
      <c r="I563" s="2" t="n"/>
    </row>
    <row r="564">
      <c r="A564" s="2" t="n">
        <v>40466</v>
      </c>
      <c r="B564" t="n">
        <v>748149.5</v>
      </c>
      <c r="C564" t="n">
        <v>36885.01</v>
      </c>
      <c r="D564" t="n">
        <v>-8399.559999999999</v>
      </c>
      <c r="E564">
        <f>D564/MAX($B$2:B564,100000)</f>
        <v/>
      </c>
      <c r="H564" s="2" t="n"/>
      <c r="I564" s="2" t="n"/>
    </row>
    <row r="565">
      <c r="A565" s="2" t="n">
        <v>40473</v>
      </c>
      <c r="B565" t="n">
        <v>743525.13</v>
      </c>
      <c r="C565" t="n">
        <v>36885.01</v>
      </c>
      <c r="D565" t="n">
        <v>-13023.94</v>
      </c>
      <c r="E565">
        <f>D565/MAX($B$2:B565,100000)</f>
        <v/>
      </c>
      <c r="H565" s="2" t="n"/>
      <c r="I565" s="2" t="n"/>
    </row>
    <row r="566">
      <c r="A566" s="2" t="n">
        <v>40480</v>
      </c>
      <c r="B566" t="n">
        <v>740656.75</v>
      </c>
      <c r="C566" t="n">
        <v>32412.74</v>
      </c>
      <c r="D566" t="n">
        <v>-15892.31</v>
      </c>
      <c r="E566">
        <f>D566/MAX($B$2:B566,100000)</f>
        <v/>
      </c>
      <c r="H566" s="2" t="n"/>
      <c r="I566" s="2" t="n"/>
    </row>
    <row r="567">
      <c r="A567" s="2" t="n">
        <v>40487</v>
      </c>
      <c r="B567" t="n">
        <v>753858.25</v>
      </c>
      <c r="C567" t="n">
        <v>32412.74</v>
      </c>
      <c r="D567" t="n">
        <v>-2690.81</v>
      </c>
      <c r="E567">
        <f>D567/MAX($B$2:B567,100000)</f>
        <v/>
      </c>
      <c r="H567" s="2" t="n"/>
      <c r="I567" s="2" t="n"/>
    </row>
    <row r="568">
      <c r="A568" s="2" t="n">
        <v>40494</v>
      </c>
      <c r="B568" t="n">
        <v>751911.9399999999</v>
      </c>
      <c r="C568" t="n">
        <v>32412.74</v>
      </c>
      <c r="D568" t="n">
        <v>-4637.13</v>
      </c>
      <c r="E568">
        <f>D568/MAX($B$2:B568,100000)</f>
        <v/>
      </c>
      <c r="H568" s="2" t="n"/>
      <c r="I568" s="2" t="n"/>
    </row>
    <row r="569">
      <c r="A569" s="2" t="n">
        <v>40501</v>
      </c>
      <c r="B569" t="n">
        <v>741824.9399999999</v>
      </c>
      <c r="C569" t="n">
        <v>32412.74</v>
      </c>
      <c r="D569" t="n">
        <v>-14724.13</v>
      </c>
      <c r="E569">
        <f>D569/MAX($B$2:B569,100000)</f>
        <v/>
      </c>
      <c r="H569" s="2" t="n"/>
      <c r="I569" s="2" t="n"/>
    </row>
    <row r="570">
      <c r="A570" s="2" t="n">
        <v>40508</v>
      </c>
      <c r="B570" t="n">
        <v>739982.5600000001</v>
      </c>
      <c r="C570" t="n">
        <v>32412.74</v>
      </c>
      <c r="D570" t="n">
        <v>-16566.5</v>
      </c>
      <c r="E570">
        <f>D570/MAX($B$2:B570,100000)</f>
        <v/>
      </c>
      <c r="H570" s="2" t="n"/>
      <c r="I570" s="2" t="n"/>
    </row>
    <row r="571">
      <c r="A571" s="2" t="n">
        <v>40515</v>
      </c>
      <c r="B571" t="n">
        <v>741918.25</v>
      </c>
      <c r="C571" t="n">
        <v>32412.74</v>
      </c>
      <c r="D571" t="n">
        <v>-14630.81</v>
      </c>
      <c r="E571">
        <f>D571/MAX($B$2:B571,100000)</f>
        <v/>
      </c>
      <c r="H571" s="2" t="n"/>
      <c r="I571" s="2" t="n"/>
    </row>
    <row r="572">
      <c r="A572" s="2" t="n">
        <v>40522</v>
      </c>
      <c r="B572" t="n">
        <v>733625.0600000001</v>
      </c>
      <c r="C572" t="n">
        <v>27535.66</v>
      </c>
      <c r="D572" t="n">
        <v>-22924</v>
      </c>
      <c r="E572">
        <f>D572/MAX($B$2:B572,100000)</f>
        <v/>
      </c>
      <c r="H572" s="2" t="n"/>
      <c r="I572" s="2" t="n"/>
    </row>
    <row r="573">
      <c r="A573" s="2" t="n">
        <v>40529</v>
      </c>
      <c r="B573" t="n">
        <v>748959.4399999999</v>
      </c>
      <c r="C573" t="n">
        <v>27535.66</v>
      </c>
      <c r="D573" t="n">
        <v>-7589.63</v>
      </c>
      <c r="E573">
        <f>D573/MAX($B$2:B573,100000)</f>
        <v/>
      </c>
      <c r="H573" s="2" t="n"/>
      <c r="I573" s="2" t="n"/>
    </row>
    <row r="574">
      <c r="A574" s="2" t="n">
        <v>40536</v>
      </c>
      <c r="B574" t="n">
        <v>758503.3100000001</v>
      </c>
      <c r="C574" t="n">
        <v>27535.66</v>
      </c>
      <c r="D574" t="n">
        <v>0</v>
      </c>
      <c r="E574">
        <f>D574/MAX($B$2:B574,100000)</f>
        <v/>
      </c>
      <c r="H574" s="2" t="n"/>
      <c r="I574" s="2" t="n"/>
    </row>
    <row r="575">
      <c r="A575" s="2" t="n">
        <v>40543</v>
      </c>
      <c r="B575" t="n">
        <v>787341.75</v>
      </c>
      <c r="C575" t="n">
        <v>27535.66</v>
      </c>
      <c r="D575" t="n">
        <v>0</v>
      </c>
      <c r="E575">
        <f>D575/MAX($B$2:B575,100000)</f>
        <v/>
      </c>
      <c r="H575" s="2" t="n"/>
      <c r="I575" s="2" t="n"/>
    </row>
    <row r="576">
      <c r="A576" s="2" t="n">
        <v>40550</v>
      </c>
      <c r="B576" t="n">
        <v>764800.1899999999</v>
      </c>
      <c r="C576" t="n">
        <v>27535.66</v>
      </c>
      <c r="D576" t="n">
        <v>-22541.56</v>
      </c>
      <c r="E576">
        <f>D576/MAX($B$2:B576,100000)</f>
        <v/>
      </c>
      <c r="H576" s="2" t="n"/>
      <c r="I576" s="2" t="n"/>
    </row>
    <row r="577">
      <c r="A577" s="2" t="n">
        <v>40557</v>
      </c>
      <c r="B577" t="n">
        <v>784950.6899999999</v>
      </c>
      <c r="C577" t="n">
        <v>27535.66</v>
      </c>
      <c r="D577" t="n">
        <v>-2391.06</v>
      </c>
      <c r="E577">
        <f>D577/MAX($B$2:B577,100000)</f>
        <v/>
      </c>
      <c r="H577" s="2" t="n"/>
      <c r="I577" s="2" t="n"/>
    </row>
    <row r="578">
      <c r="A578" s="2" t="n">
        <v>40564</v>
      </c>
      <c r="B578" t="n">
        <v>775937.8100000001</v>
      </c>
      <c r="C578" t="n">
        <v>27535.66</v>
      </c>
      <c r="D578" t="n">
        <v>-11403.94</v>
      </c>
      <c r="E578">
        <f>D578/MAX($B$2:B578,100000)</f>
        <v/>
      </c>
      <c r="H578" s="2" t="n"/>
      <c r="I578" s="2" t="n"/>
    </row>
    <row r="579">
      <c r="A579" s="2" t="n">
        <v>40571</v>
      </c>
      <c r="B579" t="n">
        <v>760798.88</v>
      </c>
      <c r="C579" t="n">
        <v>27535.66</v>
      </c>
      <c r="D579" t="n">
        <v>-26542.88</v>
      </c>
      <c r="E579">
        <f>D579/MAX($B$2:B579,100000)</f>
        <v/>
      </c>
      <c r="H579" s="2" t="n"/>
      <c r="I579" s="2" t="n"/>
    </row>
    <row r="580">
      <c r="A580" s="2" t="n">
        <v>40578</v>
      </c>
      <c r="B580" t="n">
        <v>775871.3100000001</v>
      </c>
      <c r="C580" t="n">
        <v>27535.66</v>
      </c>
      <c r="D580" t="n">
        <v>-11470.44</v>
      </c>
      <c r="E580">
        <f>D580/MAX($B$2:B580,100000)</f>
        <v/>
      </c>
      <c r="H580" s="2" t="n"/>
      <c r="I580" s="2" t="n"/>
    </row>
    <row r="581">
      <c r="A581" s="2" t="n">
        <v>40585</v>
      </c>
      <c r="B581" t="n">
        <v>780164.63</v>
      </c>
      <c r="C581" t="n">
        <v>27535.66</v>
      </c>
      <c r="D581" t="n">
        <v>-7177.13</v>
      </c>
      <c r="E581">
        <f>D581/MAX($B$2:B581,100000)</f>
        <v/>
      </c>
      <c r="H581" s="2" t="n"/>
      <c r="I581" s="2" t="n"/>
    </row>
    <row r="582">
      <c r="A582" s="2" t="n">
        <v>40592</v>
      </c>
      <c r="B582" t="n">
        <v>790779.88</v>
      </c>
      <c r="C582" t="n">
        <v>27535.66</v>
      </c>
      <c r="D582" t="n">
        <v>0</v>
      </c>
      <c r="E582">
        <f>D582/MAX($B$2:B582,100000)</f>
        <v/>
      </c>
      <c r="H582" s="2" t="n"/>
      <c r="I582" s="2" t="n"/>
    </row>
    <row r="583">
      <c r="A583" s="2" t="n">
        <v>40599</v>
      </c>
      <c r="B583" t="n">
        <v>764811.8100000001</v>
      </c>
      <c r="C583" t="n">
        <v>27535.66</v>
      </c>
      <c r="D583" t="n">
        <v>-25968.06</v>
      </c>
      <c r="E583">
        <f>D583/MAX($B$2:B583,100000)</f>
        <v/>
      </c>
      <c r="H583" s="2" t="n"/>
      <c r="I583" s="2" t="n"/>
    </row>
    <row r="584">
      <c r="A584" s="2" t="n">
        <v>40606</v>
      </c>
      <c r="B584" t="n">
        <v>784907.6899999999</v>
      </c>
      <c r="C584" t="n">
        <v>27535.66</v>
      </c>
      <c r="D584" t="n">
        <v>-5872.19</v>
      </c>
      <c r="E584">
        <f>D584/MAX($B$2:B584,100000)</f>
        <v/>
      </c>
      <c r="H584" s="2" t="n"/>
      <c r="I584" s="2" t="n"/>
    </row>
    <row r="585">
      <c r="A585" s="2" t="n">
        <v>40613</v>
      </c>
      <c r="B585" t="n">
        <v>739820.63</v>
      </c>
      <c r="C585" t="n">
        <v>27535.66</v>
      </c>
      <c r="D585" t="n">
        <v>-50959.25</v>
      </c>
      <c r="E585">
        <f>D585/MAX($B$2:B585,100000)</f>
        <v/>
      </c>
      <c r="H585" s="2" t="n"/>
      <c r="I585" s="2" t="n"/>
    </row>
    <row r="586">
      <c r="A586" s="2" t="n">
        <v>40620</v>
      </c>
      <c r="B586" t="n">
        <v>734522.38</v>
      </c>
      <c r="C586" t="n">
        <v>27535.66</v>
      </c>
      <c r="D586" t="n">
        <v>-56257.5</v>
      </c>
      <c r="E586">
        <f>D586/MAX($B$2:B586,100000)</f>
        <v/>
      </c>
      <c r="H586" s="2" t="n"/>
      <c r="I586" s="2" t="n"/>
    </row>
    <row r="587">
      <c r="A587" s="2" t="n">
        <v>40627</v>
      </c>
      <c r="B587" t="n">
        <v>738901.3100000001</v>
      </c>
      <c r="C587" t="n">
        <v>288554.81</v>
      </c>
      <c r="D587" t="n">
        <v>-51878.56</v>
      </c>
      <c r="E587">
        <f>D587/MAX($B$2:B587,100000)</f>
        <v/>
      </c>
      <c r="H587" s="2" t="n"/>
      <c r="I587" s="2" t="n"/>
    </row>
    <row r="588">
      <c r="A588" s="2" t="n">
        <v>40634</v>
      </c>
      <c r="B588" t="n">
        <v>744290.0600000001</v>
      </c>
      <c r="C588" t="n">
        <v>326223.22</v>
      </c>
      <c r="D588" t="n">
        <v>-46489.81</v>
      </c>
      <c r="E588">
        <f>D588/MAX($B$2:B588,100000)</f>
        <v/>
      </c>
      <c r="H588" s="2" t="n"/>
      <c r="I588" s="2" t="n"/>
    </row>
    <row r="589">
      <c r="A589" s="2" t="n">
        <v>40641</v>
      </c>
      <c r="B589" t="n">
        <v>749747.9399999999</v>
      </c>
      <c r="C589" t="n">
        <v>139743.69</v>
      </c>
      <c r="D589" t="n">
        <v>-41031.94</v>
      </c>
      <c r="E589">
        <f>D589/MAX($B$2:B589,100000)</f>
        <v/>
      </c>
      <c r="H589" s="2" t="n"/>
      <c r="I589" s="2" t="n"/>
    </row>
    <row r="590">
      <c r="A590" s="2" t="n">
        <v>40648</v>
      </c>
      <c r="B590" t="n">
        <v>737371.25</v>
      </c>
      <c r="C590" t="n">
        <v>46250.11</v>
      </c>
      <c r="D590" t="n">
        <v>-53408.63</v>
      </c>
      <c r="E590">
        <f>D590/MAX($B$2:B590,100000)</f>
        <v/>
      </c>
      <c r="H590" s="2" t="n"/>
      <c r="I590" s="2" t="n"/>
    </row>
    <row r="591">
      <c r="A591" s="2" t="n">
        <v>40654</v>
      </c>
      <c r="B591" t="n">
        <v>740910.1899999999</v>
      </c>
      <c r="C591" t="n">
        <v>148.69</v>
      </c>
      <c r="D591" t="n">
        <v>-49869.69</v>
      </c>
      <c r="E591">
        <f>D591/MAX($B$2:B591,100000)</f>
        <v/>
      </c>
      <c r="H591" s="2" t="n"/>
      <c r="I591" s="2" t="n"/>
    </row>
    <row r="592">
      <c r="A592" s="2" t="n">
        <v>40662</v>
      </c>
      <c r="B592" t="n">
        <v>718437.8100000001</v>
      </c>
      <c r="C592" t="n">
        <v>148.69</v>
      </c>
      <c r="D592" t="n">
        <v>-72342.06</v>
      </c>
      <c r="E592">
        <f>D592/MAX($B$2:B592,100000)</f>
        <v/>
      </c>
      <c r="H592" s="2" t="n"/>
      <c r="I592" s="2" t="n"/>
    </row>
    <row r="593">
      <c r="A593" s="2" t="n">
        <v>40669</v>
      </c>
      <c r="B593" t="n">
        <v>717943.3100000001</v>
      </c>
      <c r="C593" t="n">
        <v>148.69</v>
      </c>
      <c r="D593" t="n">
        <v>-72836.56</v>
      </c>
      <c r="E593">
        <f>D593/MAX($B$2:B593,100000)</f>
        <v/>
      </c>
      <c r="H593" s="2" t="n"/>
      <c r="I593" s="2" t="n"/>
    </row>
    <row r="594">
      <c r="A594" s="2" t="n">
        <v>40676</v>
      </c>
      <c r="B594" t="n">
        <v>706795.6899999999</v>
      </c>
      <c r="C594" t="n">
        <v>148.69</v>
      </c>
      <c r="D594" t="n">
        <v>-83984.19</v>
      </c>
      <c r="E594">
        <f>D594/MAX($B$2:B594,100000)</f>
        <v/>
      </c>
      <c r="H594" s="2" t="n"/>
      <c r="I594" s="2" t="n"/>
    </row>
    <row r="595">
      <c r="A595" s="2" t="n">
        <v>40683</v>
      </c>
      <c r="B595" t="n">
        <v>711327.0600000001</v>
      </c>
      <c r="C595" t="n">
        <v>74028.94</v>
      </c>
      <c r="D595" t="n">
        <v>-79452.81</v>
      </c>
      <c r="E595">
        <f>D595/MAX($B$2:B595,100000)</f>
        <v/>
      </c>
      <c r="H595" s="2" t="n"/>
      <c r="I595" s="2" t="n"/>
    </row>
    <row r="596">
      <c r="A596" s="2" t="n">
        <v>40690</v>
      </c>
      <c r="B596" t="n">
        <v>704530.0600000001</v>
      </c>
      <c r="C596" t="n">
        <v>74028.94</v>
      </c>
      <c r="D596" t="n">
        <v>-86249.81</v>
      </c>
      <c r="E596">
        <f>D596/MAX($B$2:B596,100000)</f>
        <v/>
      </c>
      <c r="H596" s="2" t="n"/>
      <c r="I596" s="2" t="n"/>
    </row>
    <row r="597">
      <c r="A597" s="2" t="n">
        <v>40697</v>
      </c>
      <c r="B597" t="n">
        <v>698677.6899999999</v>
      </c>
      <c r="C597" t="n">
        <v>117209.2</v>
      </c>
      <c r="D597" t="n">
        <v>-92102.19</v>
      </c>
      <c r="E597">
        <f>D597/MAX($B$2:B597,100000)</f>
        <v/>
      </c>
      <c r="H597" s="2" t="n"/>
      <c r="I597" s="2" t="n"/>
    </row>
    <row r="598">
      <c r="A598" s="2" t="n">
        <v>40704</v>
      </c>
      <c r="B598" t="n">
        <v>692390.25</v>
      </c>
      <c r="C598" t="n">
        <v>117209.2</v>
      </c>
      <c r="D598" t="n">
        <v>-98389.63</v>
      </c>
      <c r="E598">
        <f>D598/MAX($B$2:B598,100000)</f>
        <v/>
      </c>
      <c r="H598" s="2" t="n"/>
      <c r="I598" s="2" t="n"/>
    </row>
    <row r="599">
      <c r="A599" s="2" t="n">
        <v>40711</v>
      </c>
      <c r="B599" t="n">
        <v>687931</v>
      </c>
      <c r="C599" t="n">
        <v>117209.2</v>
      </c>
      <c r="D599" t="n">
        <v>-102848.88</v>
      </c>
      <c r="E599">
        <f>D599/MAX($B$2:B599,100000)</f>
        <v/>
      </c>
      <c r="H599" s="2" t="n"/>
      <c r="I599" s="2" t="n"/>
    </row>
    <row r="600">
      <c r="A600" s="2" t="n">
        <v>40718</v>
      </c>
      <c r="B600" t="n">
        <v>693625.0600000001</v>
      </c>
      <c r="C600" t="n">
        <v>154977.84</v>
      </c>
      <c r="D600" t="n">
        <v>-97154.81</v>
      </c>
      <c r="E600">
        <f>D600/MAX($B$2:B600,100000)</f>
        <v/>
      </c>
      <c r="H600" s="2" t="n"/>
      <c r="I600" s="2" t="n"/>
    </row>
    <row r="601">
      <c r="A601" s="2" t="n">
        <v>40725</v>
      </c>
      <c r="B601" t="n">
        <v>693493.13</v>
      </c>
      <c r="C601" t="n">
        <v>154977.84</v>
      </c>
      <c r="D601" t="n">
        <v>-97286.75</v>
      </c>
      <c r="E601">
        <f>D601/MAX($B$2:B601,100000)</f>
        <v/>
      </c>
      <c r="H601" s="2" t="n"/>
      <c r="I601" s="2" t="n"/>
    </row>
    <row r="602">
      <c r="A602" s="2" t="n">
        <v>40732</v>
      </c>
      <c r="B602" t="n">
        <v>701713.88</v>
      </c>
      <c r="C602" t="n">
        <v>154977.84</v>
      </c>
      <c r="D602" t="n">
        <v>-89066</v>
      </c>
      <c r="E602">
        <f>D602/MAX($B$2:B602,100000)</f>
        <v/>
      </c>
      <c r="H602" s="2" t="n"/>
      <c r="I602" s="2" t="n"/>
    </row>
    <row r="603">
      <c r="A603" s="2" t="n">
        <v>40739</v>
      </c>
      <c r="B603" t="n">
        <v>683804.9399999999</v>
      </c>
      <c r="C603" t="n">
        <v>154977.84</v>
      </c>
      <c r="D603" t="n">
        <v>-106974.94</v>
      </c>
      <c r="E603">
        <f>D603/MAX($B$2:B603,100000)</f>
        <v/>
      </c>
      <c r="H603" s="2" t="n"/>
      <c r="I603" s="2" t="n"/>
    </row>
    <row r="604">
      <c r="A604" s="2" t="n">
        <v>40746</v>
      </c>
      <c r="B604" t="n">
        <v>692162.13</v>
      </c>
      <c r="C604" t="n">
        <v>154977.84</v>
      </c>
      <c r="D604" t="n">
        <v>-98617.75</v>
      </c>
      <c r="E604">
        <f>D604/MAX($B$2:B604,100000)</f>
        <v/>
      </c>
      <c r="H604" s="2" t="n"/>
      <c r="I604" s="2" t="n"/>
    </row>
    <row r="605">
      <c r="A605" s="2" t="n">
        <v>40753</v>
      </c>
      <c r="B605" t="n">
        <v>680144.3100000001</v>
      </c>
      <c r="C605" t="n">
        <v>204813.17</v>
      </c>
      <c r="D605" t="n">
        <v>-110635.56</v>
      </c>
      <c r="E605">
        <f>D605/MAX($B$2:B605,100000)</f>
        <v/>
      </c>
      <c r="H605" s="2" t="n"/>
      <c r="I605" s="2" t="n"/>
    </row>
    <row r="606">
      <c r="A606" s="2" t="n">
        <v>40760</v>
      </c>
      <c r="B606" t="n">
        <v>662340.6899999999</v>
      </c>
      <c r="C606" t="n">
        <v>204813.17</v>
      </c>
      <c r="D606" t="n">
        <v>-128439.19</v>
      </c>
      <c r="E606">
        <f>D606/MAX($B$2:B606,100000)</f>
        <v/>
      </c>
      <c r="H606" s="2" t="n"/>
      <c r="I606" s="2" t="n"/>
    </row>
    <row r="607">
      <c r="A607" s="2" t="n">
        <v>40767</v>
      </c>
      <c r="B607" t="n">
        <v>652728.88</v>
      </c>
      <c r="C607" t="n">
        <v>247772.22</v>
      </c>
      <c r="D607" t="n">
        <v>-138051</v>
      </c>
      <c r="E607">
        <f>D607/MAX($B$2:B607,100000)</f>
        <v/>
      </c>
      <c r="H607" s="2" t="n"/>
      <c r="I607" s="2" t="n"/>
    </row>
    <row r="608">
      <c r="A608" s="2" t="n">
        <v>40774</v>
      </c>
      <c r="B608" t="n">
        <v>655393.5600000001</v>
      </c>
      <c r="C608" t="n">
        <v>285638.94</v>
      </c>
      <c r="D608" t="n">
        <v>-135386.31</v>
      </c>
      <c r="E608">
        <f>D608/MAX($B$2:B608,100000)</f>
        <v/>
      </c>
      <c r="H608" s="2" t="n"/>
      <c r="I608" s="2" t="n"/>
    </row>
    <row r="609">
      <c r="A609" s="2" t="n">
        <v>40781</v>
      </c>
      <c r="B609" t="n">
        <v>659166.25</v>
      </c>
      <c r="C609" t="n">
        <v>377787.09</v>
      </c>
      <c r="D609" t="n">
        <v>-131613.63</v>
      </c>
      <c r="E609">
        <f>D609/MAX($B$2:B609,100000)</f>
        <v/>
      </c>
      <c r="H609" s="2" t="n"/>
      <c r="I609" s="2" t="n"/>
    </row>
    <row r="610">
      <c r="A610" s="2" t="n">
        <v>40788</v>
      </c>
      <c r="B610" t="n">
        <v>664021.88</v>
      </c>
      <c r="C610" t="n">
        <v>377787.09</v>
      </c>
      <c r="D610" t="n">
        <v>-126758</v>
      </c>
      <c r="E610">
        <f>D610/MAX($B$2:B610,100000)</f>
        <v/>
      </c>
      <c r="H610" s="2" t="n"/>
      <c r="I610" s="2" t="n"/>
    </row>
    <row r="611">
      <c r="A611" s="2" t="n">
        <v>40795</v>
      </c>
      <c r="B611" t="n">
        <v>666648.63</v>
      </c>
      <c r="C611" t="n">
        <v>377787.09</v>
      </c>
      <c r="D611" t="n">
        <v>-124131.25</v>
      </c>
      <c r="E611">
        <f>D611/MAX($B$2:B611,100000)</f>
        <v/>
      </c>
      <c r="H611" s="2" t="n"/>
      <c r="I611" s="2" t="n"/>
    </row>
    <row r="612">
      <c r="A612" s="2" t="n">
        <v>40802</v>
      </c>
      <c r="B612" t="n">
        <v>666940.13</v>
      </c>
      <c r="C612" t="n">
        <v>377787.09</v>
      </c>
      <c r="D612" t="n">
        <v>-123839.75</v>
      </c>
      <c r="E612">
        <f>D612/MAX($B$2:B612,100000)</f>
        <v/>
      </c>
      <c r="H612" s="2" t="n"/>
      <c r="I612" s="2" t="n"/>
    </row>
    <row r="613">
      <c r="A613" s="2" t="n">
        <v>40809</v>
      </c>
      <c r="B613" t="n">
        <v>654524.8100000001</v>
      </c>
      <c r="C613" t="n">
        <v>377787.09</v>
      </c>
      <c r="D613" t="n">
        <v>-136255.06</v>
      </c>
      <c r="E613">
        <f>D613/MAX($B$2:B613,100000)</f>
        <v/>
      </c>
      <c r="H613" s="2" t="n"/>
      <c r="I613" s="2" t="n"/>
    </row>
    <row r="614">
      <c r="A614" s="2" t="n">
        <v>40816</v>
      </c>
      <c r="B614" t="n">
        <v>660573.3100000001</v>
      </c>
      <c r="C614" t="n">
        <v>377787.09</v>
      </c>
      <c r="D614" t="n">
        <v>-130206.56</v>
      </c>
      <c r="E614">
        <f>D614/MAX($B$2:B614,100000)</f>
        <v/>
      </c>
      <c r="H614" s="2" t="n"/>
      <c r="I614" s="2" t="n"/>
    </row>
    <row r="615">
      <c r="A615" s="2" t="n">
        <v>40823</v>
      </c>
      <c r="B615" t="n">
        <v>667672.6899999999</v>
      </c>
      <c r="C615" t="n">
        <v>377787.09</v>
      </c>
      <c r="D615" t="n">
        <v>-123107.19</v>
      </c>
      <c r="E615">
        <f>D615/MAX($B$2:B615,100000)</f>
        <v/>
      </c>
      <c r="H615" s="2" t="n"/>
      <c r="I615" s="2" t="n"/>
    </row>
    <row r="616">
      <c r="A616" s="2" t="n">
        <v>40830</v>
      </c>
      <c r="B616" t="n">
        <v>659217.5</v>
      </c>
      <c r="C616" t="n">
        <v>377787.09</v>
      </c>
      <c r="D616" t="n">
        <v>-131562.38</v>
      </c>
      <c r="E616">
        <f>D616/MAX($B$2:B616,100000)</f>
        <v/>
      </c>
      <c r="H616" s="2" t="n"/>
      <c r="I616" s="2" t="n"/>
    </row>
    <row r="617">
      <c r="A617" s="2" t="n">
        <v>40837</v>
      </c>
      <c r="B617" t="n">
        <v>657900.88</v>
      </c>
      <c r="C617" t="n">
        <v>377787.09</v>
      </c>
      <c r="D617" t="n">
        <v>-132879</v>
      </c>
      <c r="E617">
        <f>D617/MAX($B$2:B617,100000)</f>
        <v/>
      </c>
      <c r="H617" s="2" t="n"/>
      <c r="I617" s="2" t="n"/>
    </row>
    <row r="618">
      <c r="A618" s="2" t="n">
        <v>40844</v>
      </c>
      <c r="B618" t="n">
        <v>662546.38</v>
      </c>
      <c r="C618" t="n">
        <v>414610.59</v>
      </c>
      <c r="D618" t="n">
        <v>-128233.5</v>
      </c>
      <c r="E618">
        <f>D618/MAX($B$2:B618,100000)</f>
        <v/>
      </c>
      <c r="H618" s="2" t="n"/>
      <c r="I618" s="2" t="n"/>
    </row>
    <row r="619">
      <c r="A619" s="2" t="n">
        <v>40851</v>
      </c>
      <c r="B619" t="n">
        <v>654349.1899999999</v>
      </c>
      <c r="C619" t="n">
        <v>166095.66</v>
      </c>
      <c r="D619" t="n">
        <v>-136430.69</v>
      </c>
      <c r="E619">
        <f>D619/MAX($B$2:B619,100000)</f>
        <v/>
      </c>
      <c r="H619" s="2" t="n"/>
      <c r="I619" s="2" t="n"/>
    </row>
    <row r="620">
      <c r="A620" s="2" t="n">
        <v>40858</v>
      </c>
      <c r="B620" t="n">
        <v>665607.5600000001</v>
      </c>
      <c r="C620" t="n">
        <v>43405.94</v>
      </c>
      <c r="D620" t="n">
        <v>-125172.31</v>
      </c>
      <c r="E620">
        <f>D620/MAX($B$2:B620,100000)</f>
        <v/>
      </c>
      <c r="H620" s="2" t="n"/>
      <c r="I620" s="2" t="n"/>
    </row>
    <row r="621">
      <c r="A621" s="2" t="n">
        <v>40865</v>
      </c>
      <c r="B621" t="n">
        <v>657185.88</v>
      </c>
      <c r="C621" t="n">
        <v>1480.12</v>
      </c>
      <c r="D621" t="n">
        <v>-133594</v>
      </c>
      <c r="E621">
        <f>D621/MAX($B$2:B621,100000)</f>
        <v/>
      </c>
      <c r="H621" s="2" t="n"/>
      <c r="I621" s="2" t="n"/>
    </row>
    <row r="622">
      <c r="A622" s="2" t="n">
        <v>40872</v>
      </c>
      <c r="B622" t="n">
        <v>625128.3100000001</v>
      </c>
      <c r="C622" t="n">
        <v>1480.12</v>
      </c>
      <c r="D622" t="n">
        <v>-165651.56</v>
      </c>
      <c r="E622">
        <f>D622/MAX($B$2:B622,100000)</f>
        <v/>
      </c>
      <c r="H622" s="2" t="n"/>
      <c r="I622" s="2" t="n"/>
    </row>
    <row r="623">
      <c r="A623" s="2" t="n">
        <v>40879</v>
      </c>
      <c r="B623" t="n">
        <v>655683.25</v>
      </c>
      <c r="C623" t="n">
        <v>1480.12</v>
      </c>
      <c r="D623" t="n">
        <v>-135096.63</v>
      </c>
      <c r="E623">
        <f>D623/MAX($B$2:B623,100000)</f>
        <v/>
      </c>
      <c r="H623" s="2" t="n"/>
      <c r="I623" s="2" t="n"/>
    </row>
    <row r="624">
      <c r="A624" s="2" t="n">
        <v>40886</v>
      </c>
      <c r="B624" t="n">
        <v>643981.75</v>
      </c>
      <c r="C624" t="n">
        <v>19041.27</v>
      </c>
      <c r="D624" t="n">
        <v>-146798.13</v>
      </c>
      <c r="E624">
        <f>D624/MAX($B$2:B624,100000)</f>
        <v/>
      </c>
      <c r="H624" s="2" t="n"/>
      <c r="I624" s="2" t="n"/>
    </row>
    <row r="625">
      <c r="A625" s="2" t="n">
        <v>40893</v>
      </c>
      <c r="B625" t="n">
        <v>655103.0600000001</v>
      </c>
      <c r="C625" t="n">
        <v>19041.27</v>
      </c>
      <c r="D625" t="n">
        <v>-135676.81</v>
      </c>
      <c r="E625">
        <f>D625/MAX($B$2:B625,100000)</f>
        <v/>
      </c>
      <c r="H625" s="2" t="n"/>
      <c r="I625" s="2" t="n"/>
    </row>
    <row r="626">
      <c r="A626" s="2" t="n">
        <v>40900</v>
      </c>
      <c r="B626" t="n">
        <v>654559.88</v>
      </c>
      <c r="C626" t="n">
        <v>19041.27</v>
      </c>
      <c r="D626" t="n">
        <v>-136220</v>
      </c>
      <c r="E626">
        <f>D626/MAX($B$2:B626,100000)</f>
        <v/>
      </c>
      <c r="H626" s="2" t="n"/>
      <c r="I626" s="2" t="n"/>
    </row>
    <row r="627">
      <c r="A627" s="2" t="n">
        <v>40907</v>
      </c>
      <c r="B627" t="n">
        <v>643308.1899999999</v>
      </c>
      <c r="C627" t="n">
        <v>61207.01</v>
      </c>
      <c r="D627" t="n">
        <v>-147471.69</v>
      </c>
      <c r="E627">
        <f>D627/MAX($B$2:B627,100000)</f>
        <v/>
      </c>
      <c r="H627" s="2" t="n"/>
      <c r="I627" s="2" t="n"/>
    </row>
    <row r="628">
      <c r="A628" s="2" t="n">
        <v>40914</v>
      </c>
      <c r="B628" t="n">
        <v>645286.3100000001</v>
      </c>
      <c r="C628" t="n">
        <v>96896.48</v>
      </c>
      <c r="D628" t="n">
        <v>-145493.56</v>
      </c>
      <c r="E628">
        <f>D628/MAX($B$2:B628,100000)</f>
        <v/>
      </c>
      <c r="H628" s="2" t="n"/>
      <c r="I628" s="2" t="n"/>
    </row>
    <row r="629">
      <c r="A629" s="2" t="n">
        <v>40921</v>
      </c>
      <c r="B629" t="n">
        <v>657546.4399999999</v>
      </c>
      <c r="C629" t="n">
        <v>96896.48</v>
      </c>
      <c r="D629" t="n">
        <v>-133233.44</v>
      </c>
      <c r="E629">
        <f>D629/MAX($B$2:B629,100000)</f>
        <v/>
      </c>
      <c r="H629" s="2" t="n"/>
      <c r="I629" s="2" t="n"/>
    </row>
    <row r="630">
      <c r="A630" s="2" t="n">
        <v>40928</v>
      </c>
      <c r="B630" t="n">
        <v>657482.5600000001</v>
      </c>
      <c r="C630" t="n">
        <v>15132.36</v>
      </c>
      <c r="D630" t="n">
        <v>-133297.31</v>
      </c>
      <c r="E630">
        <f>D630/MAX($B$2:B630,100000)</f>
        <v/>
      </c>
      <c r="H630" s="2" t="n"/>
      <c r="I630" s="2" t="n"/>
    </row>
    <row r="631">
      <c r="A631" s="2" t="n">
        <v>40935</v>
      </c>
      <c r="B631" t="n">
        <v>660401.75</v>
      </c>
      <c r="C631" t="n">
        <v>15132.36</v>
      </c>
      <c r="D631" t="n">
        <v>-130378.13</v>
      </c>
      <c r="E631">
        <f>D631/MAX($B$2:B631,100000)</f>
        <v/>
      </c>
      <c r="H631" s="2" t="n"/>
      <c r="I631" s="2" t="n"/>
    </row>
    <row r="632">
      <c r="A632" s="2" t="n">
        <v>40942</v>
      </c>
      <c r="B632" t="n">
        <v>657511.25</v>
      </c>
      <c r="C632" t="n">
        <v>15132.36</v>
      </c>
      <c r="D632" t="n">
        <v>-133268.63</v>
      </c>
      <c r="E632">
        <f>D632/MAX($B$2:B632,100000)</f>
        <v/>
      </c>
      <c r="H632" s="2" t="n"/>
      <c r="I632" s="2" t="n"/>
    </row>
    <row r="633">
      <c r="A633" s="2" t="n">
        <v>40949</v>
      </c>
      <c r="B633" t="n">
        <v>661596.75</v>
      </c>
      <c r="C633" t="n">
        <v>15132.36</v>
      </c>
      <c r="D633" t="n">
        <v>-129183.13</v>
      </c>
      <c r="E633">
        <f>D633/MAX($B$2:B633,100000)</f>
        <v/>
      </c>
      <c r="H633" s="2" t="n"/>
      <c r="I633" s="2" t="n"/>
    </row>
    <row r="634">
      <c r="A634" s="2" t="n">
        <v>40956</v>
      </c>
      <c r="B634" t="n">
        <v>660593.4399999999</v>
      </c>
      <c r="C634" t="n">
        <v>15132.36</v>
      </c>
      <c r="D634" t="n">
        <v>-130186.44</v>
      </c>
      <c r="E634">
        <f>D634/MAX($B$2:B634,100000)</f>
        <v/>
      </c>
      <c r="H634" s="2" t="n"/>
      <c r="I634" s="2" t="n"/>
    </row>
    <row r="635">
      <c r="A635" s="2" t="n">
        <v>40963</v>
      </c>
      <c r="B635" t="n">
        <v>677314.5600000001</v>
      </c>
      <c r="C635" t="n">
        <v>15132.36</v>
      </c>
      <c r="D635" t="n">
        <v>-113465.31</v>
      </c>
      <c r="E635">
        <f>D635/MAX($B$2:B635,100000)</f>
        <v/>
      </c>
      <c r="H635" s="2" t="n"/>
      <c r="I635" s="2" t="n"/>
    </row>
    <row r="636">
      <c r="A636" s="2" t="n">
        <v>40970</v>
      </c>
      <c r="B636" t="n">
        <v>677755.3100000001</v>
      </c>
      <c r="C636" t="n">
        <v>15132.36</v>
      </c>
      <c r="D636" t="n">
        <v>-113024.56</v>
      </c>
      <c r="E636">
        <f>D636/MAX($B$2:B636,100000)</f>
        <v/>
      </c>
      <c r="H636" s="2" t="n"/>
      <c r="I636" s="2" t="n"/>
    </row>
    <row r="637">
      <c r="A637" s="2" t="n">
        <v>40977</v>
      </c>
      <c r="B637" t="n">
        <v>671568.9399999999</v>
      </c>
      <c r="C637" t="n">
        <v>15132.36</v>
      </c>
      <c r="D637" t="n">
        <v>-119210.94</v>
      </c>
      <c r="E637">
        <f>D637/MAX($B$2:B637,100000)</f>
        <v/>
      </c>
      <c r="H637" s="2" t="n"/>
      <c r="I637" s="2" t="n"/>
    </row>
    <row r="638">
      <c r="A638" s="2" t="n">
        <v>40984</v>
      </c>
      <c r="B638" t="n">
        <v>680306.75</v>
      </c>
      <c r="C638" t="n">
        <v>15132.36</v>
      </c>
      <c r="D638" t="n">
        <v>-110473.13</v>
      </c>
      <c r="E638">
        <f>D638/MAX($B$2:B638,100000)</f>
        <v/>
      </c>
      <c r="H638" s="2" t="n"/>
      <c r="I638" s="2" t="n"/>
    </row>
    <row r="639">
      <c r="A639" s="2" t="n">
        <v>40991</v>
      </c>
      <c r="B639" t="n">
        <v>675210.0600000001</v>
      </c>
      <c r="C639" t="n">
        <v>15132.36</v>
      </c>
      <c r="D639" t="n">
        <v>-115569.81</v>
      </c>
      <c r="E639">
        <f>D639/MAX($B$2:B639,100000)</f>
        <v/>
      </c>
      <c r="H639" s="2" t="n"/>
      <c r="I639" s="2" t="n"/>
    </row>
    <row r="640">
      <c r="A640" s="2" t="n">
        <v>40998</v>
      </c>
      <c r="B640" t="n">
        <v>679957.38</v>
      </c>
      <c r="C640" t="n">
        <v>15132.36</v>
      </c>
      <c r="D640" t="n">
        <v>-110822.5</v>
      </c>
      <c r="E640">
        <f>D640/MAX($B$2:B640,100000)</f>
        <v/>
      </c>
      <c r="H640" s="2" t="n"/>
      <c r="I640" s="2" t="n"/>
    </row>
    <row r="641">
      <c r="A641" s="2" t="n">
        <v>41004</v>
      </c>
      <c r="B641" t="n">
        <v>675568.9399999999</v>
      </c>
      <c r="C641" t="n">
        <v>15132.36</v>
      </c>
      <c r="D641" t="n">
        <v>-115210.94</v>
      </c>
      <c r="E641">
        <f>D641/MAX($B$2:B641,100000)</f>
        <v/>
      </c>
      <c r="H641" s="2" t="n"/>
      <c r="I641" s="2" t="n"/>
    </row>
    <row r="642">
      <c r="A642" s="2" t="n">
        <v>41012</v>
      </c>
      <c r="B642" t="n">
        <v>679621.75</v>
      </c>
      <c r="C642" t="n">
        <v>15132.36</v>
      </c>
      <c r="D642" t="n">
        <v>-111158.13</v>
      </c>
      <c r="E642">
        <f>D642/MAX($B$2:B642,100000)</f>
        <v/>
      </c>
      <c r="H642" s="2" t="n"/>
      <c r="I642" s="2" t="n"/>
    </row>
    <row r="643">
      <c r="A643" s="2" t="n">
        <v>41019</v>
      </c>
      <c r="B643" t="n">
        <v>683775.8100000001</v>
      </c>
      <c r="C643" t="n">
        <v>15132.36</v>
      </c>
      <c r="D643" t="n">
        <v>-107004.06</v>
      </c>
      <c r="E643">
        <f>D643/MAX($B$2:B643,100000)</f>
        <v/>
      </c>
      <c r="H643" s="2" t="n"/>
      <c r="I643" s="2" t="n"/>
    </row>
    <row r="644">
      <c r="A644" s="2" t="n">
        <v>41026</v>
      </c>
      <c r="B644" t="n">
        <v>689482.63</v>
      </c>
      <c r="C644" t="n">
        <v>15132.36</v>
      </c>
      <c r="D644" t="n">
        <v>-101297.25</v>
      </c>
      <c r="E644">
        <f>D644/MAX($B$2:B644,100000)</f>
        <v/>
      </c>
      <c r="H644" s="2" t="n"/>
      <c r="I644" s="2" t="n"/>
    </row>
    <row r="645">
      <c r="A645" s="2" t="n">
        <v>41033</v>
      </c>
      <c r="B645" t="n">
        <v>690787.5600000001</v>
      </c>
      <c r="C645" t="n">
        <v>15132.36</v>
      </c>
      <c r="D645" t="n">
        <v>-99992.31</v>
      </c>
      <c r="E645">
        <f>D645/MAX($B$2:B645,100000)</f>
        <v/>
      </c>
      <c r="H645" s="2" t="n"/>
      <c r="I645" s="2" t="n"/>
    </row>
    <row r="646">
      <c r="A646" s="2" t="n">
        <v>41040</v>
      </c>
      <c r="B646" t="n">
        <v>693098.0600000001</v>
      </c>
      <c r="C646" t="n">
        <v>15132.36</v>
      </c>
      <c r="D646" t="n">
        <v>-97681.81</v>
      </c>
      <c r="E646">
        <f>D646/MAX($B$2:B646,100000)</f>
        <v/>
      </c>
      <c r="H646" s="2" t="n"/>
      <c r="I646" s="2" t="n"/>
    </row>
    <row r="647">
      <c r="A647" s="2" t="n">
        <v>41047</v>
      </c>
      <c r="B647" t="n">
        <v>687129.4399999999</v>
      </c>
      <c r="C647" t="n">
        <v>15132.36</v>
      </c>
      <c r="D647" t="n">
        <v>-103650.44</v>
      </c>
      <c r="E647">
        <f>D647/MAX($B$2:B647,100000)</f>
        <v/>
      </c>
      <c r="H647" s="2" t="n"/>
      <c r="I647" s="2" t="n"/>
    </row>
    <row r="648">
      <c r="A648" s="2" t="n">
        <v>41054</v>
      </c>
      <c r="B648" t="n">
        <v>686244.9399999999</v>
      </c>
      <c r="C648" t="n">
        <v>65490.81</v>
      </c>
      <c r="D648" t="n">
        <v>-104534.94</v>
      </c>
      <c r="E648">
        <f>D648/MAX($B$2:B648,100000)</f>
        <v/>
      </c>
      <c r="H648" s="2" t="n"/>
      <c r="I648" s="2" t="n"/>
    </row>
    <row r="649">
      <c r="A649" s="2" t="n">
        <v>41061</v>
      </c>
      <c r="B649" t="n">
        <v>690781.4399999999</v>
      </c>
      <c r="C649" t="n">
        <v>65490.81</v>
      </c>
      <c r="D649" t="n">
        <v>-99998.44</v>
      </c>
      <c r="E649">
        <f>D649/MAX($B$2:B649,100000)</f>
        <v/>
      </c>
      <c r="H649" s="2" t="n"/>
      <c r="I649" s="2" t="n"/>
    </row>
    <row r="650">
      <c r="A650" s="2" t="n">
        <v>41068</v>
      </c>
      <c r="B650" t="n">
        <v>691022.0600000001</v>
      </c>
      <c r="C650" t="n">
        <v>65490.81</v>
      </c>
      <c r="D650" t="n">
        <v>-99757.81</v>
      </c>
      <c r="E650">
        <f>D650/MAX($B$2:B650,100000)</f>
        <v/>
      </c>
      <c r="H650" s="2" t="n"/>
      <c r="I650" s="2" t="n"/>
    </row>
    <row r="651">
      <c r="A651" s="2" t="n">
        <v>41075</v>
      </c>
      <c r="B651" t="n">
        <v>692992.0600000001</v>
      </c>
      <c r="C651" t="n">
        <v>65490.81</v>
      </c>
      <c r="D651" t="n">
        <v>-97787.81</v>
      </c>
      <c r="E651">
        <f>D651/MAX($B$2:B651,100000)</f>
        <v/>
      </c>
      <c r="H651" s="2" t="n"/>
      <c r="I651" s="2" t="n"/>
    </row>
    <row r="652">
      <c r="A652" s="2" t="n">
        <v>41082</v>
      </c>
      <c r="B652" t="n">
        <v>698516.8100000001</v>
      </c>
      <c r="C652" t="n">
        <v>65490.81</v>
      </c>
      <c r="D652" t="n">
        <v>-92263.06</v>
      </c>
      <c r="E652">
        <f>D652/MAX($B$2:B652,100000)</f>
        <v/>
      </c>
      <c r="H652" s="2" t="n"/>
      <c r="I652" s="2" t="n"/>
    </row>
    <row r="653">
      <c r="A653" s="2" t="n">
        <v>41089</v>
      </c>
      <c r="B653" t="n">
        <v>713306.25</v>
      </c>
      <c r="C653" t="n">
        <v>65490.81</v>
      </c>
      <c r="D653" t="n">
        <v>-77473.63</v>
      </c>
      <c r="E653">
        <f>D653/MAX($B$2:B653,100000)</f>
        <v/>
      </c>
      <c r="H653" s="2" t="n"/>
      <c r="I653" s="2" t="n"/>
    </row>
    <row r="654">
      <c r="A654" s="2" t="n">
        <v>41096</v>
      </c>
      <c r="B654" t="n">
        <v>714965.3100000001</v>
      </c>
      <c r="C654" t="n">
        <v>65490.81</v>
      </c>
      <c r="D654" t="n">
        <v>-75814.56</v>
      </c>
      <c r="E654">
        <f>D654/MAX($B$2:B654,100000)</f>
        <v/>
      </c>
      <c r="H654" s="2" t="n"/>
      <c r="I654" s="2" t="n"/>
    </row>
    <row r="655">
      <c r="A655" s="2" t="n">
        <v>41103</v>
      </c>
      <c r="B655" t="n">
        <v>714339.3100000001</v>
      </c>
      <c r="C655" t="n">
        <v>65490.81</v>
      </c>
      <c r="D655" t="n">
        <v>-76440.56</v>
      </c>
      <c r="E655">
        <f>D655/MAX($B$2:B655,100000)</f>
        <v/>
      </c>
      <c r="H655" s="2" t="n"/>
      <c r="I655" s="2" t="n"/>
    </row>
    <row r="656">
      <c r="A656" s="2" t="n">
        <v>41110</v>
      </c>
      <c r="B656" t="n">
        <v>731184.6899999999</v>
      </c>
      <c r="C656" t="n">
        <v>65490.81</v>
      </c>
      <c r="D656" t="n">
        <v>-59595.19</v>
      </c>
      <c r="E656">
        <f>D656/MAX($B$2:B656,100000)</f>
        <v/>
      </c>
      <c r="H656" s="2" t="n"/>
      <c r="I656" s="2" t="n"/>
    </row>
    <row r="657">
      <c r="A657" s="2" t="n">
        <v>41117</v>
      </c>
      <c r="B657" t="n">
        <v>735942.1899999999</v>
      </c>
      <c r="C657" t="n">
        <v>19880.92</v>
      </c>
      <c r="D657" t="n">
        <v>-54837.69</v>
      </c>
      <c r="E657">
        <f>D657/MAX($B$2:B657,100000)</f>
        <v/>
      </c>
      <c r="H657" s="2" t="n"/>
      <c r="I657" s="2" t="n"/>
    </row>
    <row r="658">
      <c r="A658" s="2" t="n">
        <v>41124</v>
      </c>
      <c r="B658" t="n">
        <v>737544.75</v>
      </c>
      <c r="C658" t="n">
        <v>19880.92</v>
      </c>
      <c r="D658" t="n">
        <v>-53235.13</v>
      </c>
      <c r="E658">
        <f>D658/MAX($B$2:B658,100000)</f>
        <v/>
      </c>
      <c r="H658" s="2" t="n"/>
      <c r="I658" s="2" t="n"/>
    </row>
    <row r="659">
      <c r="A659" s="2" t="n">
        <v>41131</v>
      </c>
      <c r="B659" t="n">
        <v>740615.88</v>
      </c>
      <c r="C659" t="n">
        <v>19880.92</v>
      </c>
      <c r="D659" t="n">
        <v>-50164</v>
      </c>
      <c r="E659">
        <f>D659/MAX($B$2:B659,100000)</f>
        <v/>
      </c>
      <c r="H659" s="2" t="n"/>
      <c r="I659" s="2" t="n"/>
    </row>
    <row r="660">
      <c r="A660" s="2" t="n">
        <v>41138</v>
      </c>
      <c r="B660" t="n">
        <v>750410.5</v>
      </c>
      <c r="C660" t="n">
        <v>19880.92</v>
      </c>
      <c r="D660" t="n">
        <v>-40369.38</v>
      </c>
      <c r="E660">
        <f>D660/MAX($B$2:B660,100000)</f>
        <v/>
      </c>
      <c r="H660" s="2" t="n"/>
      <c r="I660" s="2" t="n"/>
    </row>
    <row r="661">
      <c r="A661" s="2" t="n">
        <v>41145</v>
      </c>
      <c r="B661" t="n">
        <v>753643.3100000001</v>
      </c>
      <c r="C661" t="n">
        <v>19880.92</v>
      </c>
      <c r="D661" t="n">
        <v>-37136.56</v>
      </c>
      <c r="E661">
        <f>D661/MAX($B$2:B661,100000)</f>
        <v/>
      </c>
      <c r="H661" s="2" t="n"/>
      <c r="I661" s="2" t="n"/>
    </row>
    <row r="662">
      <c r="A662" s="2" t="n">
        <v>41152</v>
      </c>
      <c r="B662" t="n">
        <v>750137.13</v>
      </c>
      <c r="C662" t="n">
        <v>19880.92</v>
      </c>
      <c r="D662" t="n">
        <v>-40642.75</v>
      </c>
      <c r="E662">
        <f>D662/MAX($B$2:B662,100000)</f>
        <v/>
      </c>
      <c r="H662" s="2" t="n"/>
      <c r="I662" s="2" t="n"/>
    </row>
    <row r="663">
      <c r="A663" s="2" t="n">
        <v>41159</v>
      </c>
      <c r="B663" t="n">
        <v>762947.3100000001</v>
      </c>
      <c r="C663" t="n">
        <v>19880.92</v>
      </c>
      <c r="D663" t="n">
        <v>-27832.56</v>
      </c>
      <c r="E663">
        <f>D663/MAX($B$2:B663,100000)</f>
        <v/>
      </c>
      <c r="H663" s="2" t="n"/>
      <c r="I663" s="2" t="n"/>
    </row>
    <row r="664">
      <c r="A664" s="2" t="n">
        <v>41166</v>
      </c>
      <c r="B664" t="n">
        <v>758276.75</v>
      </c>
      <c r="C664" t="n">
        <v>19880.92</v>
      </c>
      <c r="D664" t="n">
        <v>-32503.13</v>
      </c>
      <c r="E664">
        <f>D664/MAX($B$2:B664,100000)</f>
        <v/>
      </c>
      <c r="H664" s="2" t="n"/>
      <c r="I664" s="2" t="n"/>
    </row>
    <row r="665">
      <c r="A665" s="2" t="n">
        <v>41173</v>
      </c>
      <c r="B665" t="n">
        <v>757332.9399999999</v>
      </c>
      <c r="C665" t="n">
        <v>19880.92</v>
      </c>
      <c r="D665" t="n">
        <v>-33446.94</v>
      </c>
      <c r="E665">
        <f>D665/MAX($B$2:B665,100000)</f>
        <v/>
      </c>
      <c r="H665" s="2" t="n"/>
      <c r="I665" s="2" t="n"/>
    </row>
    <row r="666">
      <c r="A666" s="2" t="n">
        <v>41180</v>
      </c>
      <c r="B666" t="n">
        <v>752955.5</v>
      </c>
      <c r="C666" t="n">
        <v>19880.92</v>
      </c>
      <c r="D666" t="n">
        <v>-37824.38</v>
      </c>
      <c r="E666">
        <f>D666/MAX($B$2:B666,100000)</f>
        <v/>
      </c>
      <c r="H666" s="2" t="n"/>
      <c r="I666" s="2" t="n"/>
    </row>
    <row r="667">
      <c r="A667" s="2" t="n">
        <v>41187</v>
      </c>
      <c r="B667" t="n">
        <v>777120.38</v>
      </c>
      <c r="C667" t="n">
        <v>19880.92</v>
      </c>
      <c r="D667" t="n">
        <v>-13659.5</v>
      </c>
      <c r="E667">
        <f>D667/MAX($B$2:B667,100000)</f>
        <v/>
      </c>
      <c r="H667" s="2" t="n"/>
      <c r="I667" s="2" t="n"/>
    </row>
    <row r="668">
      <c r="A668" s="2" t="n">
        <v>41194</v>
      </c>
      <c r="B668" t="n">
        <v>776171.75</v>
      </c>
      <c r="C668" t="n">
        <v>19880.92</v>
      </c>
      <c r="D668" t="n">
        <v>-14608.13</v>
      </c>
      <c r="E668">
        <f>D668/MAX($B$2:B668,100000)</f>
        <v/>
      </c>
      <c r="H668" s="2" t="n"/>
      <c r="I668" s="2" t="n"/>
    </row>
    <row r="669">
      <c r="A669" s="2" t="n">
        <v>41201</v>
      </c>
      <c r="B669" t="n">
        <v>785707.13</v>
      </c>
      <c r="C669" t="n">
        <v>19880.92</v>
      </c>
      <c r="D669" t="n">
        <v>-5072.75</v>
      </c>
      <c r="E669">
        <f>D669/MAX($B$2:B669,100000)</f>
        <v/>
      </c>
      <c r="H669" s="2" t="n"/>
      <c r="I669" s="2" t="n"/>
    </row>
    <row r="670">
      <c r="A670" s="2" t="n">
        <v>41208</v>
      </c>
      <c r="B670" t="n">
        <v>778147.5600000001</v>
      </c>
      <c r="C670" t="n">
        <v>19880.92</v>
      </c>
      <c r="D670" t="n">
        <v>-12632.31</v>
      </c>
      <c r="E670">
        <f>D670/MAX($B$2:B670,100000)</f>
        <v/>
      </c>
      <c r="H670" s="2" t="n"/>
      <c r="I670" s="2" t="n"/>
    </row>
    <row r="671">
      <c r="A671" s="2" t="n">
        <v>41215</v>
      </c>
      <c r="B671" t="n">
        <v>776989.0600000001</v>
      </c>
      <c r="C671" t="n">
        <v>19880.92</v>
      </c>
      <c r="D671" t="n">
        <v>-13790.81</v>
      </c>
      <c r="E671">
        <f>D671/MAX($B$2:B671,100000)</f>
        <v/>
      </c>
      <c r="H671" s="2" t="n"/>
      <c r="I671" s="2" t="n"/>
    </row>
    <row r="672">
      <c r="A672" s="2" t="n">
        <v>41222</v>
      </c>
      <c r="B672" t="n">
        <v>780202.75</v>
      </c>
      <c r="C672" t="n">
        <v>19880.92</v>
      </c>
      <c r="D672" t="n">
        <v>-10577.13</v>
      </c>
      <c r="E672">
        <f>D672/MAX($B$2:B672,100000)</f>
        <v/>
      </c>
      <c r="H672" s="2" t="n"/>
      <c r="I672" s="2" t="n"/>
    </row>
    <row r="673">
      <c r="A673" s="2" t="n">
        <v>41229</v>
      </c>
      <c r="B673" t="n">
        <v>766744</v>
      </c>
      <c r="C673" t="n">
        <v>19880.92</v>
      </c>
      <c r="D673" t="n">
        <v>-24035.88</v>
      </c>
      <c r="E673">
        <f>D673/MAX($B$2:B673,100000)</f>
        <v/>
      </c>
      <c r="H673" s="2" t="n"/>
      <c r="I673" s="2" t="n"/>
    </row>
    <row r="674">
      <c r="A674" s="2" t="n">
        <v>41236</v>
      </c>
      <c r="B674" t="n">
        <v>771431.6899999999</v>
      </c>
      <c r="C674" t="n">
        <v>19880.92</v>
      </c>
      <c r="D674" t="n">
        <v>-19348.19</v>
      </c>
      <c r="E674">
        <f>D674/MAX($B$2:B674,100000)</f>
        <v/>
      </c>
      <c r="H674" s="2" t="n"/>
      <c r="I674" s="2" t="n"/>
    </row>
    <row r="675">
      <c r="A675" s="2" t="n">
        <v>41243</v>
      </c>
      <c r="B675" t="n">
        <v>779411.5600000001</v>
      </c>
      <c r="C675" t="n">
        <v>156116.95</v>
      </c>
      <c r="D675" t="n">
        <v>-11368.31</v>
      </c>
      <c r="E675">
        <f>D675/MAX($B$2:B675,100000)</f>
        <v/>
      </c>
      <c r="H675" s="2" t="n"/>
      <c r="I675" s="2" t="n"/>
    </row>
    <row r="676">
      <c r="A676" s="2" t="n">
        <v>41250</v>
      </c>
      <c r="B676" t="n">
        <v>782903.6899999999</v>
      </c>
      <c r="C676" t="n">
        <v>45896.75</v>
      </c>
      <c r="D676" t="n">
        <v>-7876.19</v>
      </c>
      <c r="E676">
        <f>D676/MAX($B$2:B676,100000)</f>
        <v/>
      </c>
      <c r="H676" s="2" t="n"/>
      <c r="I676" s="2" t="n"/>
    </row>
    <row r="677">
      <c r="A677" s="2" t="n">
        <v>41257</v>
      </c>
      <c r="B677" t="n">
        <v>784999.63</v>
      </c>
      <c r="C677" t="n">
        <v>45896.75</v>
      </c>
      <c r="D677" t="n">
        <v>-5780.25</v>
      </c>
      <c r="E677">
        <f>D677/MAX($B$2:B677,100000)</f>
        <v/>
      </c>
      <c r="H677" s="2" t="n"/>
      <c r="I677" s="2" t="n"/>
    </row>
    <row r="678">
      <c r="A678" s="2" t="n">
        <v>41264</v>
      </c>
      <c r="B678" t="n">
        <v>798784.75</v>
      </c>
      <c r="C678" t="n">
        <v>45896.75</v>
      </c>
      <c r="D678" t="n">
        <v>0</v>
      </c>
      <c r="E678">
        <f>D678/MAX($B$2:B678,100000)</f>
        <v/>
      </c>
      <c r="H678" s="2" t="n"/>
      <c r="I678" s="2" t="n"/>
    </row>
    <row r="679">
      <c r="A679" s="2" t="n">
        <v>41271</v>
      </c>
      <c r="B679" t="n">
        <v>803441.75</v>
      </c>
      <c r="C679" t="n">
        <v>45896.75</v>
      </c>
      <c r="D679" t="n">
        <v>0</v>
      </c>
      <c r="E679">
        <f>D679/MAX($B$2:B679,100000)</f>
        <v/>
      </c>
      <c r="H679" s="2" t="n"/>
      <c r="I679" s="2" t="n"/>
    </row>
    <row r="680">
      <c r="A680" s="2" t="n">
        <v>41278</v>
      </c>
      <c r="B680" t="n">
        <v>806572.1899999999</v>
      </c>
      <c r="C680" t="n">
        <v>45896.75</v>
      </c>
      <c r="D680" t="n">
        <v>0</v>
      </c>
      <c r="E680">
        <f>D680/MAX($B$2:B680,100000)</f>
        <v/>
      </c>
      <c r="H680" s="2" t="n"/>
      <c r="I680" s="2" t="n"/>
    </row>
    <row r="681">
      <c r="A681" s="2" t="n">
        <v>41285</v>
      </c>
      <c r="B681" t="n">
        <v>811966.9399999999</v>
      </c>
      <c r="C681" t="n">
        <v>45896.75</v>
      </c>
      <c r="D681" t="n">
        <v>0</v>
      </c>
      <c r="E681">
        <f>D681/MAX($B$2:B681,100000)</f>
        <v/>
      </c>
      <c r="H681" s="2" t="n"/>
      <c r="I681" s="2" t="n"/>
    </row>
    <row r="682">
      <c r="A682" s="2" t="n">
        <v>41292</v>
      </c>
      <c r="B682" t="n">
        <v>828530.88</v>
      </c>
      <c r="C682" t="n">
        <v>45896.75</v>
      </c>
      <c r="D682" t="n">
        <v>0</v>
      </c>
      <c r="E682">
        <f>D682/MAX($B$2:B682,100000)</f>
        <v/>
      </c>
      <c r="H682" s="2" t="n"/>
      <c r="I682" s="2" t="n"/>
    </row>
    <row r="683">
      <c r="A683" s="2" t="n">
        <v>41299</v>
      </c>
      <c r="B683" t="n">
        <v>835437.4399999999</v>
      </c>
      <c r="C683" t="n">
        <v>45896.75</v>
      </c>
      <c r="D683" t="n">
        <v>0</v>
      </c>
      <c r="E683">
        <f>D683/MAX($B$2:B683,100000)</f>
        <v/>
      </c>
      <c r="H683" s="2" t="n"/>
      <c r="I683" s="2" t="n"/>
    </row>
    <row r="684">
      <c r="A684" s="2" t="n">
        <v>41306</v>
      </c>
      <c r="B684" t="n">
        <v>849313.5600000001</v>
      </c>
      <c r="C684" t="n">
        <v>45896.75</v>
      </c>
      <c r="D684" t="n">
        <v>0</v>
      </c>
      <c r="E684">
        <f>D684/MAX($B$2:B684,100000)</f>
        <v/>
      </c>
      <c r="H684" s="2" t="n"/>
      <c r="I684" s="2" t="n"/>
    </row>
    <row r="685">
      <c r="A685" s="2" t="n">
        <v>41313</v>
      </c>
      <c r="B685" t="n">
        <v>857720.5</v>
      </c>
      <c r="C685" t="n">
        <v>45896.75</v>
      </c>
      <c r="D685" t="n">
        <v>0</v>
      </c>
      <c r="E685">
        <f>D685/MAX($B$2:B685,100000)</f>
        <v/>
      </c>
      <c r="H685" s="2" t="n"/>
      <c r="I685" s="2" t="n"/>
    </row>
    <row r="686">
      <c r="A686" s="2" t="n">
        <v>41320</v>
      </c>
      <c r="B686" t="n">
        <v>859360.88</v>
      </c>
      <c r="C686" t="n">
        <v>45896.75</v>
      </c>
      <c r="D686" t="n">
        <v>0</v>
      </c>
      <c r="E686">
        <f>D686/MAX($B$2:B686,100000)</f>
        <v/>
      </c>
      <c r="H686" s="2" t="n"/>
      <c r="I686" s="2" t="n"/>
    </row>
    <row r="687">
      <c r="A687" s="2" t="n">
        <v>41327</v>
      </c>
      <c r="B687" t="n">
        <v>861256.5</v>
      </c>
      <c r="C687" t="n">
        <v>45896.75</v>
      </c>
      <c r="D687" t="n">
        <v>0</v>
      </c>
      <c r="E687">
        <f>D687/MAX($B$2:B687,100000)</f>
        <v/>
      </c>
      <c r="H687" s="2" t="n"/>
      <c r="I687" s="2" t="n"/>
    </row>
    <row r="688">
      <c r="A688" s="2" t="n">
        <v>41334</v>
      </c>
      <c r="B688" t="n">
        <v>869771.8100000001</v>
      </c>
      <c r="C688" t="n">
        <v>45896.75</v>
      </c>
      <c r="D688" t="n">
        <v>0</v>
      </c>
      <c r="E688">
        <f>D688/MAX($B$2:B688,100000)</f>
        <v/>
      </c>
      <c r="H688" s="2" t="n"/>
      <c r="I688" s="2" t="n"/>
    </row>
    <row r="689">
      <c r="A689" s="2" t="n">
        <v>41341</v>
      </c>
      <c r="B689" t="n">
        <v>877857.8100000001</v>
      </c>
      <c r="C689" t="n">
        <v>45896.75</v>
      </c>
      <c r="D689" t="n">
        <v>0</v>
      </c>
      <c r="E689">
        <f>D689/MAX($B$2:B689,100000)</f>
        <v/>
      </c>
      <c r="H689" s="2" t="n"/>
      <c r="I689" s="2" t="n"/>
    </row>
    <row r="690">
      <c r="A690" s="2" t="n">
        <v>41348</v>
      </c>
      <c r="B690" t="n">
        <v>891903.9399999999</v>
      </c>
      <c r="C690" t="n">
        <v>45896.75</v>
      </c>
      <c r="D690" t="n">
        <v>0</v>
      </c>
      <c r="E690">
        <f>D690/MAX($B$2:B690,100000)</f>
        <v/>
      </c>
      <c r="H690" s="2" t="n"/>
      <c r="I690" s="2" t="n"/>
    </row>
    <row r="691">
      <c r="A691" s="2" t="n">
        <v>41355</v>
      </c>
      <c r="B691" t="n">
        <v>873988.8100000001</v>
      </c>
      <c r="C691" t="n">
        <v>45896.75</v>
      </c>
      <c r="D691" t="n">
        <v>-17915.13</v>
      </c>
      <c r="E691">
        <f>D691/MAX($B$2:B691,100000)</f>
        <v/>
      </c>
      <c r="H691" s="2" t="n"/>
      <c r="I691" s="2" t="n"/>
    </row>
    <row r="692">
      <c r="A692" s="2" t="n">
        <v>41361</v>
      </c>
      <c r="B692" t="n">
        <v>871987.0600000001</v>
      </c>
      <c r="C692" t="n">
        <v>45896.75</v>
      </c>
      <c r="D692" t="n">
        <v>-19916.88</v>
      </c>
      <c r="E692">
        <f>D692/MAX($B$2:B692,100000)</f>
        <v/>
      </c>
      <c r="H692" s="2" t="n"/>
      <c r="I692" s="2" t="n"/>
    </row>
    <row r="693">
      <c r="A693" s="2" t="n">
        <v>41369</v>
      </c>
      <c r="B693" t="n">
        <v>871775.5</v>
      </c>
      <c r="C693" t="n">
        <v>45896.75</v>
      </c>
      <c r="D693" t="n">
        <v>-20128.44</v>
      </c>
      <c r="E693">
        <f>D693/MAX($B$2:B693,100000)</f>
        <v/>
      </c>
      <c r="H693" s="2" t="n"/>
      <c r="I693" s="2" t="n"/>
    </row>
    <row r="694">
      <c r="A694" s="2" t="n">
        <v>41376</v>
      </c>
      <c r="B694" t="n">
        <v>885133.1899999999</v>
      </c>
      <c r="C694" t="n">
        <v>45896.75</v>
      </c>
      <c r="D694" t="n">
        <v>-6770.75</v>
      </c>
      <c r="E694">
        <f>D694/MAX($B$2:B694,100000)</f>
        <v/>
      </c>
      <c r="H694" s="2" t="n"/>
      <c r="I694" s="2" t="n"/>
    </row>
    <row r="695">
      <c r="A695" s="2" t="n">
        <v>41383</v>
      </c>
      <c r="B695" t="n">
        <v>874053.6899999999</v>
      </c>
      <c r="C695" t="n">
        <v>28720.82</v>
      </c>
      <c r="D695" t="n">
        <v>-17850.25</v>
      </c>
      <c r="E695">
        <f>D695/MAX($B$2:B695,100000)</f>
        <v/>
      </c>
      <c r="H695" s="2" t="n"/>
      <c r="I695" s="2" t="n"/>
    </row>
    <row r="696">
      <c r="A696" s="2" t="n">
        <v>41390</v>
      </c>
      <c r="B696" t="n">
        <v>896766.6899999999</v>
      </c>
      <c r="C696" t="n">
        <v>28720.82</v>
      </c>
      <c r="D696" t="n">
        <v>0</v>
      </c>
      <c r="E696">
        <f>D696/MAX($B$2:B696,100000)</f>
        <v/>
      </c>
      <c r="H696" s="2" t="n"/>
      <c r="I696" s="2" t="n"/>
    </row>
    <row r="697">
      <c r="A697" s="2" t="n">
        <v>41397</v>
      </c>
      <c r="B697" t="n">
        <v>897714.5600000001</v>
      </c>
      <c r="C697" t="n">
        <v>19131.84</v>
      </c>
      <c r="D697" t="n">
        <v>0</v>
      </c>
      <c r="E697">
        <f>D697/MAX($B$2:B697,100000)</f>
        <v/>
      </c>
      <c r="H697" s="2" t="n"/>
      <c r="I697" s="2" t="n"/>
    </row>
    <row r="698">
      <c r="A698" s="2" t="n">
        <v>41404</v>
      </c>
      <c r="B698" t="n">
        <v>922783.5</v>
      </c>
      <c r="C698" t="n">
        <v>19131.84</v>
      </c>
      <c r="D698" t="n">
        <v>0</v>
      </c>
      <c r="E698">
        <f>D698/MAX($B$2:B698,100000)</f>
        <v/>
      </c>
      <c r="H698" s="2" t="n"/>
      <c r="I698" s="2" t="n"/>
    </row>
    <row r="699">
      <c r="A699" s="2" t="n">
        <v>41411</v>
      </c>
      <c r="B699" t="n">
        <v>931875.0600000001</v>
      </c>
      <c r="C699" t="n">
        <v>19131.84</v>
      </c>
      <c r="D699" t="n">
        <v>0</v>
      </c>
      <c r="E699">
        <f>D699/MAX($B$2:B699,100000)</f>
        <v/>
      </c>
      <c r="H699" s="2" t="n"/>
      <c r="I699" s="2" t="n"/>
    </row>
    <row r="700">
      <c r="A700" s="2" t="n">
        <v>41418</v>
      </c>
      <c r="B700" t="n">
        <v>901314.75</v>
      </c>
      <c r="C700" t="n">
        <v>19131.84</v>
      </c>
      <c r="D700" t="n">
        <v>-30560.31</v>
      </c>
      <c r="E700">
        <f>D700/MAX($B$2:B700,100000)</f>
        <v/>
      </c>
      <c r="H700" s="2" t="n"/>
      <c r="I700" s="2" t="n"/>
    </row>
    <row r="701">
      <c r="A701" s="2" t="n">
        <v>41425</v>
      </c>
      <c r="B701" t="n">
        <v>888434.13</v>
      </c>
      <c r="C701" t="n">
        <v>19131.84</v>
      </c>
      <c r="D701" t="n">
        <v>-43440.94</v>
      </c>
      <c r="E701">
        <f>D701/MAX($B$2:B701,100000)</f>
        <v/>
      </c>
      <c r="H701" s="2" t="n"/>
      <c r="I701" s="2" t="n"/>
    </row>
    <row r="702">
      <c r="A702" s="2" t="n">
        <v>41432</v>
      </c>
      <c r="B702" t="n">
        <v>867901.25</v>
      </c>
      <c r="C702" t="n">
        <v>19131.84</v>
      </c>
      <c r="D702" t="n">
        <v>-63973.81</v>
      </c>
      <c r="E702">
        <f>D702/MAX($B$2:B702,100000)</f>
        <v/>
      </c>
      <c r="H702" s="2" t="n"/>
      <c r="I702" s="2" t="n"/>
    </row>
    <row r="703">
      <c r="A703" s="2" t="n">
        <v>41439</v>
      </c>
      <c r="B703" t="n">
        <v>864957.75</v>
      </c>
      <c r="C703" t="n">
        <v>128510.59</v>
      </c>
      <c r="D703" t="n">
        <v>-66917.31</v>
      </c>
      <c r="E703">
        <f>D703/MAX($B$2:B703,100000)</f>
        <v/>
      </c>
      <c r="H703" s="2" t="n"/>
      <c r="I703" s="2" t="n"/>
    </row>
    <row r="704">
      <c r="A704" s="2" t="n">
        <v>41446</v>
      </c>
      <c r="B704" t="n">
        <v>864312.3100000001</v>
      </c>
      <c r="C704" t="n">
        <v>128510.59</v>
      </c>
      <c r="D704" t="n">
        <v>-67562.75</v>
      </c>
      <c r="E704">
        <f>D704/MAX($B$2:B704,100000)</f>
        <v/>
      </c>
      <c r="H704" s="2" t="n"/>
      <c r="I704" s="2" t="n"/>
    </row>
    <row r="705">
      <c r="A705" s="2" t="n">
        <v>41453</v>
      </c>
      <c r="B705" t="n">
        <v>879764.5600000001</v>
      </c>
      <c r="C705" t="n">
        <v>128510.59</v>
      </c>
      <c r="D705" t="n">
        <v>-52110.5</v>
      </c>
      <c r="E705">
        <f>D705/MAX($B$2:B705,100000)</f>
        <v/>
      </c>
      <c r="H705" s="2" t="n"/>
      <c r="I705" s="2" t="n"/>
    </row>
    <row r="706">
      <c r="A706" s="2" t="n">
        <v>41460</v>
      </c>
      <c r="B706" t="n">
        <v>888939.1899999999</v>
      </c>
      <c r="C706" t="n">
        <v>128510.59</v>
      </c>
      <c r="D706" t="n">
        <v>-42935.88</v>
      </c>
      <c r="E706">
        <f>D706/MAX($B$2:B706,100000)</f>
        <v/>
      </c>
      <c r="H706" s="2" t="n"/>
      <c r="I706" s="2" t="n"/>
    </row>
    <row r="707">
      <c r="A707" s="2" t="n">
        <v>41467</v>
      </c>
      <c r="B707" t="n">
        <v>896651.38</v>
      </c>
      <c r="C707" t="n">
        <v>128510.59</v>
      </c>
      <c r="D707" t="n">
        <v>-35223.69</v>
      </c>
      <c r="E707">
        <f>D707/MAX($B$2:B707,100000)</f>
        <v/>
      </c>
      <c r="H707" s="2" t="n"/>
      <c r="I707" s="2" t="n"/>
    </row>
    <row r="708">
      <c r="A708" s="2" t="n">
        <v>41474</v>
      </c>
      <c r="B708" t="n">
        <v>899442.38</v>
      </c>
      <c r="C708" t="n">
        <v>16521.98</v>
      </c>
      <c r="D708" t="n">
        <v>-32432.69</v>
      </c>
      <c r="E708">
        <f>D708/MAX($B$2:B708,100000)</f>
        <v/>
      </c>
      <c r="H708" s="2" t="n"/>
      <c r="I708" s="2" t="n"/>
    </row>
    <row r="709">
      <c r="A709" s="2" t="n">
        <v>41481</v>
      </c>
      <c r="B709" t="n">
        <v>883370.88</v>
      </c>
      <c r="C709" t="n">
        <v>16521.98</v>
      </c>
      <c r="D709" t="n">
        <v>-48504.19</v>
      </c>
      <c r="E709">
        <f>D709/MAX($B$2:B709,100000)</f>
        <v/>
      </c>
      <c r="H709" s="2" t="n"/>
      <c r="I709" s="2" t="n"/>
    </row>
    <row r="710">
      <c r="A710" s="2" t="n">
        <v>41488</v>
      </c>
      <c r="B710" t="n">
        <v>894423.5600000001</v>
      </c>
      <c r="C710" t="n">
        <v>16521.98</v>
      </c>
      <c r="D710" t="n">
        <v>-37451.5</v>
      </c>
      <c r="E710">
        <f>D710/MAX($B$2:B710,100000)</f>
        <v/>
      </c>
      <c r="H710" s="2" t="n"/>
      <c r="I710" s="2" t="n"/>
    </row>
    <row r="711">
      <c r="A711" s="2" t="n">
        <v>41495</v>
      </c>
      <c r="B711" t="n">
        <v>889189.38</v>
      </c>
      <c r="C711" t="n">
        <v>47328.94</v>
      </c>
      <c r="D711" t="n">
        <v>-42685.69</v>
      </c>
      <c r="E711">
        <f>D711/MAX($B$2:B711,100000)</f>
        <v/>
      </c>
      <c r="H711" s="2" t="n"/>
      <c r="I711" s="2" t="n"/>
    </row>
    <row r="712">
      <c r="A712" s="2" t="n">
        <v>41502</v>
      </c>
      <c r="B712" t="n">
        <v>884795.25</v>
      </c>
      <c r="C712" t="n">
        <v>47328.94</v>
      </c>
      <c r="D712" t="n">
        <v>-47079.81</v>
      </c>
      <c r="E712">
        <f>D712/MAX($B$2:B712,100000)</f>
        <v/>
      </c>
      <c r="H712" s="2" t="n"/>
      <c r="I712" s="2" t="n"/>
    </row>
    <row r="713">
      <c r="A713" s="2" t="n">
        <v>41509</v>
      </c>
      <c r="B713" t="n">
        <v>876752.3100000001</v>
      </c>
      <c r="C713" t="n">
        <v>47328.94</v>
      </c>
      <c r="D713" t="n">
        <v>-55122.75</v>
      </c>
      <c r="E713">
        <f>D713/MAX($B$2:B713,100000)</f>
        <v/>
      </c>
      <c r="H713" s="2" t="n"/>
      <c r="I713" s="2" t="n"/>
    </row>
    <row r="714">
      <c r="A714" s="2" t="n">
        <v>41516</v>
      </c>
      <c r="B714" t="n">
        <v>872908.4399999999</v>
      </c>
      <c r="C714" t="n">
        <v>47328.94</v>
      </c>
      <c r="D714" t="n">
        <v>-58966.63</v>
      </c>
      <c r="E714">
        <f>D714/MAX($B$2:B714,100000)</f>
        <v/>
      </c>
      <c r="H714" s="2" t="n"/>
      <c r="I714" s="2" t="n"/>
    </row>
    <row r="715">
      <c r="A715" s="2" t="n">
        <v>41523</v>
      </c>
      <c r="B715" t="n">
        <v>880878.9399999999</v>
      </c>
      <c r="C715" t="n">
        <v>47328.94</v>
      </c>
      <c r="D715" t="n">
        <v>-50996.13</v>
      </c>
      <c r="E715">
        <f>D715/MAX($B$2:B715,100000)</f>
        <v/>
      </c>
      <c r="H715" s="2" t="n"/>
      <c r="I715" s="2" t="n"/>
    </row>
    <row r="716">
      <c r="A716" s="2" t="n">
        <v>41530</v>
      </c>
      <c r="B716" t="n">
        <v>893787.38</v>
      </c>
      <c r="C716" t="n">
        <v>47328.94</v>
      </c>
      <c r="D716" t="n">
        <v>-38087.69</v>
      </c>
      <c r="E716">
        <f>D716/MAX($B$2:B716,100000)</f>
        <v/>
      </c>
      <c r="H716" s="2" t="n"/>
      <c r="I716" s="2" t="n"/>
    </row>
    <row r="717">
      <c r="A717" s="2" t="n">
        <v>41537</v>
      </c>
      <c r="B717" t="n">
        <v>903610.75</v>
      </c>
      <c r="C717" t="n">
        <v>47328.94</v>
      </c>
      <c r="D717" t="n">
        <v>-28264.31</v>
      </c>
      <c r="E717">
        <f>D717/MAX($B$2:B717,100000)</f>
        <v/>
      </c>
      <c r="H717" s="2" t="n"/>
      <c r="I717" s="2" t="n"/>
    </row>
    <row r="718">
      <c r="A718" s="2" t="n">
        <v>41544</v>
      </c>
      <c r="B718" t="n">
        <v>913301.6899999999</v>
      </c>
      <c r="C718" t="n">
        <v>47328.94</v>
      </c>
      <c r="D718" t="n">
        <v>-18573.38</v>
      </c>
      <c r="E718">
        <f>D718/MAX($B$2:B718,100000)</f>
        <v/>
      </c>
      <c r="H718" s="2" t="n"/>
      <c r="I718" s="2" t="n"/>
    </row>
    <row r="719">
      <c r="A719" s="2" t="n">
        <v>41551</v>
      </c>
      <c r="B719" t="n">
        <v>904223.3100000001</v>
      </c>
      <c r="C719" t="n">
        <v>47328.94</v>
      </c>
      <c r="D719" t="n">
        <v>-27651.75</v>
      </c>
      <c r="E719">
        <f>D719/MAX($B$2:B719,100000)</f>
        <v/>
      </c>
      <c r="H719" s="2" t="n"/>
      <c r="I719" s="2" t="n"/>
    </row>
    <row r="720">
      <c r="A720" s="2" t="n">
        <v>41558</v>
      </c>
      <c r="B720" t="n">
        <v>906686.38</v>
      </c>
      <c r="C720" t="n">
        <v>47328.94</v>
      </c>
      <c r="D720" t="n">
        <v>-25188.69</v>
      </c>
      <c r="E720">
        <f>D720/MAX($B$2:B720,100000)</f>
        <v/>
      </c>
      <c r="H720" s="2" t="n"/>
      <c r="I720" s="2" t="n"/>
    </row>
    <row r="721">
      <c r="A721" s="2" t="n">
        <v>41565</v>
      </c>
      <c r="B721" t="n">
        <v>906491.6899999999</v>
      </c>
      <c r="C721" t="n">
        <v>47328.94</v>
      </c>
      <c r="D721" t="n">
        <v>-25383.38</v>
      </c>
      <c r="E721">
        <f>D721/MAX($B$2:B721,100000)</f>
        <v/>
      </c>
      <c r="H721" s="2" t="n"/>
      <c r="I721" s="2" t="n"/>
    </row>
    <row r="722">
      <c r="A722" s="2" t="n">
        <v>41572</v>
      </c>
      <c r="B722" t="n">
        <v>913815.0600000001</v>
      </c>
      <c r="C722" t="n">
        <v>47328.94</v>
      </c>
      <c r="D722" t="n">
        <v>-18060</v>
      </c>
      <c r="E722">
        <f>D722/MAX($B$2:B722,100000)</f>
        <v/>
      </c>
      <c r="H722" s="2" t="n"/>
      <c r="I722" s="2" t="n"/>
    </row>
    <row r="723">
      <c r="A723" s="2" t="n">
        <v>41579</v>
      </c>
      <c r="B723" t="n">
        <v>921791</v>
      </c>
      <c r="C723" t="n">
        <v>47328.94</v>
      </c>
      <c r="D723" t="n">
        <v>-10084.06</v>
      </c>
      <c r="E723">
        <f>D723/MAX($B$2:B723,100000)</f>
        <v/>
      </c>
      <c r="H723" s="2" t="n"/>
      <c r="I723" s="2" t="n"/>
    </row>
    <row r="724">
      <c r="A724" s="2" t="n">
        <v>41586</v>
      </c>
      <c r="B724" t="n">
        <v>915026.9399999999</v>
      </c>
      <c r="C724" t="n">
        <v>47328.94</v>
      </c>
      <c r="D724" t="n">
        <v>-16848.13</v>
      </c>
      <c r="E724">
        <f>D724/MAX($B$2:B724,100000)</f>
        <v/>
      </c>
      <c r="H724" s="2" t="n"/>
      <c r="I724" s="2" t="n"/>
    </row>
    <row r="725">
      <c r="A725" s="2" t="n">
        <v>41593</v>
      </c>
      <c r="B725" t="n">
        <v>926892.6899999999</v>
      </c>
      <c r="C725" t="n">
        <v>47328.94</v>
      </c>
      <c r="D725" t="n">
        <v>-4982.38</v>
      </c>
      <c r="E725">
        <f>D725/MAX($B$2:B725,100000)</f>
        <v/>
      </c>
      <c r="H725" s="2" t="n"/>
      <c r="I725" s="2" t="n"/>
    </row>
    <row r="726">
      <c r="A726" s="2" t="n">
        <v>41600</v>
      </c>
      <c r="B726" t="n">
        <v>924512.38</v>
      </c>
      <c r="C726" t="n">
        <v>47328.94</v>
      </c>
      <c r="D726" t="n">
        <v>-7362.69</v>
      </c>
      <c r="E726">
        <f>D726/MAX($B$2:B726,100000)</f>
        <v/>
      </c>
      <c r="H726" s="2" t="n"/>
      <c r="I726" s="2" t="n"/>
    </row>
    <row r="727">
      <c r="A727" s="2" t="n">
        <v>41607</v>
      </c>
      <c r="B727" t="n">
        <v>920065.5600000001</v>
      </c>
      <c r="C727" t="n">
        <v>47328.94</v>
      </c>
      <c r="D727" t="n">
        <v>-11809.5</v>
      </c>
      <c r="E727">
        <f>D727/MAX($B$2:B727,100000)</f>
        <v/>
      </c>
      <c r="H727" s="2" t="n"/>
      <c r="I727" s="2" t="n"/>
    </row>
    <row r="728">
      <c r="A728" s="2" t="n">
        <v>41614</v>
      </c>
      <c r="B728" t="n">
        <v>898738.75</v>
      </c>
      <c r="C728" t="n">
        <v>47328.94</v>
      </c>
      <c r="D728" t="n">
        <v>-33136.31</v>
      </c>
      <c r="E728">
        <f>D728/MAX($B$2:B728,100000)</f>
        <v/>
      </c>
      <c r="H728" s="2" t="n"/>
      <c r="I728" s="2" t="n"/>
    </row>
    <row r="729">
      <c r="A729" s="2" t="n">
        <v>41621</v>
      </c>
      <c r="B729" t="n">
        <v>899566.0600000001</v>
      </c>
      <c r="C729" t="n">
        <v>47328.94</v>
      </c>
      <c r="D729" t="n">
        <v>-32309</v>
      </c>
      <c r="E729">
        <f>D729/MAX($B$2:B729,100000)</f>
        <v/>
      </c>
      <c r="H729" s="2" t="n"/>
      <c r="I729" s="2" t="n"/>
    </row>
    <row r="730">
      <c r="A730" s="2" t="n">
        <v>41628</v>
      </c>
      <c r="B730" t="n">
        <v>923084.5600000001</v>
      </c>
      <c r="C730" t="n">
        <v>47328.94</v>
      </c>
      <c r="D730" t="n">
        <v>-8790.5</v>
      </c>
      <c r="E730">
        <f>D730/MAX($B$2:B730,100000)</f>
        <v/>
      </c>
      <c r="H730" s="2" t="n"/>
      <c r="I730" s="2" t="n"/>
    </row>
    <row r="731">
      <c r="A731" s="2" t="n">
        <v>41635</v>
      </c>
      <c r="B731" t="n">
        <v>934420.5600000001</v>
      </c>
      <c r="C731" t="n">
        <v>47328.94</v>
      </c>
      <c r="D731" t="n">
        <v>0</v>
      </c>
      <c r="E731">
        <f>D731/MAX($B$2:B731,100000)</f>
        <v/>
      </c>
      <c r="H731" s="2" t="n"/>
      <c r="I731" s="2" t="n"/>
    </row>
    <row r="732">
      <c r="A732" s="2" t="n">
        <v>41642</v>
      </c>
      <c r="B732" t="n">
        <v>935196.6899999999</v>
      </c>
      <c r="C732" t="n">
        <v>47328.94</v>
      </c>
      <c r="D732" t="n">
        <v>0</v>
      </c>
      <c r="E732">
        <f>D732/MAX($B$2:B732,100000)</f>
        <v/>
      </c>
      <c r="H732" s="2" t="n"/>
      <c r="I732" s="2" t="n"/>
    </row>
    <row r="733">
      <c r="A733" s="2" t="n">
        <v>41649</v>
      </c>
      <c r="B733" t="n">
        <v>934751.38</v>
      </c>
      <c r="C733" t="n">
        <v>47328.94</v>
      </c>
      <c r="D733" t="n">
        <v>-445.31</v>
      </c>
      <c r="E733">
        <f>D733/MAX($B$2:B733,100000)</f>
        <v/>
      </c>
      <c r="H733" s="2" t="n"/>
      <c r="I733" s="2" t="n"/>
    </row>
    <row r="734">
      <c r="A734" s="2" t="n">
        <v>41656</v>
      </c>
      <c r="B734" t="n">
        <v>937925.25</v>
      </c>
      <c r="C734" t="n">
        <v>47328.94</v>
      </c>
      <c r="D734" t="n">
        <v>0</v>
      </c>
      <c r="E734">
        <f>D734/MAX($B$2:B734,100000)</f>
        <v/>
      </c>
      <c r="H734" s="2" t="n"/>
      <c r="I734" s="2" t="n"/>
    </row>
    <row r="735">
      <c r="A735" s="2" t="n">
        <v>41663</v>
      </c>
      <c r="B735" t="n">
        <v>931399.38</v>
      </c>
      <c r="C735" t="n">
        <v>47328.94</v>
      </c>
      <c r="D735" t="n">
        <v>-6525.88</v>
      </c>
      <c r="E735">
        <f>D735/MAX($B$2:B735,100000)</f>
        <v/>
      </c>
      <c r="H735" s="2" t="n"/>
      <c r="I735" s="2" t="n"/>
    </row>
    <row r="736">
      <c r="A736" s="2" t="n">
        <v>41670</v>
      </c>
      <c r="B736" t="n">
        <v>929048.88</v>
      </c>
      <c r="C736" t="n">
        <v>47328.94</v>
      </c>
      <c r="D736" t="n">
        <v>-8876.379999999999</v>
      </c>
      <c r="E736">
        <f>D736/MAX($B$2:B736,100000)</f>
        <v/>
      </c>
      <c r="H736" s="2" t="n"/>
      <c r="I736" s="2" t="n"/>
    </row>
    <row r="737">
      <c r="A737" s="2" t="n">
        <v>41677</v>
      </c>
      <c r="B737" t="n">
        <v>923717</v>
      </c>
      <c r="C737" t="n">
        <v>47328.94</v>
      </c>
      <c r="D737" t="n">
        <v>-14208.25</v>
      </c>
      <c r="E737">
        <f>D737/MAX($B$2:B737,100000)</f>
        <v/>
      </c>
      <c r="H737" s="2" t="n"/>
      <c r="I737" s="2" t="n"/>
    </row>
    <row r="738">
      <c r="A738" s="2" t="n">
        <v>41684</v>
      </c>
      <c r="B738" t="n">
        <v>946727.38</v>
      </c>
      <c r="C738" t="n">
        <v>47328.94</v>
      </c>
      <c r="D738" t="n">
        <v>0</v>
      </c>
      <c r="E738">
        <f>D738/MAX($B$2:B738,100000)</f>
        <v/>
      </c>
      <c r="H738" s="2" t="n"/>
      <c r="I738" s="2" t="n"/>
    </row>
    <row r="739">
      <c r="A739" s="2" t="n">
        <v>41691</v>
      </c>
      <c r="B739" t="n">
        <v>960363.88</v>
      </c>
      <c r="C739" t="n">
        <v>34057.94</v>
      </c>
      <c r="D739" t="n">
        <v>0</v>
      </c>
      <c r="E739">
        <f>D739/MAX($B$2:B739,100000)</f>
        <v/>
      </c>
      <c r="H739" s="2" t="n"/>
      <c r="I739" s="2" t="n"/>
    </row>
    <row r="740">
      <c r="A740" s="2" t="n">
        <v>41698</v>
      </c>
      <c r="B740" t="n">
        <v>952208.75</v>
      </c>
      <c r="C740" t="n">
        <v>34057.94</v>
      </c>
      <c r="D740" t="n">
        <v>-8155.13</v>
      </c>
      <c r="E740">
        <f>D740/MAX($B$2:B740,100000)</f>
        <v/>
      </c>
      <c r="H740" s="2" t="n"/>
      <c r="I740" s="2" t="n"/>
    </row>
    <row r="741">
      <c r="A741" s="2" t="n">
        <v>41705</v>
      </c>
      <c r="B741" t="n">
        <v>968286.75</v>
      </c>
      <c r="C741" t="n">
        <v>34057.94</v>
      </c>
      <c r="D741" t="n">
        <v>0</v>
      </c>
      <c r="E741">
        <f>D741/MAX($B$2:B741,100000)</f>
        <v/>
      </c>
      <c r="H741" s="2" t="n"/>
      <c r="I741" s="2" t="n"/>
    </row>
    <row r="742">
      <c r="A742" s="2" t="n">
        <v>41712</v>
      </c>
      <c r="B742" t="n">
        <v>930439.8100000001</v>
      </c>
      <c r="C742" t="n">
        <v>31666.95</v>
      </c>
      <c r="D742" t="n">
        <v>-37846.94</v>
      </c>
      <c r="E742">
        <f>D742/MAX($B$2:B742,100000)</f>
        <v/>
      </c>
      <c r="H742" s="2" t="n"/>
      <c r="I742" s="2" t="n"/>
    </row>
    <row r="743">
      <c r="A743" s="2" t="n">
        <v>41719</v>
      </c>
      <c r="B743" t="n">
        <v>945647.38</v>
      </c>
      <c r="C743" t="n">
        <v>31666.95</v>
      </c>
      <c r="D743" t="n">
        <v>-22639.38</v>
      </c>
      <c r="E743">
        <f>D743/MAX($B$2:B743,100000)</f>
        <v/>
      </c>
      <c r="H743" s="2" t="n"/>
      <c r="I743" s="2" t="n"/>
    </row>
    <row r="744">
      <c r="A744" s="2" t="n">
        <v>41726</v>
      </c>
      <c r="B744" t="n">
        <v>940740.0600000001</v>
      </c>
      <c r="C744" t="n">
        <v>31666.95</v>
      </c>
      <c r="D744" t="n">
        <v>-27546.69</v>
      </c>
      <c r="E744">
        <f>D744/MAX($B$2:B744,100000)</f>
        <v/>
      </c>
      <c r="H744" s="2" t="n"/>
      <c r="I744" s="2" t="n"/>
    </row>
    <row r="745">
      <c r="A745" s="2" t="n">
        <v>41733</v>
      </c>
      <c r="B745" t="n">
        <v>945969.75</v>
      </c>
      <c r="C745" t="n">
        <v>31666.95</v>
      </c>
      <c r="D745" t="n">
        <v>-22317</v>
      </c>
      <c r="E745">
        <f>D745/MAX($B$2:B745,100000)</f>
        <v/>
      </c>
      <c r="H745" s="2" t="n"/>
      <c r="I745" s="2" t="n"/>
    </row>
    <row r="746">
      <c r="A746" s="2" t="n">
        <v>41740</v>
      </c>
      <c r="B746" t="n">
        <v>938057.9399999999</v>
      </c>
      <c r="C746" t="n">
        <v>57249.51</v>
      </c>
      <c r="D746" t="n">
        <v>-30228.81</v>
      </c>
      <c r="E746">
        <f>D746/MAX($B$2:B746,100000)</f>
        <v/>
      </c>
      <c r="H746" s="2" t="n"/>
      <c r="I746" s="2" t="n"/>
    </row>
    <row r="747">
      <c r="A747" s="2" t="n">
        <v>41746</v>
      </c>
      <c r="B747" t="n">
        <v>945215.4399999999</v>
      </c>
      <c r="C747" t="n">
        <v>57249.51</v>
      </c>
      <c r="D747" t="n">
        <v>-23071.31</v>
      </c>
      <c r="E747">
        <f>D747/MAX($B$2:B747,100000)</f>
        <v/>
      </c>
      <c r="H747" s="2" t="n"/>
      <c r="I747" s="2" t="n"/>
    </row>
    <row r="748">
      <c r="A748" s="2" t="n">
        <v>41753</v>
      </c>
      <c r="B748" t="n">
        <v>959561.9399999999</v>
      </c>
      <c r="C748" t="n">
        <v>57249.51</v>
      </c>
      <c r="D748" t="n">
        <v>-8724.809999999999</v>
      </c>
      <c r="E748">
        <f>D748/MAX($B$2:B748,100000)</f>
        <v/>
      </c>
      <c r="H748" s="2" t="n"/>
      <c r="I748" s="2" t="n"/>
    </row>
    <row r="749">
      <c r="A749" s="2" t="n">
        <v>41761</v>
      </c>
      <c r="B749" t="n">
        <v>942331.5</v>
      </c>
      <c r="C749" t="n">
        <v>57249.51</v>
      </c>
      <c r="D749" t="n">
        <v>-25955.25</v>
      </c>
      <c r="E749">
        <f>D749/MAX($B$2:B749,100000)</f>
        <v/>
      </c>
      <c r="H749" s="2" t="n"/>
      <c r="I749" s="2" t="n"/>
    </row>
    <row r="750">
      <c r="A750" s="2" t="n">
        <v>41768</v>
      </c>
      <c r="B750" t="n">
        <v>961285.8100000001</v>
      </c>
      <c r="C750" t="n">
        <v>57249.51</v>
      </c>
      <c r="D750" t="n">
        <v>-7000.94</v>
      </c>
      <c r="E750">
        <f>D750/MAX($B$2:B750,100000)</f>
        <v/>
      </c>
      <c r="H750" s="2" t="n"/>
      <c r="I750" s="2" t="n"/>
    </row>
    <row r="751">
      <c r="A751" s="2" t="n">
        <v>41775</v>
      </c>
      <c r="B751" t="n">
        <v>960998.5</v>
      </c>
      <c r="C751" t="n">
        <v>57249.51</v>
      </c>
      <c r="D751" t="n">
        <v>-7288.25</v>
      </c>
      <c r="E751">
        <f>D751/MAX($B$2:B751,100000)</f>
        <v/>
      </c>
      <c r="H751" s="2" t="n"/>
      <c r="I751" s="2" t="n"/>
    </row>
    <row r="752">
      <c r="A752" s="2" t="n">
        <v>41782</v>
      </c>
      <c r="B752" t="n">
        <v>958904.1899999999</v>
      </c>
      <c r="C752" t="n">
        <v>57249.51</v>
      </c>
      <c r="D752" t="n">
        <v>-9382.559999999999</v>
      </c>
      <c r="E752">
        <f>D752/MAX($B$2:B752,100000)</f>
        <v/>
      </c>
      <c r="H752" s="2" t="n"/>
      <c r="I752" s="2" t="n"/>
    </row>
    <row r="753">
      <c r="A753" s="2" t="n">
        <v>41789</v>
      </c>
      <c r="B753" t="n">
        <v>962383.0600000001</v>
      </c>
      <c r="C753" t="n">
        <v>43812.3</v>
      </c>
      <c r="D753" t="n">
        <v>-5903.69</v>
      </c>
      <c r="E753">
        <f>D753/MAX($B$2:B753,100000)</f>
        <v/>
      </c>
      <c r="H753" s="2" t="n"/>
      <c r="I753" s="2" t="n"/>
    </row>
    <row r="754">
      <c r="A754" s="2" t="n">
        <v>41796</v>
      </c>
      <c r="B754" t="n">
        <v>949990.6899999999</v>
      </c>
      <c r="C754" t="n">
        <v>33339.36</v>
      </c>
      <c r="D754" t="n">
        <v>-18296.06</v>
      </c>
      <c r="E754">
        <f>D754/MAX($B$2:B754,100000)</f>
        <v/>
      </c>
      <c r="H754" s="2" t="n"/>
      <c r="I754" s="2" t="n"/>
    </row>
    <row r="755">
      <c r="A755" s="2" t="n">
        <v>41803</v>
      </c>
      <c r="B755" t="n">
        <v>931802.8100000001</v>
      </c>
      <c r="C755" t="n">
        <v>33339.36</v>
      </c>
      <c r="D755" t="n">
        <v>-36483.94</v>
      </c>
      <c r="E755">
        <f>D755/MAX($B$2:B755,100000)</f>
        <v/>
      </c>
      <c r="H755" s="2" t="n"/>
      <c r="I755" s="2" t="n"/>
    </row>
    <row r="756">
      <c r="A756" s="2" t="n">
        <v>41810</v>
      </c>
      <c r="B756" t="n">
        <v>930984.75</v>
      </c>
      <c r="C756" t="n">
        <v>33339.36</v>
      </c>
      <c r="D756" t="n">
        <v>-37302</v>
      </c>
      <c r="E756">
        <f>D756/MAX($B$2:B756,100000)</f>
        <v/>
      </c>
      <c r="H756" s="2" t="n"/>
      <c r="I756" s="2" t="n"/>
    </row>
    <row r="757">
      <c r="A757" s="2" t="n">
        <v>41817</v>
      </c>
      <c r="B757" t="n">
        <v>936681.4399999999</v>
      </c>
      <c r="C757" t="n">
        <v>149525.75</v>
      </c>
      <c r="D757" t="n">
        <v>-31605.31</v>
      </c>
      <c r="E757">
        <f>D757/MAX($B$2:B757,100000)</f>
        <v/>
      </c>
      <c r="H757" s="2" t="n"/>
      <c r="I757" s="2" t="n"/>
    </row>
    <row r="758">
      <c r="A758" s="2" t="n">
        <v>41824</v>
      </c>
      <c r="B758" t="n">
        <v>942820.13</v>
      </c>
      <c r="C758" t="n">
        <v>90961.31</v>
      </c>
      <c r="D758" t="n">
        <v>-25466.63</v>
      </c>
      <c r="E758">
        <f>D758/MAX($B$2:B758,100000)</f>
        <v/>
      </c>
      <c r="H758" s="2" t="n"/>
      <c r="I758" s="2" t="n"/>
    </row>
    <row r="759">
      <c r="A759" s="2" t="n">
        <v>41831</v>
      </c>
      <c r="B759" t="n">
        <v>935997.6899999999</v>
      </c>
      <c r="C759" t="n">
        <v>32081.48</v>
      </c>
      <c r="D759" t="n">
        <v>-32289.06</v>
      </c>
      <c r="E759">
        <f>D759/MAX($B$2:B759,100000)</f>
        <v/>
      </c>
      <c r="H759" s="2" t="n"/>
      <c r="I759" s="2" t="n"/>
    </row>
    <row r="760">
      <c r="A760" s="2" t="n">
        <v>41838</v>
      </c>
      <c r="B760" t="n">
        <v>937569.5600000001</v>
      </c>
      <c r="C760" t="n">
        <v>32081.48</v>
      </c>
      <c r="D760" t="n">
        <v>-30717.19</v>
      </c>
      <c r="E760">
        <f>D760/MAX($B$2:B760,100000)</f>
        <v/>
      </c>
      <c r="H760" s="2" t="n"/>
      <c r="I760" s="2" t="n"/>
    </row>
    <row r="761">
      <c r="A761" s="2" t="n">
        <v>41845</v>
      </c>
      <c r="B761" t="n">
        <v>953995.4399999999</v>
      </c>
      <c r="C761" t="n">
        <v>32081.48</v>
      </c>
      <c r="D761" t="n">
        <v>-14291.31</v>
      </c>
      <c r="E761">
        <f>D761/MAX($B$2:B761,100000)</f>
        <v/>
      </c>
      <c r="H761" s="2" t="n"/>
      <c r="I761" s="2" t="n"/>
    </row>
    <row r="762">
      <c r="A762" s="2" t="n">
        <v>41852</v>
      </c>
      <c r="B762" t="n">
        <v>955046.3100000001</v>
      </c>
      <c r="C762" t="n">
        <v>32081.48</v>
      </c>
      <c r="D762" t="n">
        <v>-13240.44</v>
      </c>
      <c r="E762">
        <f>D762/MAX($B$2:B762,100000)</f>
        <v/>
      </c>
      <c r="H762" s="2" t="n"/>
      <c r="I762" s="2" t="n"/>
    </row>
    <row r="763">
      <c r="A763" s="2" t="n">
        <v>41859</v>
      </c>
      <c r="B763" t="n">
        <v>934211.5</v>
      </c>
      <c r="C763" t="n">
        <v>32081.48</v>
      </c>
      <c r="D763" t="n">
        <v>-34075.25</v>
      </c>
      <c r="E763">
        <f>D763/MAX($B$2:B763,100000)</f>
        <v/>
      </c>
      <c r="H763" s="2" t="n"/>
      <c r="I763" s="2" t="n"/>
    </row>
    <row r="764">
      <c r="A764" s="2" t="n">
        <v>41866</v>
      </c>
      <c r="B764" t="n">
        <v>947355.4399999999</v>
      </c>
      <c r="C764" t="n">
        <v>32081.48</v>
      </c>
      <c r="D764" t="n">
        <v>-20931.31</v>
      </c>
      <c r="E764">
        <f>D764/MAX($B$2:B764,100000)</f>
        <v/>
      </c>
      <c r="H764" s="2" t="n"/>
      <c r="I764" s="2" t="n"/>
    </row>
    <row r="765">
      <c r="A765" s="2" t="n">
        <v>41873</v>
      </c>
      <c r="B765" t="n">
        <v>972647.88</v>
      </c>
      <c r="C765" t="n">
        <v>27549.03</v>
      </c>
      <c r="D765" t="n">
        <v>0</v>
      </c>
      <c r="E765">
        <f>D765/MAX($B$2:B765,100000)</f>
        <v/>
      </c>
      <c r="H765" s="2" t="n"/>
      <c r="I765" s="2" t="n"/>
    </row>
    <row r="766">
      <c r="A766" s="2" t="n">
        <v>41880</v>
      </c>
      <c r="B766" t="n">
        <v>985326.5</v>
      </c>
      <c r="C766" t="n">
        <v>27549.03</v>
      </c>
      <c r="D766" t="n">
        <v>0</v>
      </c>
      <c r="E766">
        <f>D766/MAX($B$2:B766,100000)</f>
        <v/>
      </c>
      <c r="H766" s="2" t="n"/>
      <c r="I766" s="2" t="n"/>
    </row>
    <row r="767">
      <c r="A767" s="2" t="n">
        <v>41887</v>
      </c>
      <c r="B767" t="n">
        <v>992544</v>
      </c>
      <c r="C767" t="n">
        <v>27549.03</v>
      </c>
      <c r="D767" t="n">
        <v>0</v>
      </c>
      <c r="E767">
        <f>D767/MAX($B$2:B767,100000)</f>
        <v/>
      </c>
      <c r="H767" s="2" t="n"/>
      <c r="I767" s="2" t="n"/>
    </row>
    <row r="768">
      <c r="A768" s="2" t="n">
        <v>41894</v>
      </c>
      <c r="B768" t="n">
        <v>990399.88</v>
      </c>
      <c r="C768" t="n">
        <v>27549.03</v>
      </c>
      <c r="D768" t="n">
        <v>-2144.13</v>
      </c>
      <c r="E768">
        <f>D768/MAX($B$2:B768,100000)</f>
        <v/>
      </c>
      <c r="H768" s="2" t="n"/>
      <c r="I768" s="2" t="n"/>
    </row>
    <row r="769">
      <c r="A769" s="2" t="n">
        <v>41901</v>
      </c>
      <c r="B769" t="n">
        <v>961012.8100000001</v>
      </c>
      <c r="C769" t="n">
        <v>27549.03</v>
      </c>
      <c r="D769" t="n">
        <v>-31531.19</v>
      </c>
      <c r="E769">
        <f>D769/MAX($B$2:B769,100000)</f>
        <v/>
      </c>
      <c r="H769" s="2" t="n"/>
      <c r="I769" s="2" t="n"/>
    </row>
    <row r="770">
      <c r="A770" s="2" t="n">
        <v>41908</v>
      </c>
      <c r="B770" t="n">
        <v>939692.4399999999</v>
      </c>
      <c r="C770" t="n">
        <v>27549.03</v>
      </c>
      <c r="D770" t="n">
        <v>-52851.56</v>
      </c>
      <c r="E770">
        <f>D770/MAX($B$2:B770,100000)</f>
        <v/>
      </c>
      <c r="H770" s="2" t="n"/>
      <c r="I770" s="2" t="n"/>
    </row>
    <row r="771">
      <c r="A771" s="2" t="n">
        <v>41915</v>
      </c>
      <c r="B771" t="n">
        <v>936601.13</v>
      </c>
      <c r="C771" t="n">
        <v>94064.28999999999</v>
      </c>
      <c r="D771" t="n">
        <v>-55942.88</v>
      </c>
      <c r="E771">
        <f>D771/MAX($B$2:B771,100000)</f>
        <v/>
      </c>
      <c r="H771" s="2" t="n"/>
      <c r="I771" s="2" t="n"/>
    </row>
    <row r="772">
      <c r="A772" s="2" t="n">
        <v>41922</v>
      </c>
      <c r="B772" t="n">
        <v>904356.75</v>
      </c>
      <c r="C772" t="n">
        <v>143173.19</v>
      </c>
      <c r="D772" t="n">
        <v>-88187.25</v>
      </c>
      <c r="E772">
        <f>D772/MAX($B$2:B772,100000)</f>
        <v/>
      </c>
      <c r="H772" s="2" t="n"/>
      <c r="I772" s="2" t="n"/>
    </row>
    <row r="773">
      <c r="A773" s="2" t="n">
        <v>41929</v>
      </c>
      <c r="B773" t="n">
        <v>901128.38</v>
      </c>
      <c r="C773" t="n">
        <v>143173.19</v>
      </c>
      <c r="D773" t="n">
        <v>-91415.63</v>
      </c>
      <c r="E773">
        <f>D773/MAX($B$2:B773,100000)</f>
        <v/>
      </c>
      <c r="H773" s="2" t="n"/>
      <c r="I773" s="2" t="n"/>
    </row>
    <row r="774">
      <c r="A774" s="2" t="n">
        <v>41936</v>
      </c>
      <c r="B774" t="n">
        <v>918091.25</v>
      </c>
      <c r="C774" t="n">
        <v>190158.31</v>
      </c>
      <c r="D774" t="n">
        <v>-74452.75</v>
      </c>
      <c r="E774">
        <f>D774/MAX($B$2:B774,100000)</f>
        <v/>
      </c>
      <c r="H774" s="2" t="n"/>
      <c r="I774" s="2" t="n"/>
    </row>
    <row r="775">
      <c r="A775" s="2" t="n">
        <v>41943</v>
      </c>
      <c r="B775" t="n">
        <v>939439.13</v>
      </c>
      <c r="C775" t="n">
        <v>243004.56</v>
      </c>
      <c r="D775" t="n">
        <v>-53104.88</v>
      </c>
      <c r="E775">
        <f>D775/MAX($B$2:B775,100000)</f>
        <v/>
      </c>
      <c r="H775" s="2" t="n"/>
      <c r="I775" s="2" t="n"/>
    </row>
    <row r="776">
      <c r="A776" s="2" t="n">
        <v>41950</v>
      </c>
      <c r="B776" t="n">
        <v>951300.8100000001</v>
      </c>
      <c r="C776" t="n">
        <v>125411.48</v>
      </c>
      <c r="D776" t="n">
        <v>-41243.19</v>
      </c>
      <c r="E776">
        <f>D776/MAX($B$2:B776,100000)</f>
        <v/>
      </c>
      <c r="H776" s="2" t="n"/>
      <c r="I776" s="2" t="n"/>
    </row>
    <row r="777">
      <c r="A777" s="2" t="n">
        <v>41957</v>
      </c>
      <c r="B777" t="n">
        <v>951540.75</v>
      </c>
      <c r="C777" t="n">
        <v>6288.75</v>
      </c>
      <c r="D777" t="n">
        <v>-41003.25</v>
      </c>
      <c r="E777">
        <f>D777/MAX($B$2:B777,100000)</f>
        <v/>
      </c>
      <c r="H777" s="2" t="n"/>
      <c r="I777" s="2" t="n"/>
    </row>
    <row r="778">
      <c r="A778" s="2" t="n">
        <v>41964</v>
      </c>
      <c r="B778" t="n">
        <v>939263.13</v>
      </c>
      <c r="C778" t="n">
        <v>6288.75</v>
      </c>
      <c r="D778" t="n">
        <v>-53280.88</v>
      </c>
      <c r="E778">
        <f>D778/MAX($B$2:B778,100000)</f>
        <v/>
      </c>
      <c r="H778" s="2" t="n"/>
      <c r="I778" s="2" t="n"/>
    </row>
    <row r="779">
      <c r="A779" s="2" t="n">
        <v>41971</v>
      </c>
      <c r="B779" t="n">
        <v>947710.1899999999</v>
      </c>
      <c r="C779" t="n">
        <v>6288.75</v>
      </c>
      <c r="D779" t="n">
        <v>-44833.81</v>
      </c>
      <c r="E779">
        <f>D779/MAX($B$2:B779,100000)</f>
        <v/>
      </c>
      <c r="H779" s="2" t="n"/>
      <c r="I779" s="2" t="n"/>
    </row>
    <row r="780">
      <c r="A780" s="2" t="n">
        <v>41978</v>
      </c>
      <c r="B780" t="n">
        <v>968292.38</v>
      </c>
      <c r="C780" t="n">
        <v>6288.75</v>
      </c>
      <c r="D780" t="n">
        <v>-24251.63</v>
      </c>
      <c r="E780">
        <f>D780/MAX($B$2:B780,100000)</f>
        <v/>
      </c>
      <c r="H780" s="2" t="n"/>
      <c r="I780" s="2" t="n"/>
    </row>
    <row r="781">
      <c r="A781" s="2" t="n">
        <v>41985</v>
      </c>
      <c r="B781" t="n">
        <v>972440.88</v>
      </c>
      <c r="C781" t="n">
        <v>102380.09</v>
      </c>
      <c r="D781" t="n">
        <v>-20103.13</v>
      </c>
      <c r="E781">
        <f>D781/MAX($B$2:B781,100000)</f>
        <v/>
      </c>
      <c r="H781" s="2" t="n"/>
      <c r="I781" s="2" t="n"/>
    </row>
    <row r="782">
      <c r="A782" s="2" t="n">
        <v>41992</v>
      </c>
      <c r="B782" t="n">
        <v>985567.13</v>
      </c>
      <c r="C782" t="n">
        <v>102380.09</v>
      </c>
      <c r="D782" t="n">
        <v>-6976.88</v>
      </c>
      <c r="E782">
        <f>D782/MAX($B$2:B782,100000)</f>
        <v/>
      </c>
      <c r="H782" s="2" t="n"/>
      <c r="I782" s="2" t="n"/>
    </row>
    <row r="783">
      <c r="A783" s="2" t="n">
        <v>41997</v>
      </c>
      <c r="B783" t="n">
        <v>993271.5</v>
      </c>
      <c r="C783" t="n">
        <v>102380.09</v>
      </c>
      <c r="D783" t="n">
        <v>0</v>
      </c>
      <c r="E783">
        <f>D783/MAX($B$2:B783,100000)</f>
        <v/>
      </c>
      <c r="H783" s="2" t="n"/>
      <c r="I783" s="2" t="n"/>
    </row>
    <row r="784">
      <c r="A784" s="2" t="n">
        <v>42006</v>
      </c>
      <c r="B784" t="n">
        <v>1000803.88</v>
      </c>
      <c r="C784" t="n">
        <v>40030.43</v>
      </c>
      <c r="D784" t="n">
        <v>0</v>
      </c>
      <c r="E784">
        <f>D784/MAX($B$2:B784,100000)</f>
        <v/>
      </c>
      <c r="H784" s="2" t="n"/>
      <c r="I784" s="2" t="n"/>
    </row>
    <row r="785">
      <c r="A785" s="2" t="n">
        <v>42013</v>
      </c>
      <c r="B785" t="n">
        <v>1012637</v>
      </c>
      <c r="C785" t="n">
        <v>40030.43</v>
      </c>
      <c r="D785" t="n">
        <v>0</v>
      </c>
      <c r="E785">
        <f>D785/MAX($B$2:B785,100000)</f>
        <v/>
      </c>
      <c r="H785" s="2" t="n"/>
      <c r="I785" s="2" t="n"/>
    </row>
    <row r="786">
      <c r="A786" s="2" t="n">
        <v>42020</v>
      </c>
      <c r="B786" t="n">
        <v>982001.4399999999</v>
      </c>
      <c r="C786" t="n">
        <v>40030.43</v>
      </c>
      <c r="D786" t="n">
        <v>-30635.56</v>
      </c>
      <c r="E786">
        <f>D786/MAX($B$2:B786,100000)</f>
        <v/>
      </c>
      <c r="H786" s="2" t="n"/>
      <c r="I786" s="2" t="n"/>
    </row>
    <row r="787">
      <c r="A787" s="2" t="n">
        <v>42027</v>
      </c>
      <c r="B787" t="n">
        <v>1006908.25</v>
      </c>
      <c r="C787" t="n">
        <v>40030.43</v>
      </c>
      <c r="D787" t="n">
        <v>-5728.75</v>
      </c>
      <c r="E787">
        <f>D787/MAX($B$2:B787,100000)</f>
        <v/>
      </c>
      <c r="H787" s="2" t="n"/>
      <c r="I787" s="2" t="n"/>
    </row>
    <row r="788">
      <c r="A788" s="2" t="n">
        <v>42034</v>
      </c>
      <c r="B788" t="n">
        <v>1013447.81</v>
      </c>
      <c r="C788" t="n">
        <v>17064.26</v>
      </c>
      <c r="D788" t="n">
        <v>0</v>
      </c>
      <c r="E788">
        <f>D788/MAX($B$2:B788,100000)</f>
        <v/>
      </c>
      <c r="H788" s="2" t="n"/>
      <c r="I788" s="2" t="n"/>
    </row>
    <row r="789">
      <c r="A789" s="2" t="n">
        <v>42041</v>
      </c>
      <c r="B789" t="n">
        <v>1037709.44</v>
      </c>
      <c r="C789" t="n">
        <v>17064.26</v>
      </c>
      <c r="D789" t="n">
        <v>0</v>
      </c>
      <c r="E789">
        <f>D789/MAX($B$2:B789,100000)</f>
        <v/>
      </c>
      <c r="H789" s="2" t="n"/>
      <c r="I789" s="2" t="n"/>
    </row>
    <row r="790">
      <c r="A790" s="2" t="n">
        <v>42048</v>
      </c>
      <c r="B790" t="n">
        <v>1046690.81</v>
      </c>
      <c r="C790" t="n">
        <v>17064.26</v>
      </c>
      <c r="D790" t="n">
        <v>0</v>
      </c>
      <c r="E790">
        <f>D790/MAX($B$2:B790,100000)</f>
        <v/>
      </c>
      <c r="H790" s="2" t="n"/>
      <c r="I790" s="2" t="n"/>
    </row>
    <row r="791">
      <c r="A791" s="2" t="n">
        <v>42055</v>
      </c>
      <c r="B791" t="n">
        <v>1051328.13</v>
      </c>
      <c r="C791" t="n">
        <v>17064.26</v>
      </c>
      <c r="D791" t="n">
        <v>0</v>
      </c>
      <c r="E791">
        <f>D791/MAX($B$2:B791,100000)</f>
        <v/>
      </c>
      <c r="H791" s="2" t="n"/>
      <c r="I791" s="2" t="n"/>
    </row>
    <row r="792">
      <c r="A792" s="2" t="n">
        <v>42062</v>
      </c>
      <c r="B792" t="n">
        <v>1069702.63</v>
      </c>
      <c r="C792" t="n">
        <v>17064.26</v>
      </c>
      <c r="D792" t="n">
        <v>0</v>
      </c>
      <c r="E792">
        <f>D792/MAX($B$2:B792,100000)</f>
        <v/>
      </c>
      <c r="H792" s="2" t="n"/>
      <c r="I792" s="2" t="n"/>
    </row>
    <row r="793">
      <c r="A793" s="2" t="n">
        <v>42069</v>
      </c>
      <c r="B793" t="n">
        <v>1079001.13</v>
      </c>
      <c r="C793" t="n">
        <v>17064.26</v>
      </c>
      <c r="D793" t="n">
        <v>0</v>
      </c>
      <c r="E793">
        <f>D793/MAX($B$2:B793,100000)</f>
        <v/>
      </c>
      <c r="H793" s="2" t="n"/>
      <c r="I793" s="2" t="n"/>
    </row>
    <row r="794">
      <c r="A794" s="2" t="n">
        <v>42076</v>
      </c>
      <c r="B794" t="n">
        <v>1077630.75</v>
      </c>
      <c r="C794" t="n">
        <v>17064.26</v>
      </c>
      <c r="D794" t="n">
        <v>-1370.38</v>
      </c>
      <c r="E794">
        <f>D794/MAX($B$2:B794,100000)</f>
        <v/>
      </c>
      <c r="H794" s="2" t="n"/>
      <c r="I794" s="2" t="n"/>
    </row>
    <row r="795">
      <c r="A795" s="2" t="n">
        <v>42083</v>
      </c>
      <c r="B795" t="n">
        <v>1099702.13</v>
      </c>
      <c r="C795" t="n">
        <v>17064.26</v>
      </c>
      <c r="D795" t="n">
        <v>0</v>
      </c>
      <c r="E795">
        <f>D795/MAX($B$2:B795,100000)</f>
        <v/>
      </c>
      <c r="H795" s="2" t="n"/>
      <c r="I795" s="2" t="n"/>
    </row>
    <row r="796">
      <c r="A796" s="2" t="n">
        <v>42090</v>
      </c>
      <c r="B796" t="n">
        <v>1092057.38</v>
      </c>
      <c r="C796" t="n">
        <v>17064.26</v>
      </c>
      <c r="D796" t="n">
        <v>-7644.75</v>
      </c>
      <c r="E796">
        <f>D796/MAX($B$2:B796,100000)</f>
        <v/>
      </c>
      <c r="H796" s="2" t="n"/>
      <c r="I796" s="2" t="n"/>
    </row>
    <row r="797">
      <c r="A797" s="2" t="n">
        <v>42096</v>
      </c>
      <c r="B797" t="n">
        <v>1106967.25</v>
      </c>
      <c r="C797" t="n">
        <v>17064.26</v>
      </c>
      <c r="D797" t="n">
        <v>0</v>
      </c>
      <c r="E797">
        <f>D797/MAX($B$2:B797,100000)</f>
        <v/>
      </c>
      <c r="H797" s="2" t="n"/>
      <c r="I797" s="2" t="n"/>
    </row>
    <row r="798">
      <c r="A798" s="2" t="n">
        <v>42104</v>
      </c>
      <c r="B798" t="n">
        <v>1115055.25</v>
      </c>
      <c r="C798" t="n">
        <v>17064.26</v>
      </c>
      <c r="D798" t="n">
        <v>0</v>
      </c>
      <c r="E798">
        <f>D798/MAX($B$2:B798,100000)</f>
        <v/>
      </c>
      <c r="H798" s="2" t="n"/>
      <c r="I798" s="2" t="n"/>
    </row>
    <row r="799">
      <c r="A799" s="2" t="n">
        <v>42111</v>
      </c>
      <c r="B799" t="n">
        <v>1095623.75</v>
      </c>
      <c r="C799" t="n">
        <v>17064.26</v>
      </c>
      <c r="D799" t="n">
        <v>-19431.5</v>
      </c>
      <c r="E799">
        <f>D799/MAX($B$2:B799,100000)</f>
        <v/>
      </c>
      <c r="H799" s="2" t="n"/>
      <c r="I799" s="2" t="n"/>
    </row>
    <row r="800">
      <c r="A800" s="2" t="n">
        <v>42118</v>
      </c>
      <c r="B800" t="n">
        <v>1094553.25</v>
      </c>
      <c r="C800" t="n">
        <v>17064.26</v>
      </c>
      <c r="D800" t="n">
        <v>-20502</v>
      </c>
      <c r="E800">
        <f>D800/MAX($B$2:B800,100000)</f>
        <v/>
      </c>
      <c r="H800" s="2" t="n"/>
      <c r="I800" s="2" t="n"/>
    </row>
    <row r="801">
      <c r="A801" s="2" t="n">
        <v>42125</v>
      </c>
      <c r="B801" t="n">
        <v>1076277.75</v>
      </c>
      <c r="C801" t="n">
        <v>17064.26</v>
      </c>
      <c r="D801" t="n">
        <v>-38777.5</v>
      </c>
      <c r="E801">
        <f>D801/MAX($B$2:B801,100000)</f>
        <v/>
      </c>
      <c r="H801" s="2" t="n"/>
      <c r="I801" s="2" t="n"/>
    </row>
    <row r="802">
      <c r="A802" s="2" t="n">
        <v>42132</v>
      </c>
      <c r="B802" t="n">
        <v>1069201.25</v>
      </c>
      <c r="C802" t="n">
        <v>17064.26</v>
      </c>
      <c r="D802" t="n">
        <v>-45854</v>
      </c>
      <c r="E802">
        <f>D802/MAX($B$2:B802,100000)</f>
        <v/>
      </c>
      <c r="H802" s="2" t="n"/>
      <c r="I802" s="2" t="n"/>
    </row>
    <row r="803">
      <c r="A803" s="2" t="n">
        <v>42139</v>
      </c>
      <c r="B803" t="n">
        <v>1089808.13</v>
      </c>
      <c r="C803" t="n">
        <v>166588.97</v>
      </c>
      <c r="D803" t="n">
        <v>-25247.13</v>
      </c>
      <c r="E803">
        <f>D803/MAX($B$2:B803,100000)</f>
        <v/>
      </c>
      <c r="H803" s="2" t="n"/>
      <c r="I803" s="2" t="n"/>
    </row>
    <row r="804">
      <c r="A804" s="2" t="n">
        <v>42146</v>
      </c>
      <c r="B804" t="n">
        <v>1079372.75</v>
      </c>
      <c r="C804" t="n">
        <v>166588.97</v>
      </c>
      <c r="D804" t="n">
        <v>-35682.5</v>
      </c>
      <c r="E804">
        <f>D804/MAX($B$2:B804,100000)</f>
        <v/>
      </c>
      <c r="H804" s="2" t="n"/>
      <c r="I804" s="2" t="n"/>
    </row>
    <row r="805">
      <c r="A805" s="2" t="n">
        <v>42153</v>
      </c>
      <c r="B805" t="n">
        <v>1090308.75</v>
      </c>
      <c r="C805" t="n">
        <v>166588.97</v>
      </c>
      <c r="D805" t="n">
        <v>-24746.5</v>
      </c>
      <c r="E805">
        <f>D805/MAX($B$2:B805,100000)</f>
        <v/>
      </c>
      <c r="H805" s="2" t="n"/>
      <c r="I805" s="2" t="n"/>
    </row>
    <row r="806">
      <c r="A806" s="2" t="n">
        <v>42160</v>
      </c>
      <c r="B806" t="n">
        <v>1063127.38</v>
      </c>
      <c r="C806" t="n">
        <v>336503.81</v>
      </c>
      <c r="D806" t="n">
        <v>-51927.88</v>
      </c>
      <c r="E806">
        <f>D806/MAX($B$2:B806,100000)</f>
        <v/>
      </c>
      <c r="H806" s="2" t="n"/>
      <c r="I806" s="2" t="n"/>
    </row>
    <row r="807">
      <c r="A807" s="2" t="n">
        <v>42167</v>
      </c>
      <c r="B807" t="n">
        <v>1070509.25</v>
      </c>
      <c r="C807" t="n">
        <v>336503.81</v>
      </c>
      <c r="D807" t="n">
        <v>-44546</v>
      </c>
      <c r="E807">
        <f>D807/MAX($B$2:B807,100000)</f>
        <v/>
      </c>
      <c r="H807" s="2" t="n"/>
      <c r="I807" s="2" t="n"/>
    </row>
    <row r="808">
      <c r="A808" s="2" t="n">
        <v>42174</v>
      </c>
      <c r="B808" t="n">
        <v>1058671.88</v>
      </c>
      <c r="C808" t="n">
        <v>336503.81</v>
      </c>
      <c r="D808" t="n">
        <v>-56383.38</v>
      </c>
      <c r="E808">
        <f>D808/MAX($B$2:B808,100000)</f>
        <v/>
      </c>
      <c r="H808" s="2" t="n"/>
      <c r="I808" s="2" t="n"/>
    </row>
    <row r="809">
      <c r="A809" s="2" t="n">
        <v>42181</v>
      </c>
      <c r="B809" t="n">
        <v>1055643.38</v>
      </c>
      <c r="C809" t="n">
        <v>336503.81</v>
      </c>
      <c r="D809" t="n">
        <v>-59411.88</v>
      </c>
      <c r="E809">
        <f>D809/MAX($B$2:B809,100000)</f>
        <v/>
      </c>
      <c r="H809" s="2" t="n"/>
      <c r="I809" s="2" t="n"/>
    </row>
    <row r="810">
      <c r="A810" s="2" t="n">
        <v>42188</v>
      </c>
      <c r="B810" t="n">
        <v>1057104.13</v>
      </c>
      <c r="C810" t="n">
        <v>336503.81</v>
      </c>
      <c r="D810" t="n">
        <v>-57951.13</v>
      </c>
      <c r="E810">
        <f>D810/MAX($B$2:B810,100000)</f>
        <v/>
      </c>
      <c r="H810" s="2" t="n"/>
      <c r="I810" s="2" t="n"/>
    </row>
    <row r="811">
      <c r="A811" s="2" t="n">
        <v>42195</v>
      </c>
      <c r="B811" t="n">
        <v>1047354.19</v>
      </c>
      <c r="C811" t="n">
        <v>336503.81</v>
      </c>
      <c r="D811" t="n">
        <v>-67701.06</v>
      </c>
      <c r="E811">
        <f>D811/MAX($B$2:B811,100000)</f>
        <v/>
      </c>
      <c r="H811" s="2" t="n"/>
      <c r="I811" s="2" t="n"/>
    </row>
    <row r="812">
      <c r="A812" s="2" t="n">
        <v>42202</v>
      </c>
      <c r="B812" t="n">
        <v>1076163</v>
      </c>
      <c r="C812" t="n">
        <v>336503.81</v>
      </c>
      <c r="D812" t="n">
        <v>-38892.25</v>
      </c>
      <c r="E812">
        <f>D812/MAX($B$2:B812,100000)</f>
        <v/>
      </c>
      <c r="H812" s="2" t="n"/>
      <c r="I812" s="2" t="n"/>
    </row>
    <row r="813">
      <c r="A813" s="2" t="n">
        <v>42209</v>
      </c>
      <c r="B813" t="n">
        <v>1073330.13</v>
      </c>
      <c r="C813" t="n">
        <v>336503.81</v>
      </c>
      <c r="D813" t="n">
        <v>-41725.13</v>
      </c>
      <c r="E813">
        <f>D813/MAX($B$2:B813,100000)</f>
        <v/>
      </c>
      <c r="H813" s="2" t="n"/>
      <c r="I813" s="2" t="n"/>
    </row>
    <row r="814">
      <c r="A814" s="2" t="n">
        <v>42216</v>
      </c>
      <c r="B814" t="n">
        <v>1087902.63</v>
      </c>
      <c r="C814" t="n">
        <v>336503.81</v>
      </c>
      <c r="D814" t="n">
        <v>-27152.63</v>
      </c>
      <c r="E814">
        <f>D814/MAX($B$2:B814,100000)</f>
        <v/>
      </c>
      <c r="H814" s="2" t="n"/>
      <c r="I814" s="2" t="n"/>
    </row>
    <row r="815">
      <c r="A815" s="2" t="n">
        <v>42223</v>
      </c>
      <c r="B815" t="n">
        <v>1048868.88</v>
      </c>
      <c r="C815" t="n">
        <v>63467.31</v>
      </c>
      <c r="D815" t="n">
        <v>-66186.38</v>
      </c>
      <c r="E815">
        <f>D815/MAX($B$2:B815,100000)</f>
        <v/>
      </c>
      <c r="H815" s="2" t="n"/>
      <c r="I815" s="2" t="n"/>
    </row>
    <row r="816">
      <c r="A816" s="2" t="n">
        <v>42230</v>
      </c>
      <c r="B816" t="n">
        <v>1027632.5</v>
      </c>
      <c r="C816" t="n">
        <v>63467.31</v>
      </c>
      <c r="D816" t="n">
        <v>-87422.75</v>
      </c>
      <c r="E816">
        <f>D816/MAX($B$2:B816,100000)</f>
        <v/>
      </c>
      <c r="H816" s="2" t="n"/>
      <c r="I816" s="2" t="n"/>
    </row>
    <row r="817">
      <c r="A817" s="2" t="n">
        <v>42237</v>
      </c>
      <c r="B817" t="n">
        <v>1020540.5</v>
      </c>
      <c r="C817" t="n">
        <v>121758.39</v>
      </c>
      <c r="D817" t="n">
        <v>-94514.75</v>
      </c>
      <c r="E817">
        <f>D817/MAX($B$2:B817,100000)</f>
        <v/>
      </c>
      <c r="H817" s="2" t="n"/>
      <c r="I817" s="2" t="n"/>
    </row>
    <row r="818">
      <c r="A818" s="2" t="n">
        <v>42244</v>
      </c>
      <c r="B818" t="n">
        <v>1027332.06</v>
      </c>
      <c r="C818" t="n">
        <v>228279.5</v>
      </c>
      <c r="D818" t="n">
        <v>-87723.19</v>
      </c>
      <c r="E818">
        <f>D818/MAX($B$2:B818,100000)</f>
        <v/>
      </c>
      <c r="H818" s="2" t="n"/>
      <c r="I818" s="2" t="n"/>
    </row>
    <row r="819">
      <c r="A819" s="2" t="n">
        <v>42251</v>
      </c>
      <c r="B819" t="n">
        <v>1013076.25</v>
      </c>
      <c r="C819" t="n">
        <v>228279.5</v>
      </c>
      <c r="D819" t="n">
        <v>-101979</v>
      </c>
      <c r="E819">
        <f>D819/MAX($B$2:B819,100000)</f>
        <v/>
      </c>
      <c r="H819" s="2" t="n"/>
      <c r="I819" s="2" t="n"/>
    </row>
    <row r="820">
      <c r="A820" s="2" t="n">
        <v>42258</v>
      </c>
      <c r="B820" t="n">
        <v>1016838.5</v>
      </c>
      <c r="C820" t="n">
        <v>278599.88</v>
      </c>
      <c r="D820" t="n">
        <v>-98216.75</v>
      </c>
      <c r="E820">
        <f>D820/MAX($B$2:B820,100000)</f>
        <v/>
      </c>
      <c r="H820" s="2" t="n"/>
      <c r="I820" s="2" t="n"/>
    </row>
    <row r="821">
      <c r="A821" s="2" t="n">
        <v>42265</v>
      </c>
      <c r="B821" t="n">
        <v>1032214.56</v>
      </c>
      <c r="C821" t="n">
        <v>343637</v>
      </c>
      <c r="D821" t="n">
        <v>-82840.69</v>
      </c>
      <c r="E821">
        <f>D821/MAX($B$2:B821,100000)</f>
        <v/>
      </c>
      <c r="H821" s="2" t="n"/>
      <c r="I821" s="2" t="n"/>
    </row>
    <row r="822">
      <c r="A822" s="2" t="n">
        <v>42272</v>
      </c>
      <c r="B822" t="n">
        <v>1034047.38</v>
      </c>
      <c r="C822" t="n">
        <v>343637</v>
      </c>
      <c r="D822" t="n">
        <v>-81007.88</v>
      </c>
      <c r="E822">
        <f>D822/MAX($B$2:B822,100000)</f>
        <v/>
      </c>
      <c r="H822" s="2" t="n"/>
      <c r="I822" s="2" t="n"/>
    </row>
    <row r="823">
      <c r="A823" s="2" t="n">
        <v>42279</v>
      </c>
      <c r="B823" t="n">
        <v>1035271.13</v>
      </c>
      <c r="C823" t="n">
        <v>343637</v>
      </c>
      <c r="D823" t="n">
        <v>-79784.13</v>
      </c>
      <c r="E823">
        <f>D823/MAX($B$2:B823,100000)</f>
        <v/>
      </c>
      <c r="H823" s="2" t="n"/>
      <c r="I823" s="2" t="n"/>
    </row>
    <row r="824">
      <c r="A824" s="2" t="n">
        <v>42286</v>
      </c>
      <c r="B824" t="n">
        <v>1045208.44</v>
      </c>
      <c r="C824" t="n">
        <v>343637</v>
      </c>
      <c r="D824" t="n">
        <v>-69846.81</v>
      </c>
      <c r="E824">
        <f>D824/MAX($B$2:B824,100000)</f>
        <v/>
      </c>
      <c r="H824" s="2" t="n"/>
      <c r="I824" s="2" t="n"/>
    </row>
    <row r="825">
      <c r="A825" s="2" t="n">
        <v>42293</v>
      </c>
      <c r="B825" t="n">
        <v>1040767.69</v>
      </c>
      <c r="C825" t="n">
        <v>343637</v>
      </c>
      <c r="D825" t="n">
        <v>-74287.56</v>
      </c>
      <c r="E825">
        <f>D825/MAX($B$2:B825,100000)</f>
        <v/>
      </c>
      <c r="H825" s="2" t="n"/>
      <c r="I825" s="2" t="n"/>
    </row>
    <row r="826">
      <c r="A826" s="2" t="n">
        <v>42300</v>
      </c>
      <c r="B826" t="n">
        <v>1057277.63</v>
      </c>
      <c r="C826" t="n">
        <v>343637</v>
      </c>
      <c r="D826" t="n">
        <v>-57777.63</v>
      </c>
      <c r="E826">
        <f>D826/MAX($B$2:B826,100000)</f>
        <v/>
      </c>
      <c r="H826" s="2" t="n"/>
      <c r="I826" s="2" t="n"/>
    </row>
    <row r="827">
      <c r="A827" s="2" t="n">
        <v>42307</v>
      </c>
      <c r="B827" t="n">
        <v>1069553.63</v>
      </c>
      <c r="C827" t="n">
        <v>12038.8</v>
      </c>
      <c r="D827" t="n">
        <v>-45501.63</v>
      </c>
      <c r="E827">
        <f>D827/MAX($B$2:B827,100000)</f>
        <v/>
      </c>
      <c r="H827" s="2" t="n"/>
      <c r="I827" s="2" t="n"/>
    </row>
    <row r="828">
      <c r="A828" s="2" t="n">
        <v>42314</v>
      </c>
      <c r="B828" t="n">
        <v>1076997.75</v>
      </c>
      <c r="C828" t="n">
        <v>12038.8</v>
      </c>
      <c r="D828" t="n">
        <v>-38057.5</v>
      </c>
      <c r="E828">
        <f>D828/MAX($B$2:B828,100000)</f>
        <v/>
      </c>
      <c r="H828" s="2" t="n"/>
      <c r="I828" s="2" t="n"/>
    </row>
    <row r="829">
      <c r="A829" s="2" t="n">
        <v>42321</v>
      </c>
      <c r="B829" t="n">
        <v>1061874.25</v>
      </c>
      <c r="C829" t="n">
        <v>12038.8</v>
      </c>
      <c r="D829" t="n">
        <v>-53181</v>
      </c>
      <c r="E829">
        <f>D829/MAX($B$2:B829,100000)</f>
        <v/>
      </c>
      <c r="H829" s="2" t="n"/>
      <c r="I829" s="2" t="n"/>
    </row>
    <row r="830">
      <c r="A830" s="2" t="n">
        <v>42328</v>
      </c>
      <c r="B830" t="n">
        <v>1115836</v>
      </c>
      <c r="C830" t="n">
        <v>12038.8</v>
      </c>
      <c r="D830" t="n">
        <v>0</v>
      </c>
      <c r="E830">
        <f>D830/MAX($B$2:B830,100000)</f>
        <v/>
      </c>
      <c r="H830" s="2" t="n"/>
      <c r="I830" s="2" t="n"/>
    </row>
    <row r="831">
      <c r="A831" s="2" t="n">
        <v>42335</v>
      </c>
      <c r="B831" t="n">
        <v>1113356.38</v>
      </c>
      <c r="C831" t="n">
        <v>12038.8</v>
      </c>
      <c r="D831" t="n">
        <v>-2479.63</v>
      </c>
      <c r="E831">
        <f>D831/MAX($B$2:B831,100000)</f>
        <v/>
      </c>
      <c r="H831" s="2" t="n"/>
      <c r="I831" s="2" t="n"/>
    </row>
    <row r="832">
      <c r="A832" s="2" t="n">
        <v>42342</v>
      </c>
      <c r="B832" t="n">
        <v>1096520.75</v>
      </c>
      <c r="C832" t="n">
        <v>12038.8</v>
      </c>
      <c r="D832" t="n">
        <v>-19315.25</v>
      </c>
      <c r="E832">
        <f>D832/MAX($B$2:B832,100000)</f>
        <v/>
      </c>
      <c r="H832" s="2" t="n"/>
      <c r="I832" s="2" t="n"/>
    </row>
    <row r="833">
      <c r="A833" s="2" t="n">
        <v>42349</v>
      </c>
      <c r="B833" t="n">
        <v>1091046.5</v>
      </c>
      <c r="C833" t="n">
        <v>12038.8</v>
      </c>
      <c r="D833" t="n">
        <v>-24789.5</v>
      </c>
      <c r="E833">
        <f>D833/MAX($B$2:B833,100000)</f>
        <v/>
      </c>
      <c r="H833" s="2" t="n"/>
      <c r="I833" s="2" t="n"/>
    </row>
    <row r="834">
      <c r="A834" s="2" t="n">
        <v>42356</v>
      </c>
      <c r="B834" t="n">
        <v>1108201.63</v>
      </c>
      <c r="C834" t="n">
        <v>71311.02</v>
      </c>
      <c r="D834" t="n">
        <v>-7634.38</v>
      </c>
      <c r="E834">
        <f>D834/MAX($B$2:B834,100000)</f>
        <v/>
      </c>
      <c r="H834" s="2" t="n"/>
      <c r="I834" s="2" t="n"/>
    </row>
    <row r="835">
      <c r="A835" s="2" t="n">
        <v>42362</v>
      </c>
      <c r="B835" t="n">
        <v>1114788.13</v>
      </c>
      <c r="C835" t="n">
        <v>71311.02</v>
      </c>
      <c r="D835" t="n">
        <v>-1047.88</v>
      </c>
      <c r="E835">
        <f>D835/MAX($B$2:B835,100000)</f>
        <v/>
      </c>
      <c r="H835" s="2" t="n"/>
      <c r="I835" s="2" t="n"/>
    </row>
    <row r="836">
      <c r="A836" s="2" t="n">
        <v>42369</v>
      </c>
      <c r="B836" t="n">
        <v>1128386.13</v>
      </c>
      <c r="C836" t="n">
        <v>7255.1</v>
      </c>
      <c r="D836" t="n">
        <v>0</v>
      </c>
      <c r="E836">
        <f>D836/MAX($B$2:B836,100000)</f>
        <v/>
      </c>
      <c r="H836" s="2" t="n"/>
      <c r="I836" s="2" t="n"/>
    </row>
    <row r="837">
      <c r="A837" s="2" t="n">
        <v>42377</v>
      </c>
      <c r="B837" t="n">
        <v>1075060.63</v>
      </c>
      <c r="C837" t="n">
        <v>7255.1</v>
      </c>
      <c r="D837" t="n">
        <v>-53325.5</v>
      </c>
      <c r="E837">
        <f>D837/MAX($B$2:B837,100000)</f>
        <v/>
      </c>
      <c r="H837" s="2" t="n"/>
      <c r="I837" s="2" t="n"/>
    </row>
    <row r="838">
      <c r="A838" s="2" t="n">
        <v>42384</v>
      </c>
      <c r="B838" t="n">
        <v>1058442.25</v>
      </c>
      <c r="C838" t="n">
        <v>7255.1</v>
      </c>
      <c r="D838" t="n">
        <v>-69943.88</v>
      </c>
      <c r="E838">
        <f>D838/MAX($B$2:B838,100000)</f>
        <v/>
      </c>
      <c r="H838" s="2" t="n"/>
      <c r="I838" s="2" t="n"/>
    </row>
    <row r="839">
      <c r="A839" s="2" t="n">
        <v>42391</v>
      </c>
      <c r="B839" t="n">
        <v>1079990.88</v>
      </c>
      <c r="C839" t="n">
        <v>75316.59</v>
      </c>
      <c r="D839" t="n">
        <v>-48395.25</v>
      </c>
      <c r="E839">
        <f>D839/MAX($B$2:B839,100000)</f>
        <v/>
      </c>
      <c r="H839" s="2" t="n"/>
      <c r="I839" s="2" t="n"/>
    </row>
    <row r="840">
      <c r="A840" s="2" t="n">
        <v>42398</v>
      </c>
      <c r="B840" t="n">
        <v>1089026.63</v>
      </c>
      <c r="C840" t="n">
        <v>358901.63</v>
      </c>
      <c r="D840" t="n">
        <v>-39359.5</v>
      </c>
      <c r="E840">
        <f>D840/MAX($B$2:B840,100000)</f>
        <v/>
      </c>
      <c r="H840" s="2" t="n"/>
      <c r="I840" s="2" t="n"/>
    </row>
    <row r="841">
      <c r="A841" s="2" t="n">
        <v>42405</v>
      </c>
      <c r="B841" t="n">
        <v>1078315.38</v>
      </c>
      <c r="C841" t="n">
        <v>358901.63</v>
      </c>
      <c r="D841" t="n">
        <v>-50070.75</v>
      </c>
      <c r="E841">
        <f>D841/MAX($B$2:B841,100000)</f>
        <v/>
      </c>
      <c r="H841" s="2" t="n"/>
      <c r="I841" s="2" t="n"/>
    </row>
    <row r="842">
      <c r="A842" s="2" t="n">
        <v>42412</v>
      </c>
      <c r="B842" t="n">
        <v>1077183.63</v>
      </c>
      <c r="C842" t="n">
        <v>358901.63</v>
      </c>
      <c r="D842" t="n">
        <v>-51202.5</v>
      </c>
      <c r="E842">
        <f>D842/MAX($B$2:B842,100000)</f>
        <v/>
      </c>
      <c r="H842" s="2" t="n"/>
      <c r="I842" s="2" t="n"/>
    </row>
    <row r="843">
      <c r="A843" s="2" t="n">
        <v>42419</v>
      </c>
      <c r="B843" t="n">
        <v>1087888.5</v>
      </c>
      <c r="C843" t="n">
        <v>438605.41</v>
      </c>
      <c r="D843" t="n">
        <v>-40497.63</v>
      </c>
      <c r="E843">
        <f>D843/MAX($B$2:B843,100000)</f>
        <v/>
      </c>
      <c r="H843" s="2" t="n"/>
      <c r="I843" s="2" t="n"/>
    </row>
    <row r="844">
      <c r="A844" s="2" t="n">
        <v>42426</v>
      </c>
      <c r="B844" t="n">
        <v>1087473.38</v>
      </c>
      <c r="C844" t="n">
        <v>530664.88</v>
      </c>
      <c r="D844" t="n">
        <v>-40912.75</v>
      </c>
      <c r="E844">
        <f>D844/MAX($B$2:B844,100000)</f>
        <v/>
      </c>
      <c r="H844" s="2" t="n"/>
      <c r="I844" s="2" t="n"/>
    </row>
    <row r="845">
      <c r="A845" s="2" t="n">
        <v>42433</v>
      </c>
      <c r="B845" t="n">
        <v>1093959.5</v>
      </c>
      <c r="C845" t="n">
        <v>606065.3100000001</v>
      </c>
      <c r="D845" t="n">
        <v>-34426.63</v>
      </c>
      <c r="E845">
        <f>D845/MAX($B$2:B845,100000)</f>
        <v/>
      </c>
      <c r="H845" s="2" t="n"/>
      <c r="I845" s="2" t="n"/>
    </row>
    <row r="846">
      <c r="A846" s="2" t="n">
        <v>42440</v>
      </c>
      <c r="B846" t="n">
        <v>1089322.5</v>
      </c>
      <c r="C846" t="n">
        <v>57921.52</v>
      </c>
      <c r="D846" t="n">
        <v>-39063.63</v>
      </c>
      <c r="E846">
        <f>D846/MAX($B$2:B846,100000)</f>
        <v/>
      </c>
      <c r="H846" s="2" t="n"/>
      <c r="I846" s="2" t="n"/>
    </row>
    <row r="847">
      <c r="A847" s="2" t="n">
        <v>42447</v>
      </c>
      <c r="B847" t="n">
        <v>1085800</v>
      </c>
      <c r="C847" t="n">
        <v>57921.52</v>
      </c>
      <c r="D847" t="n">
        <v>-42586.13</v>
      </c>
      <c r="E847">
        <f>D847/MAX($B$2:B847,100000)</f>
        <v/>
      </c>
      <c r="H847" s="2" t="n"/>
      <c r="I847" s="2" t="n"/>
    </row>
    <row r="848">
      <c r="A848" s="2" t="n">
        <v>42453</v>
      </c>
      <c r="B848" t="n">
        <v>1094549.88</v>
      </c>
      <c r="C848" t="n">
        <v>57921.52</v>
      </c>
      <c r="D848" t="n">
        <v>-33836.25</v>
      </c>
      <c r="E848">
        <f>D848/MAX($B$2:B848,100000)</f>
        <v/>
      </c>
      <c r="H848" s="2" t="n"/>
      <c r="I848" s="2" t="n"/>
    </row>
    <row r="849">
      <c r="A849" s="2" t="n">
        <v>42461</v>
      </c>
      <c r="B849" t="n">
        <v>1092353.75</v>
      </c>
      <c r="C849" t="n">
        <v>57921.52</v>
      </c>
      <c r="D849" t="n">
        <v>-36032.38</v>
      </c>
      <c r="E849">
        <f>D849/MAX($B$2:B849,100000)</f>
        <v/>
      </c>
      <c r="H849" s="2" t="n"/>
      <c r="I849" s="2" t="n"/>
    </row>
    <row r="850">
      <c r="A850" s="2" t="n">
        <v>42468</v>
      </c>
      <c r="B850" t="n">
        <v>1077160.25</v>
      </c>
      <c r="C850" t="n">
        <v>57921.52</v>
      </c>
      <c r="D850" t="n">
        <v>-51225.88</v>
      </c>
      <c r="E850">
        <f>D850/MAX($B$2:B850,100000)</f>
        <v/>
      </c>
      <c r="H850" s="2" t="n"/>
      <c r="I850" s="2" t="n"/>
    </row>
    <row r="851">
      <c r="A851" s="2" t="n">
        <v>42475</v>
      </c>
      <c r="B851" t="n">
        <v>1101822.63</v>
      </c>
      <c r="C851" t="n">
        <v>116519.01</v>
      </c>
      <c r="D851" t="n">
        <v>-26563.5</v>
      </c>
      <c r="E851">
        <f>D851/MAX($B$2:B851,100000)</f>
        <v/>
      </c>
      <c r="H851" s="2" t="n"/>
      <c r="I851" s="2" t="n"/>
    </row>
    <row r="852">
      <c r="A852" s="2" t="n">
        <v>42482</v>
      </c>
      <c r="B852" t="n">
        <v>1093156.63</v>
      </c>
      <c r="C852" t="n">
        <v>34711.91</v>
      </c>
      <c r="D852" t="n">
        <v>-35229.5</v>
      </c>
      <c r="E852">
        <f>D852/MAX($B$2:B852,100000)</f>
        <v/>
      </c>
      <c r="H852" s="2" t="n"/>
      <c r="I852" s="2" t="n"/>
    </row>
    <row r="853">
      <c r="A853" s="2" t="n">
        <v>42489</v>
      </c>
      <c r="B853" t="n">
        <v>1117269.88</v>
      </c>
      <c r="C853" t="n">
        <v>34711.91</v>
      </c>
      <c r="D853" t="n">
        <v>-11116.25</v>
      </c>
      <c r="E853">
        <f>D853/MAX($B$2:B853,100000)</f>
        <v/>
      </c>
      <c r="H853" s="2" t="n"/>
      <c r="I853" s="2" t="n"/>
    </row>
    <row r="854">
      <c r="A854" s="2" t="n">
        <v>42496</v>
      </c>
      <c r="B854" t="n">
        <v>1142413.5</v>
      </c>
      <c r="C854" t="n">
        <v>34711.91</v>
      </c>
      <c r="D854" t="n">
        <v>0</v>
      </c>
      <c r="E854">
        <f>D854/MAX($B$2:B854,100000)</f>
        <v/>
      </c>
      <c r="H854" s="2" t="n"/>
      <c r="I854" s="2" t="n"/>
    </row>
    <row r="855">
      <c r="A855" s="2" t="n">
        <v>42503</v>
      </c>
      <c r="B855" t="n">
        <v>1122982.88</v>
      </c>
      <c r="C855" t="n">
        <v>34711.91</v>
      </c>
      <c r="D855" t="n">
        <v>-19430.63</v>
      </c>
      <c r="E855">
        <f>D855/MAX($B$2:B855,100000)</f>
        <v/>
      </c>
      <c r="H855" s="2" t="n"/>
      <c r="I855" s="2" t="n"/>
    </row>
    <row r="856">
      <c r="A856" s="2" t="n">
        <v>42510</v>
      </c>
      <c r="B856" t="n">
        <v>1128159</v>
      </c>
      <c r="C856" t="n">
        <v>34711.91</v>
      </c>
      <c r="D856" t="n">
        <v>-14254.5</v>
      </c>
      <c r="E856">
        <f>D856/MAX($B$2:B856,100000)</f>
        <v/>
      </c>
      <c r="H856" s="2" t="n"/>
      <c r="I856" s="2" t="n"/>
    </row>
    <row r="857">
      <c r="A857" s="2" t="n">
        <v>42517</v>
      </c>
      <c r="B857" t="n">
        <v>1137109.5</v>
      </c>
      <c r="C857" t="n">
        <v>34711.91</v>
      </c>
      <c r="D857" t="n">
        <v>-5304</v>
      </c>
      <c r="E857">
        <f>D857/MAX($B$2:B857,100000)</f>
        <v/>
      </c>
      <c r="H857" s="2" t="n"/>
      <c r="I857" s="2" t="n"/>
    </row>
    <row r="858">
      <c r="A858" s="2" t="n">
        <v>42524</v>
      </c>
      <c r="B858" t="n">
        <v>1143985.5</v>
      </c>
      <c r="C858" t="n">
        <v>15456.75</v>
      </c>
      <c r="D858" t="n">
        <v>0</v>
      </c>
      <c r="E858">
        <f>D858/MAX($B$2:B858,100000)</f>
        <v/>
      </c>
      <c r="H858" s="2" t="n"/>
      <c r="I858" s="2" t="n"/>
    </row>
    <row r="859">
      <c r="A859" s="2" t="n">
        <v>42531</v>
      </c>
      <c r="B859" t="n">
        <v>1140695</v>
      </c>
      <c r="C859" t="n">
        <v>15456.75</v>
      </c>
      <c r="D859" t="n">
        <v>-3290.5</v>
      </c>
      <c r="E859">
        <f>D859/MAX($B$2:B859,100000)</f>
        <v/>
      </c>
      <c r="H859" s="2" t="n"/>
      <c r="I859" s="2" t="n"/>
    </row>
    <row r="860">
      <c r="A860" s="2" t="n">
        <v>42538</v>
      </c>
      <c r="B860" t="n">
        <v>1116559.88</v>
      </c>
      <c r="C860" t="n">
        <v>15456.75</v>
      </c>
      <c r="D860" t="n">
        <v>-27425.63</v>
      </c>
      <c r="E860">
        <f>D860/MAX($B$2:B860,100000)</f>
        <v/>
      </c>
      <c r="H860" s="2" t="n"/>
      <c r="I860" s="2" t="n"/>
    </row>
    <row r="861">
      <c r="A861" s="2" t="n">
        <v>42545</v>
      </c>
      <c r="B861" t="n">
        <v>1109174.88</v>
      </c>
      <c r="C861" t="n">
        <v>15456.75</v>
      </c>
      <c r="D861" t="n">
        <v>-34810.63</v>
      </c>
      <c r="E861">
        <f>D861/MAX($B$2:B861,100000)</f>
        <v/>
      </c>
      <c r="H861" s="2" t="n"/>
      <c r="I861" s="2" t="n"/>
    </row>
    <row r="862">
      <c r="A862" s="2" t="n">
        <v>42552</v>
      </c>
      <c r="B862" t="n">
        <v>1132272.38</v>
      </c>
      <c r="C862" t="n">
        <v>216129.63</v>
      </c>
      <c r="D862" t="n">
        <v>-11713.13</v>
      </c>
      <c r="E862">
        <f>D862/MAX($B$2:B862,100000)</f>
        <v/>
      </c>
      <c r="H862" s="2" t="n"/>
      <c r="I862" s="2" t="n"/>
    </row>
    <row r="863">
      <c r="A863" s="2" t="n">
        <v>42559</v>
      </c>
      <c r="B863" t="n">
        <v>1160965.63</v>
      </c>
      <c r="C863" t="n">
        <v>216129.63</v>
      </c>
      <c r="D863" t="n">
        <v>0</v>
      </c>
      <c r="E863">
        <f>D863/MAX($B$2:B863,100000)</f>
        <v/>
      </c>
      <c r="H863" s="2" t="n"/>
      <c r="I863" s="2" t="n"/>
    </row>
    <row r="864">
      <c r="A864" s="2" t="n">
        <v>42566</v>
      </c>
      <c r="B864" t="n">
        <v>1210055.88</v>
      </c>
      <c r="C864" t="n">
        <v>69506.21000000001</v>
      </c>
      <c r="D864" t="n">
        <v>0</v>
      </c>
      <c r="E864">
        <f>D864/MAX($B$2:B864,100000)</f>
        <v/>
      </c>
      <c r="H864" s="2" t="n"/>
      <c r="I864" s="2" t="n"/>
    </row>
    <row r="865">
      <c r="A865" s="2" t="n">
        <v>42573</v>
      </c>
      <c r="B865" t="n">
        <v>1220107.75</v>
      </c>
      <c r="C865" t="n">
        <v>69506.21000000001</v>
      </c>
      <c r="D865" t="n">
        <v>0</v>
      </c>
      <c r="E865">
        <f>D865/MAX($B$2:B865,100000)</f>
        <v/>
      </c>
      <c r="H865" s="2" t="n"/>
      <c r="I865" s="2" t="n"/>
    </row>
    <row r="866">
      <c r="A866" s="2" t="n">
        <v>42580</v>
      </c>
      <c r="B866" t="n">
        <v>1231160.88</v>
      </c>
      <c r="C866" t="n">
        <v>69506.21000000001</v>
      </c>
      <c r="D866" t="n">
        <v>0</v>
      </c>
      <c r="E866">
        <f>D866/MAX($B$2:B866,100000)</f>
        <v/>
      </c>
      <c r="H866" s="2" t="n"/>
      <c r="I866" s="2" t="n"/>
    </row>
    <row r="867">
      <c r="A867" s="2" t="n">
        <v>42587</v>
      </c>
      <c r="B867" t="n">
        <v>1220989.13</v>
      </c>
      <c r="C867" t="n">
        <v>69506.21000000001</v>
      </c>
      <c r="D867" t="n">
        <v>-10171.75</v>
      </c>
      <c r="E867">
        <f>D867/MAX($B$2:B867,100000)</f>
        <v/>
      </c>
      <c r="H867" s="2" t="n"/>
      <c r="I867" s="2" t="n"/>
    </row>
    <row r="868">
      <c r="A868" s="2" t="n">
        <v>42594</v>
      </c>
      <c r="B868" t="n">
        <v>1217131.88</v>
      </c>
      <c r="C868" t="n">
        <v>69506.21000000001</v>
      </c>
      <c r="D868" t="n">
        <v>-14029</v>
      </c>
      <c r="E868">
        <f>D868/MAX($B$2:B868,100000)</f>
        <v/>
      </c>
      <c r="H868" s="2" t="n"/>
      <c r="I868" s="2" t="n"/>
    </row>
    <row r="869">
      <c r="A869" s="2" t="n">
        <v>42601</v>
      </c>
      <c r="B869" t="n">
        <v>1233677.88</v>
      </c>
      <c r="C869" t="n">
        <v>69506.21000000001</v>
      </c>
      <c r="D869" t="n">
        <v>0</v>
      </c>
      <c r="E869">
        <f>D869/MAX($B$2:B869,100000)</f>
        <v/>
      </c>
      <c r="H869" s="2" t="n"/>
      <c r="I869" s="2" t="n"/>
    </row>
    <row r="870">
      <c r="A870" s="2" t="n">
        <v>42608</v>
      </c>
      <c r="B870" t="n">
        <v>1229733.25</v>
      </c>
      <c r="C870" t="n">
        <v>69506.21000000001</v>
      </c>
      <c r="D870" t="n">
        <v>-3944.63</v>
      </c>
      <c r="E870">
        <f>D870/MAX($B$2:B870,100000)</f>
        <v/>
      </c>
      <c r="H870" s="2" t="n"/>
      <c r="I870" s="2" t="n"/>
    </row>
    <row r="871">
      <c r="A871" s="2" t="n">
        <v>42615</v>
      </c>
      <c r="B871" t="n">
        <v>1209082.88</v>
      </c>
      <c r="C871" t="n">
        <v>69506.21000000001</v>
      </c>
      <c r="D871" t="n">
        <v>-24595</v>
      </c>
      <c r="E871">
        <f>D871/MAX($B$2:B871,100000)</f>
        <v/>
      </c>
      <c r="H871" s="2" t="n"/>
      <c r="I871" s="2" t="n"/>
    </row>
    <row r="872">
      <c r="A872" s="2" t="n">
        <v>42622</v>
      </c>
      <c r="B872" t="n">
        <v>1219070.63</v>
      </c>
      <c r="C872" t="n">
        <v>69506.21000000001</v>
      </c>
      <c r="D872" t="n">
        <v>-14607.25</v>
      </c>
      <c r="E872">
        <f>D872/MAX($B$2:B872,100000)</f>
        <v/>
      </c>
      <c r="H872" s="2" t="n"/>
      <c r="I872" s="2" t="n"/>
    </row>
    <row r="873">
      <c r="A873" s="2" t="n">
        <v>42629</v>
      </c>
      <c r="B873" t="n">
        <v>1225949.25</v>
      </c>
      <c r="C873" t="n">
        <v>227883.63</v>
      </c>
      <c r="D873" t="n">
        <v>-7728.63</v>
      </c>
      <c r="E873">
        <f>D873/MAX($B$2:B873,100000)</f>
        <v/>
      </c>
      <c r="H873" s="2" t="n"/>
      <c r="I873" s="2" t="n"/>
    </row>
    <row r="874">
      <c r="A874" s="2" t="n">
        <v>42636</v>
      </c>
      <c r="B874" t="n">
        <v>1218359.13</v>
      </c>
      <c r="C874" t="n">
        <v>227883.63</v>
      </c>
      <c r="D874" t="n">
        <v>-15318.75</v>
      </c>
      <c r="E874">
        <f>D874/MAX($B$2:B874,100000)</f>
        <v/>
      </c>
      <c r="H874" s="2" t="n"/>
      <c r="I874" s="2" t="n"/>
    </row>
    <row r="875">
      <c r="A875" s="2" t="n">
        <v>42643</v>
      </c>
      <c r="B875" t="n">
        <v>1225131.5</v>
      </c>
      <c r="C875" t="n">
        <v>150193.36</v>
      </c>
      <c r="D875" t="n">
        <v>-8546.379999999999</v>
      </c>
      <c r="E875">
        <f>D875/MAX($B$2:B875,100000)</f>
        <v/>
      </c>
      <c r="H875" s="2" t="n"/>
      <c r="I875" s="2" t="n"/>
    </row>
    <row r="876">
      <c r="A876" s="2" t="n">
        <v>42650</v>
      </c>
      <c r="B876" t="n">
        <v>1252828.38</v>
      </c>
      <c r="C876" t="n">
        <v>72884.75</v>
      </c>
      <c r="D876" t="n">
        <v>0</v>
      </c>
      <c r="E876">
        <f>D876/MAX($B$2:B876,100000)</f>
        <v/>
      </c>
      <c r="H876" s="2" t="n"/>
      <c r="I876" s="2" t="n"/>
    </row>
    <row r="877">
      <c r="A877" s="2" t="n">
        <v>42657</v>
      </c>
      <c r="B877" t="n">
        <v>1253610.13</v>
      </c>
      <c r="C877" t="n">
        <v>72884.75</v>
      </c>
      <c r="D877" t="n">
        <v>0</v>
      </c>
      <c r="E877">
        <f>D877/MAX($B$2:B877,100000)</f>
        <v/>
      </c>
      <c r="H877" s="2" t="n"/>
      <c r="I877" s="2" t="n"/>
    </row>
    <row r="878">
      <c r="A878" s="2" t="n">
        <v>42664</v>
      </c>
      <c r="B878" t="n">
        <v>1268077.88</v>
      </c>
      <c r="C878" t="n">
        <v>72884.75</v>
      </c>
      <c r="D878" t="n">
        <v>0</v>
      </c>
      <c r="E878">
        <f>D878/MAX($B$2:B878,100000)</f>
        <v/>
      </c>
      <c r="H878" s="2" t="n"/>
      <c r="I878" s="2" t="n"/>
    </row>
    <row r="879">
      <c r="A879" s="2" t="n">
        <v>42671</v>
      </c>
      <c r="B879" t="n">
        <v>1231180.5</v>
      </c>
      <c r="C879" t="n">
        <v>72884.75</v>
      </c>
      <c r="D879" t="n">
        <v>-36897.38</v>
      </c>
      <c r="E879">
        <f>D879/MAX($B$2:B879,100000)</f>
        <v/>
      </c>
      <c r="H879" s="2" t="n"/>
      <c r="I879" s="2" t="n"/>
    </row>
    <row r="880">
      <c r="A880" s="2" t="n">
        <v>42678</v>
      </c>
      <c r="B880" t="n">
        <v>1200508.63</v>
      </c>
      <c r="C880" t="n">
        <v>72884.75</v>
      </c>
      <c r="D880" t="n">
        <v>-67569.25</v>
      </c>
      <c r="E880">
        <f>D880/MAX($B$2:B880,100000)</f>
        <v/>
      </c>
      <c r="H880" s="2" t="n"/>
      <c r="I880" s="2" t="n"/>
    </row>
    <row r="881">
      <c r="A881" s="2" t="n">
        <v>42685</v>
      </c>
      <c r="B881" t="n">
        <v>1214081</v>
      </c>
      <c r="C881" t="n">
        <v>221152.77</v>
      </c>
      <c r="D881" t="n">
        <v>-53996.88</v>
      </c>
      <c r="E881">
        <f>D881/MAX($B$2:B881,100000)</f>
        <v/>
      </c>
      <c r="H881" s="2" t="n"/>
      <c r="I881" s="2" t="n"/>
    </row>
    <row r="882">
      <c r="A882" s="2" t="n">
        <v>42692</v>
      </c>
      <c r="B882" t="n">
        <v>1163744.5</v>
      </c>
      <c r="C882" t="n">
        <v>284945.78</v>
      </c>
      <c r="D882" t="n">
        <v>-104333.38</v>
      </c>
      <c r="E882">
        <f>D882/MAX($B$2:B882,100000)</f>
        <v/>
      </c>
      <c r="H882" s="2" t="n"/>
      <c r="I882" s="2" t="n"/>
    </row>
    <row r="883">
      <c r="A883" s="2" t="n">
        <v>42699</v>
      </c>
      <c r="B883" t="n">
        <v>1175653.25</v>
      </c>
      <c r="C883" t="n">
        <v>284945.78</v>
      </c>
      <c r="D883" t="n">
        <v>-92424.63</v>
      </c>
      <c r="E883">
        <f>D883/MAX($B$2:B883,100000)</f>
        <v/>
      </c>
      <c r="H883" s="2" t="n"/>
      <c r="I883" s="2" t="n"/>
    </row>
    <row r="884">
      <c r="A884" s="2" t="n">
        <v>42706</v>
      </c>
      <c r="B884" t="n">
        <v>1167000.25</v>
      </c>
      <c r="C884" t="n">
        <v>51622.46</v>
      </c>
      <c r="D884" t="n">
        <v>-101077.63</v>
      </c>
      <c r="E884">
        <f>D884/MAX($B$2:B884,100000)</f>
        <v/>
      </c>
      <c r="H884" s="2" t="n"/>
      <c r="I884" s="2" t="n"/>
    </row>
    <row r="885">
      <c r="A885" s="2" t="n">
        <v>42713</v>
      </c>
      <c r="B885" t="n">
        <v>1182452.88</v>
      </c>
      <c r="C885" t="n">
        <v>51622.46</v>
      </c>
      <c r="D885" t="n">
        <v>-85625</v>
      </c>
      <c r="E885">
        <f>D885/MAX($B$2:B885,100000)</f>
        <v/>
      </c>
      <c r="H885" s="2" t="n"/>
      <c r="I885" s="2" t="n"/>
    </row>
    <row r="886">
      <c r="A886" s="2" t="n">
        <v>42720</v>
      </c>
      <c r="B886" t="n">
        <v>1167291.5</v>
      </c>
      <c r="C886" t="n">
        <v>51622.46</v>
      </c>
      <c r="D886" t="n">
        <v>-100786.38</v>
      </c>
      <c r="E886">
        <f>D886/MAX($B$2:B886,100000)</f>
        <v/>
      </c>
      <c r="H886" s="2" t="n"/>
      <c r="I886" s="2" t="n"/>
    </row>
    <row r="887">
      <c r="A887" s="2" t="n">
        <v>42727</v>
      </c>
      <c r="B887" t="n">
        <v>1182640.88</v>
      </c>
      <c r="C887" t="n">
        <v>51622.46</v>
      </c>
      <c r="D887" t="n">
        <v>-85437</v>
      </c>
      <c r="E887">
        <f>D887/MAX($B$2:B887,100000)</f>
        <v/>
      </c>
      <c r="H887" s="2" t="n"/>
      <c r="I887" s="2" t="n"/>
    </row>
    <row r="888">
      <c r="A888" s="2" t="n">
        <v>42734</v>
      </c>
      <c r="B888" t="n">
        <v>1200408.25</v>
      </c>
      <c r="C888" t="n">
        <v>51622.46</v>
      </c>
      <c r="D888" t="n">
        <v>-67669.63</v>
      </c>
      <c r="E888">
        <f>D888/MAX($B$2:B888,100000)</f>
        <v/>
      </c>
      <c r="H888" s="2" t="n"/>
      <c r="I888" s="2" t="n"/>
    </row>
    <row r="889">
      <c r="A889" s="2" t="n">
        <v>42741</v>
      </c>
      <c r="B889" t="n">
        <v>1208766.75</v>
      </c>
      <c r="C889" t="n">
        <v>51622.46</v>
      </c>
      <c r="D889" t="n">
        <v>-59311.13</v>
      </c>
      <c r="E889">
        <f>D889/MAX($B$2:B889,100000)</f>
        <v/>
      </c>
      <c r="H889" s="2" t="n"/>
      <c r="I889" s="2" t="n"/>
    </row>
    <row r="890">
      <c r="A890" s="2" t="n">
        <v>42748</v>
      </c>
      <c r="B890" t="n">
        <v>1198934.5</v>
      </c>
      <c r="C890" t="n">
        <v>51622.46</v>
      </c>
      <c r="D890" t="n">
        <v>-69143.38</v>
      </c>
      <c r="E890">
        <f>D890/MAX($B$2:B890,100000)</f>
        <v/>
      </c>
      <c r="H890" s="2" t="n"/>
      <c r="I890" s="2" t="n"/>
    </row>
    <row r="891">
      <c r="A891" s="2" t="n">
        <v>42755</v>
      </c>
      <c r="B891" t="n">
        <v>1193550.75</v>
      </c>
      <c r="C891" t="n">
        <v>51622.46</v>
      </c>
      <c r="D891" t="n">
        <v>-74527.13</v>
      </c>
      <c r="E891">
        <f>D891/MAX($B$2:B891,100000)</f>
        <v/>
      </c>
      <c r="H891" s="2" t="n"/>
      <c r="I891" s="2" t="n"/>
    </row>
    <row r="892">
      <c r="A892" s="2" t="n">
        <v>42762</v>
      </c>
      <c r="B892" t="n">
        <v>1222077.25</v>
      </c>
      <c r="C892" t="n">
        <v>51622.46</v>
      </c>
      <c r="D892" t="n">
        <v>-46000.63</v>
      </c>
      <c r="E892">
        <f>D892/MAX($B$2:B892,100000)</f>
        <v/>
      </c>
      <c r="H892" s="2" t="n"/>
      <c r="I892" s="2" t="n"/>
    </row>
    <row r="893">
      <c r="A893" s="2" t="n">
        <v>42769</v>
      </c>
      <c r="B893" t="n">
        <v>1189721.63</v>
      </c>
      <c r="C893" t="n">
        <v>35717.19</v>
      </c>
      <c r="D893" t="n">
        <v>-78356.25</v>
      </c>
      <c r="E893">
        <f>D893/MAX($B$2:B893,100000)</f>
        <v/>
      </c>
      <c r="H893" s="2" t="n"/>
      <c r="I893" s="2" t="n"/>
    </row>
    <row r="894">
      <c r="A894" s="2" t="n">
        <v>42776</v>
      </c>
      <c r="B894" t="n">
        <v>1208468.5</v>
      </c>
      <c r="C894" t="n">
        <v>35717.19</v>
      </c>
      <c r="D894" t="n">
        <v>-59609.38</v>
      </c>
      <c r="E894">
        <f>D894/MAX($B$2:B894,100000)</f>
        <v/>
      </c>
      <c r="H894" s="2" t="n"/>
      <c r="I894" s="2" t="n"/>
    </row>
    <row r="895">
      <c r="A895" s="2" t="n">
        <v>42783</v>
      </c>
      <c r="B895" t="n">
        <v>1203952</v>
      </c>
      <c r="C895" t="n">
        <v>35717.19</v>
      </c>
      <c r="D895" t="n">
        <v>-64125.88</v>
      </c>
      <c r="E895">
        <f>D895/MAX($B$2:B895,100000)</f>
        <v/>
      </c>
      <c r="H895" s="2" t="n"/>
      <c r="I895" s="2" t="n"/>
    </row>
    <row r="896">
      <c r="A896" s="2" t="n">
        <v>42790</v>
      </c>
      <c r="B896" t="n">
        <v>1208384.13</v>
      </c>
      <c r="C896" t="n">
        <v>35717.19</v>
      </c>
      <c r="D896" t="n">
        <v>-59693.75</v>
      </c>
      <c r="E896">
        <f>D896/MAX($B$2:B896,100000)</f>
        <v/>
      </c>
      <c r="H896" s="2" t="n"/>
      <c r="I896" s="2" t="n"/>
    </row>
    <row r="897">
      <c r="A897" s="2" t="n">
        <v>42797</v>
      </c>
      <c r="B897" t="n">
        <v>1204051.75</v>
      </c>
      <c r="C897" t="n">
        <v>35717.19</v>
      </c>
      <c r="D897" t="n">
        <v>-64026.13</v>
      </c>
      <c r="E897">
        <f>D897/MAX($B$2:B897,100000)</f>
        <v/>
      </c>
      <c r="H897" s="2" t="n"/>
      <c r="I897" s="2" t="n"/>
    </row>
    <row r="898">
      <c r="A898" s="2" t="n">
        <v>42804</v>
      </c>
      <c r="B898" t="n">
        <v>1218915.75</v>
      </c>
      <c r="C898" t="n">
        <v>10659.11</v>
      </c>
      <c r="D898" t="n">
        <v>-49162.13</v>
      </c>
      <c r="E898">
        <f>D898/MAX($B$2:B898,100000)</f>
        <v/>
      </c>
      <c r="H898" s="2" t="n"/>
      <c r="I898" s="2" t="n"/>
    </row>
    <row r="899">
      <c r="A899" s="2" t="n">
        <v>42811</v>
      </c>
      <c r="B899" t="n">
        <v>1228341.88</v>
      </c>
      <c r="C899" t="n">
        <v>10659.11</v>
      </c>
      <c r="D899" t="n">
        <v>-39736</v>
      </c>
      <c r="E899">
        <f>D899/MAX($B$2:B899,100000)</f>
        <v/>
      </c>
      <c r="H899" s="2" t="n"/>
      <c r="I899" s="2" t="n"/>
    </row>
    <row r="900">
      <c r="A900" s="2" t="n">
        <v>42818</v>
      </c>
      <c r="B900" t="n">
        <v>1231211.88</v>
      </c>
      <c r="C900" t="n">
        <v>10659.11</v>
      </c>
      <c r="D900" t="n">
        <v>-36866</v>
      </c>
      <c r="E900">
        <f>D900/MAX($B$2:B900,100000)</f>
        <v/>
      </c>
      <c r="H900" s="2" t="n"/>
      <c r="I900" s="2" t="n"/>
    </row>
    <row r="901">
      <c r="A901" s="2" t="n">
        <v>42825</v>
      </c>
      <c r="B901" t="n">
        <v>1247729.13</v>
      </c>
      <c r="C901" t="n">
        <v>10659.11</v>
      </c>
      <c r="D901" t="n">
        <v>-20348.75</v>
      </c>
      <c r="E901">
        <f>D901/MAX($B$2:B901,100000)</f>
        <v/>
      </c>
      <c r="H901" s="2" t="n"/>
      <c r="I901" s="2" t="n"/>
    </row>
    <row r="902">
      <c r="A902" s="2" t="n">
        <v>42832</v>
      </c>
      <c r="B902" t="n">
        <v>1247974.63</v>
      </c>
      <c r="C902" t="n">
        <v>10659.11</v>
      </c>
      <c r="D902" t="n">
        <v>-20103.25</v>
      </c>
      <c r="E902">
        <f>D902/MAX($B$2:B902,100000)</f>
        <v/>
      </c>
      <c r="H902" s="2" t="n"/>
      <c r="I902" s="2" t="n"/>
    </row>
    <row r="903">
      <c r="A903" s="2" t="n">
        <v>42838</v>
      </c>
      <c r="B903" t="n">
        <v>1246637</v>
      </c>
      <c r="C903" t="n">
        <v>10659.11</v>
      </c>
      <c r="D903" t="n">
        <v>-21440.88</v>
      </c>
      <c r="E903">
        <f>D903/MAX($B$2:B903,100000)</f>
        <v/>
      </c>
      <c r="H903" s="2" t="n"/>
      <c r="I903" s="2" t="n"/>
    </row>
    <row r="904">
      <c r="A904" s="2" t="n">
        <v>42846</v>
      </c>
      <c r="B904" t="n">
        <v>1253763.88</v>
      </c>
      <c r="C904" t="n">
        <v>10659.11</v>
      </c>
      <c r="D904" t="n">
        <v>-14314</v>
      </c>
      <c r="E904">
        <f>D904/MAX($B$2:B904,100000)</f>
        <v/>
      </c>
      <c r="H904" s="2" t="n"/>
      <c r="I904" s="2" t="n"/>
    </row>
    <row r="905">
      <c r="A905" s="2" t="n">
        <v>42853</v>
      </c>
      <c r="B905" t="n">
        <v>1280911.75</v>
      </c>
      <c r="C905" t="n">
        <v>10659.11</v>
      </c>
      <c r="D905" t="n">
        <v>0</v>
      </c>
      <c r="E905">
        <f>D905/MAX($B$2:B905,100000)</f>
        <v/>
      </c>
      <c r="H905" s="2" t="n"/>
      <c r="I905" s="2" t="n"/>
    </row>
    <row r="906">
      <c r="A906" s="2" t="n">
        <v>42860</v>
      </c>
      <c r="B906" t="n">
        <v>1267721.13</v>
      </c>
      <c r="C906" t="n">
        <v>10659.11</v>
      </c>
      <c r="D906" t="n">
        <v>-13190.63</v>
      </c>
      <c r="E906">
        <f>D906/MAX($B$2:B906,100000)</f>
        <v/>
      </c>
      <c r="H906" s="2" t="n"/>
      <c r="I906" s="2" t="n"/>
    </row>
    <row r="907">
      <c r="A907" s="2" t="n">
        <v>42867</v>
      </c>
      <c r="B907" t="n">
        <v>1287324.25</v>
      </c>
      <c r="C907" t="n">
        <v>10659.11</v>
      </c>
      <c r="D907" t="n">
        <v>0</v>
      </c>
      <c r="E907">
        <f>D907/MAX($B$2:B907,100000)</f>
        <v/>
      </c>
      <c r="H907" s="2" t="n"/>
      <c r="I907" s="2" t="n"/>
    </row>
    <row r="908">
      <c r="A908" s="2" t="n">
        <v>42874</v>
      </c>
      <c r="B908" t="n">
        <v>1257639.5</v>
      </c>
      <c r="C908" t="n">
        <v>10659.11</v>
      </c>
      <c r="D908" t="n">
        <v>-29684.75</v>
      </c>
      <c r="E908">
        <f>D908/MAX($B$2:B908,100000)</f>
        <v/>
      </c>
      <c r="H908" s="2" t="n"/>
      <c r="I908" s="2" t="n"/>
    </row>
    <row r="909">
      <c r="A909" s="2" t="n">
        <v>42881</v>
      </c>
      <c r="B909" t="n">
        <v>1269058.5</v>
      </c>
      <c r="C909" t="n">
        <v>10659.11</v>
      </c>
      <c r="D909" t="n">
        <v>-18265.75</v>
      </c>
      <c r="E909">
        <f>D909/MAX($B$2:B909,100000)</f>
        <v/>
      </c>
      <c r="H909" s="2" t="n"/>
      <c r="I909" s="2" t="n"/>
    </row>
    <row r="910">
      <c r="A910" s="2" t="n">
        <v>42888</v>
      </c>
      <c r="B910" t="n">
        <v>1282949.63</v>
      </c>
      <c r="C910" t="n">
        <v>209275.27</v>
      </c>
      <c r="D910" t="n">
        <v>-4374.63</v>
      </c>
      <c r="E910">
        <f>D910/MAX($B$2:B910,100000)</f>
        <v/>
      </c>
      <c r="H910" s="2" t="n"/>
      <c r="I910" s="2" t="n"/>
    </row>
    <row r="911">
      <c r="A911" s="2" t="n">
        <v>42895</v>
      </c>
      <c r="B911" t="n">
        <v>1265367.25</v>
      </c>
      <c r="C911" t="n">
        <v>209275.27</v>
      </c>
      <c r="D911" t="n">
        <v>-21957</v>
      </c>
      <c r="E911">
        <f>D911/MAX($B$2:B911,100000)</f>
        <v/>
      </c>
      <c r="H911" s="2" t="n"/>
      <c r="I911" s="2" t="n"/>
    </row>
    <row r="912">
      <c r="A912" s="2" t="n">
        <v>42902</v>
      </c>
      <c r="B912" t="n">
        <v>1289128.63</v>
      </c>
      <c r="C912" t="n">
        <v>209275.27</v>
      </c>
      <c r="D912" t="n">
        <v>0</v>
      </c>
      <c r="E912">
        <f>D912/MAX($B$2:B912,100000)</f>
        <v/>
      </c>
      <c r="H912" s="2" t="n"/>
      <c r="I912" s="2" t="n"/>
    </row>
    <row r="913">
      <c r="A913" s="2" t="n">
        <v>42909</v>
      </c>
      <c r="B913" t="n">
        <v>1295460.88</v>
      </c>
      <c r="C913" t="n">
        <v>209275.27</v>
      </c>
      <c r="D913" t="n">
        <v>0</v>
      </c>
      <c r="E913">
        <f>D913/MAX($B$2:B913,100000)</f>
        <v/>
      </c>
      <c r="H913" s="2" t="n"/>
      <c r="I913" s="2" t="n"/>
    </row>
    <row r="914">
      <c r="A914" s="2" t="n">
        <v>42916</v>
      </c>
      <c r="B914" t="n">
        <v>1291432</v>
      </c>
      <c r="C914" t="n">
        <v>278970.28</v>
      </c>
      <c r="D914" t="n">
        <v>-4028.88</v>
      </c>
      <c r="E914">
        <f>D914/MAX($B$2:B914,100000)</f>
        <v/>
      </c>
      <c r="H914" s="2" t="n"/>
      <c r="I914" s="2" t="n"/>
    </row>
    <row r="915">
      <c r="A915" s="2" t="n">
        <v>42923</v>
      </c>
      <c r="B915" t="n">
        <v>1286402.13</v>
      </c>
      <c r="C915" t="n">
        <v>278970.28</v>
      </c>
      <c r="D915" t="n">
        <v>-9058.75</v>
      </c>
      <c r="E915">
        <f>D915/MAX($B$2:B915,100000)</f>
        <v/>
      </c>
      <c r="H915" s="2" t="n"/>
      <c r="I915" s="2" t="n"/>
    </row>
    <row r="916">
      <c r="A916" s="2" t="n">
        <v>42930</v>
      </c>
      <c r="B916" t="n">
        <v>1297005.25</v>
      </c>
      <c r="C916" t="n">
        <v>278970.28</v>
      </c>
      <c r="D916" t="n">
        <v>0</v>
      </c>
      <c r="E916">
        <f>D916/MAX($B$2:B916,100000)</f>
        <v/>
      </c>
      <c r="H916" s="2" t="n"/>
      <c r="I916" s="2" t="n"/>
    </row>
    <row r="917">
      <c r="A917" s="2" t="n">
        <v>42937</v>
      </c>
      <c r="B917" t="n">
        <v>1275398.38</v>
      </c>
      <c r="C917" t="n">
        <v>278970.28</v>
      </c>
      <c r="D917" t="n">
        <v>-21606.88</v>
      </c>
      <c r="E917">
        <f>D917/MAX($B$2:B917,100000)</f>
        <v/>
      </c>
      <c r="H917" s="2" t="n"/>
      <c r="I917" s="2" t="n"/>
    </row>
    <row r="918">
      <c r="A918" s="2" t="n">
        <v>42944</v>
      </c>
      <c r="B918" t="n">
        <v>1271268.75</v>
      </c>
      <c r="C918" t="n">
        <v>278970.28</v>
      </c>
      <c r="D918" t="n">
        <v>-25736.5</v>
      </c>
      <c r="E918">
        <f>D918/MAX($B$2:B918,100000)</f>
        <v/>
      </c>
      <c r="H918" s="2" t="n"/>
      <c r="I918" s="2" t="n"/>
    </row>
    <row r="919">
      <c r="A919" s="2" t="n">
        <v>42951</v>
      </c>
      <c r="B919" t="n">
        <v>1290121</v>
      </c>
      <c r="C919" t="n">
        <v>278970.28</v>
      </c>
      <c r="D919" t="n">
        <v>-6884.25</v>
      </c>
      <c r="E919">
        <f>D919/MAX($B$2:B919,100000)</f>
        <v/>
      </c>
      <c r="H919" s="2" t="n"/>
      <c r="I919" s="2" t="n"/>
    </row>
    <row r="920">
      <c r="A920" s="2" t="n">
        <v>42958</v>
      </c>
      <c r="B920" t="n">
        <v>1299671.38</v>
      </c>
      <c r="C920" t="n">
        <v>278970.28</v>
      </c>
      <c r="D920" t="n">
        <v>0</v>
      </c>
      <c r="E920">
        <f>D920/MAX($B$2:B920,100000)</f>
        <v/>
      </c>
      <c r="H920" s="2" t="n"/>
      <c r="I920" s="2" t="n"/>
    </row>
    <row r="921">
      <c r="A921" s="2" t="n">
        <v>42965</v>
      </c>
      <c r="B921" t="n">
        <v>1322875.13</v>
      </c>
      <c r="C921" t="n">
        <v>278970.28</v>
      </c>
      <c r="D921" t="n">
        <v>0</v>
      </c>
      <c r="E921">
        <f>D921/MAX($B$2:B921,100000)</f>
        <v/>
      </c>
      <c r="H921" s="2" t="n"/>
      <c r="I921" s="2" t="n"/>
    </row>
    <row r="922">
      <c r="A922" s="2" t="n">
        <v>42972</v>
      </c>
      <c r="B922" t="n">
        <v>1337049</v>
      </c>
      <c r="C922" t="n">
        <v>197281.61</v>
      </c>
      <c r="D922" t="n">
        <v>0</v>
      </c>
      <c r="E922">
        <f>D922/MAX($B$2:B922,100000)</f>
        <v/>
      </c>
      <c r="H922" s="2" t="n"/>
      <c r="I922" s="2" t="n"/>
    </row>
    <row r="923">
      <c r="A923" s="2" t="n">
        <v>42979</v>
      </c>
      <c r="B923" t="n">
        <v>1343066.25</v>
      </c>
      <c r="C923" t="n">
        <v>29780.66</v>
      </c>
      <c r="D923" t="n">
        <v>0</v>
      </c>
      <c r="E923">
        <f>D923/MAX($B$2:B923,100000)</f>
        <v/>
      </c>
      <c r="H923" s="2" t="n"/>
      <c r="I923" s="2" t="n"/>
    </row>
    <row r="924">
      <c r="A924" s="2" t="n">
        <v>42986</v>
      </c>
      <c r="B924" t="n">
        <v>1354051.25</v>
      </c>
      <c r="C924" t="n">
        <v>29780.66</v>
      </c>
      <c r="D924" t="n">
        <v>0</v>
      </c>
      <c r="E924">
        <f>D924/MAX($B$2:B924,100000)</f>
        <v/>
      </c>
      <c r="H924" s="2" t="n"/>
      <c r="I924" s="2" t="n"/>
    </row>
    <row r="925">
      <c r="A925" s="2" t="n">
        <v>42993</v>
      </c>
      <c r="B925" t="n">
        <v>1349341.88</v>
      </c>
      <c r="C925" t="n">
        <v>115171.99</v>
      </c>
      <c r="D925" t="n">
        <v>-4709.38</v>
      </c>
      <c r="E925">
        <f>D925/MAX($B$2:B925,100000)</f>
        <v/>
      </c>
      <c r="H925" s="2" t="n"/>
      <c r="I925" s="2" t="n"/>
    </row>
    <row r="926">
      <c r="A926" s="2" t="n">
        <v>43000</v>
      </c>
      <c r="B926" t="n">
        <v>1358298.38</v>
      </c>
      <c r="C926" t="n">
        <v>115171.99</v>
      </c>
      <c r="D926" t="n">
        <v>0</v>
      </c>
      <c r="E926">
        <f>D926/MAX($B$2:B926,100000)</f>
        <v/>
      </c>
      <c r="H926" s="2" t="n"/>
      <c r="I926" s="2" t="n"/>
    </row>
    <row r="927">
      <c r="A927" s="2" t="n">
        <v>43007</v>
      </c>
      <c r="B927" t="n">
        <v>1362944.88</v>
      </c>
      <c r="C927" t="n">
        <v>115171.99</v>
      </c>
      <c r="D927" t="n">
        <v>0</v>
      </c>
      <c r="E927">
        <f>D927/MAX($B$2:B927,100000)</f>
        <v/>
      </c>
      <c r="H927" s="2" t="n"/>
      <c r="I927" s="2" t="n"/>
    </row>
    <row r="928">
      <c r="A928" s="2" t="n">
        <v>43014</v>
      </c>
      <c r="B928" t="n">
        <v>1409699.13</v>
      </c>
      <c r="C928" t="n">
        <v>115171.99</v>
      </c>
      <c r="D928" t="n">
        <v>0</v>
      </c>
      <c r="E928">
        <f>D928/MAX($B$2:B928,100000)</f>
        <v/>
      </c>
      <c r="H928" s="2" t="n"/>
      <c r="I928" s="2" t="n"/>
    </row>
    <row r="929">
      <c r="A929" s="2" t="n">
        <v>43021</v>
      </c>
      <c r="B929" t="n">
        <v>1451806.38</v>
      </c>
      <c r="C929" t="n">
        <v>186639.05</v>
      </c>
      <c r="D929" t="n">
        <v>0</v>
      </c>
      <c r="E929">
        <f>D929/MAX($B$2:B929,100000)</f>
        <v/>
      </c>
      <c r="H929" s="2" t="n"/>
      <c r="I929" s="2" t="n"/>
    </row>
    <row r="930">
      <c r="A930" s="2" t="n">
        <v>43028</v>
      </c>
      <c r="B930" t="n">
        <v>1484859.5</v>
      </c>
      <c r="C930" t="n">
        <v>4174.71</v>
      </c>
      <c r="D930" t="n">
        <v>0</v>
      </c>
      <c r="E930">
        <f>D930/MAX($B$2:B930,100000)</f>
        <v/>
      </c>
      <c r="H930" s="2" t="n"/>
      <c r="I930" s="2" t="n"/>
    </row>
    <row r="931">
      <c r="A931" s="2" t="n">
        <v>43035</v>
      </c>
      <c r="B931" t="n">
        <v>1500446.25</v>
      </c>
      <c r="C931" t="n">
        <v>4174.71</v>
      </c>
      <c r="D931" t="n">
        <v>0</v>
      </c>
      <c r="E931">
        <f>D931/MAX($B$2:B931,100000)</f>
        <v/>
      </c>
      <c r="H931" s="2" t="n"/>
      <c r="I931" s="2" t="n"/>
    </row>
    <row r="932">
      <c r="A932" s="2" t="n">
        <v>43042</v>
      </c>
      <c r="B932" t="n">
        <v>1506451.38</v>
      </c>
      <c r="C932" t="n">
        <v>4174.71</v>
      </c>
      <c r="D932" t="n">
        <v>0</v>
      </c>
      <c r="E932">
        <f>D932/MAX($B$2:B932,100000)</f>
        <v/>
      </c>
      <c r="H932" s="2" t="n"/>
      <c r="I932" s="2" t="n"/>
    </row>
    <row r="933">
      <c r="A933" s="2" t="n">
        <v>43049</v>
      </c>
      <c r="B933" t="n">
        <v>1498810.25</v>
      </c>
      <c r="C933" t="n">
        <v>4174.71</v>
      </c>
      <c r="D933" t="n">
        <v>-7641.13</v>
      </c>
      <c r="E933">
        <f>D933/MAX($B$2:B933,100000)</f>
        <v/>
      </c>
      <c r="H933" s="2" t="n"/>
      <c r="I933" s="2" t="n"/>
    </row>
    <row r="934">
      <c r="A934" s="2" t="n">
        <v>43056</v>
      </c>
      <c r="B934" t="n">
        <v>1505987.5</v>
      </c>
      <c r="C934" t="n">
        <v>4174.71</v>
      </c>
      <c r="D934" t="n">
        <v>-463.88</v>
      </c>
      <c r="E934">
        <f>D934/MAX($B$2:B934,100000)</f>
        <v/>
      </c>
      <c r="H934" s="2" t="n"/>
      <c r="I934" s="2" t="n"/>
    </row>
    <row r="935">
      <c r="A935" s="2" t="n">
        <v>43063</v>
      </c>
      <c r="B935" t="n">
        <v>1527987.75</v>
      </c>
      <c r="C935" t="n">
        <v>4174.71</v>
      </c>
      <c r="D935" t="n">
        <v>0</v>
      </c>
      <c r="E935">
        <f>D935/MAX($B$2:B935,100000)</f>
        <v/>
      </c>
      <c r="H935" s="2" t="n"/>
      <c r="I935" s="2" t="n"/>
    </row>
    <row r="936">
      <c r="A936" s="2" t="n">
        <v>43070</v>
      </c>
      <c r="B936" t="n">
        <v>1535437.63</v>
      </c>
      <c r="C936" t="n">
        <v>4174.71</v>
      </c>
      <c r="D936" t="n">
        <v>0</v>
      </c>
      <c r="E936">
        <f>D936/MAX($B$2:B936,100000)</f>
        <v/>
      </c>
      <c r="H936" s="2" t="n"/>
      <c r="I936" s="2" t="n"/>
    </row>
    <row r="937">
      <c r="A937" s="2" t="n">
        <v>43077</v>
      </c>
      <c r="B937" t="n">
        <v>1508500.38</v>
      </c>
      <c r="C937" t="n">
        <v>4174.71</v>
      </c>
      <c r="D937" t="n">
        <v>-26937.25</v>
      </c>
      <c r="E937">
        <f>D937/MAX($B$2:B937,100000)</f>
        <v/>
      </c>
      <c r="H937" s="2" t="n"/>
      <c r="I937" s="2" t="n"/>
    </row>
    <row r="938">
      <c r="A938" s="2" t="n">
        <v>43084</v>
      </c>
      <c r="B938" t="n">
        <v>1512297.88</v>
      </c>
      <c r="C938" t="n">
        <v>4174.71</v>
      </c>
      <c r="D938" t="n">
        <v>-23139.75</v>
      </c>
      <c r="E938">
        <f>D938/MAX($B$2:B938,100000)</f>
        <v/>
      </c>
      <c r="H938" s="2" t="n"/>
      <c r="I938" s="2" t="n"/>
    </row>
    <row r="939">
      <c r="A939" s="2" t="n">
        <v>43091</v>
      </c>
      <c r="B939" t="n">
        <v>1553533.13</v>
      </c>
      <c r="C939" t="n">
        <v>4174.71</v>
      </c>
      <c r="D939" t="n">
        <v>0</v>
      </c>
      <c r="E939">
        <f>D939/MAX($B$2:B939,100000)</f>
        <v/>
      </c>
      <c r="H939" s="2" t="n"/>
      <c r="I939" s="2" t="n"/>
    </row>
    <row r="940">
      <c r="A940" s="2" t="n">
        <v>43098</v>
      </c>
      <c r="B940" t="n">
        <v>1545125.75</v>
      </c>
      <c r="C940" t="n">
        <v>4174.71</v>
      </c>
      <c r="D940" t="n">
        <v>-8407.379999999999</v>
      </c>
      <c r="E940">
        <f>D940/MAX($B$2:B940,100000)</f>
        <v/>
      </c>
      <c r="H940" s="2" t="n"/>
      <c r="I940" s="2" t="n"/>
    </row>
    <row r="941">
      <c r="A941" s="2" t="n">
        <v>43105</v>
      </c>
      <c r="B941" t="n">
        <v>1564296.75</v>
      </c>
      <c r="C941" t="n">
        <v>4174.71</v>
      </c>
      <c r="D941" t="n">
        <v>0</v>
      </c>
      <c r="E941">
        <f>D941/MAX($B$2:B941,100000)</f>
        <v/>
      </c>
      <c r="H941" s="2" t="n"/>
      <c r="I941" s="2" t="n"/>
    </row>
    <row r="942">
      <c r="A942" s="2" t="n">
        <v>43112</v>
      </c>
      <c r="B942" t="n">
        <v>1537695.38</v>
      </c>
      <c r="C942" t="n">
        <v>4174.71</v>
      </c>
      <c r="D942" t="n">
        <v>-26601.38</v>
      </c>
      <c r="E942">
        <f>D942/MAX($B$2:B942,100000)</f>
        <v/>
      </c>
      <c r="H942" s="2" t="n"/>
      <c r="I942" s="2" t="n"/>
    </row>
    <row r="943">
      <c r="A943" s="2" t="n">
        <v>43119</v>
      </c>
      <c r="B943" t="n">
        <v>1533468.25</v>
      </c>
      <c r="C943" t="n">
        <v>74160</v>
      </c>
      <c r="D943" t="n">
        <v>-30828.5</v>
      </c>
      <c r="E943">
        <f>D943/MAX($B$2:B943,100000)</f>
        <v/>
      </c>
      <c r="H943" s="2" t="n"/>
      <c r="I943" s="2" t="n"/>
    </row>
    <row r="944">
      <c r="A944" s="2" t="n">
        <v>43125</v>
      </c>
      <c r="B944" t="n">
        <v>1575522.5</v>
      </c>
      <c r="C944" t="n">
        <v>74160</v>
      </c>
      <c r="D944" t="n">
        <v>0</v>
      </c>
      <c r="E944">
        <f>D944/MAX($B$2:B944,100000)</f>
        <v/>
      </c>
      <c r="H944" s="2" t="n"/>
      <c r="I944" s="2" t="n"/>
    </row>
    <row r="945">
      <c r="A945" s="2" t="n">
        <v>43133</v>
      </c>
      <c r="B945" t="n">
        <v>1580499.13</v>
      </c>
      <c r="C945" t="n">
        <v>74160</v>
      </c>
      <c r="D945" t="n">
        <v>0</v>
      </c>
      <c r="E945">
        <f>D945/MAX($B$2:B945,100000)</f>
        <v/>
      </c>
      <c r="H945" s="2" t="n"/>
      <c r="I945" s="2" t="n"/>
    </row>
    <row r="946">
      <c r="A946" s="2" t="n">
        <v>43140</v>
      </c>
      <c r="B946" t="n">
        <v>1508738.88</v>
      </c>
      <c r="C946" t="n">
        <v>74160</v>
      </c>
      <c r="D946" t="n">
        <v>-71760.25</v>
      </c>
      <c r="E946">
        <f>D946/MAX($B$2:B946,100000)</f>
        <v/>
      </c>
      <c r="H946" s="2" t="n"/>
      <c r="I946" s="2" t="n"/>
    </row>
    <row r="947">
      <c r="A947" s="2" t="n">
        <v>43147</v>
      </c>
      <c r="B947" t="n">
        <v>1534272.63</v>
      </c>
      <c r="C947" t="n">
        <v>74160</v>
      </c>
      <c r="D947" t="n">
        <v>-46226.5</v>
      </c>
      <c r="E947">
        <f>D947/MAX($B$2:B947,100000)</f>
        <v/>
      </c>
      <c r="H947" s="2" t="n"/>
      <c r="I947" s="2" t="n"/>
    </row>
    <row r="948">
      <c r="A948" s="2" t="n">
        <v>43154</v>
      </c>
      <c r="B948" t="n">
        <v>1637252.63</v>
      </c>
      <c r="C948" t="n">
        <v>456944.88</v>
      </c>
      <c r="D948" t="n">
        <v>0</v>
      </c>
      <c r="E948">
        <f>D948/MAX($B$2:B948,100000)</f>
        <v/>
      </c>
      <c r="H948" s="2" t="n"/>
      <c r="I948" s="2" t="n"/>
    </row>
    <row r="949">
      <c r="A949" s="2" t="n">
        <v>43161</v>
      </c>
      <c r="B949" t="n">
        <v>1624373.38</v>
      </c>
      <c r="C949" t="n">
        <v>535899.75</v>
      </c>
      <c r="D949" t="n">
        <v>-12879.25</v>
      </c>
      <c r="E949">
        <f>D949/MAX($B$2:B949,100000)</f>
        <v/>
      </c>
      <c r="H949" s="2" t="n"/>
      <c r="I949" s="2" t="n"/>
    </row>
    <row r="950">
      <c r="A950" s="2" t="n">
        <v>43168</v>
      </c>
      <c r="B950" t="n">
        <v>1640983</v>
      </c>
      <c r="C950" t="n">
        <v>913204.6899999999</v>
      </c>
      <c r="D950" t="n">
        <v>0</v>
      </c>
      <c r="E950">
        <f>D950/MAX($B$2:B950,100000)</f>
        <v/>
      </c>
      <c r="H950" s="2" t="n"/>
      <c r="I950" s="2" t="n"/>
    </row>
    <row r="951">
      <c r="A951" s="2" t="n">
        <v>43175</v>
      </c>
      <c r="B951" t="n">
        <v>1633179.75</v>
      </c>
      <c r="C951" t="n">
        <v>1014160.69</v>
      </c>
      <c r="D951" t="n">
        <v>-7803.25</v>
      </c>
      <c r="E951">
        <f>D951/MAX($B$2:B951,100000)</f>
        <v/>
      </c>
      <c r="H951" s="2" t="n"/>
      <c r="I951" s="2" t="n"/>
    </row>
    <row r="952">
      <c r="A952" s="2" t="n">
        <v>43182</v>
      </c>
      <c r="B952" t="n">
        <v>1644140</v>
      </c>
      <c r="C952" t="n">
        <v>1014160.69</v>
      </c>
      <c r="D952" t="n">
        <v>0</v>
      </c>
      <c r="E952">
        <f>D952/MAX($B$2:B952,100000)</f>
        <v/>
      </c>
      <c r="H952" s="2" t="n"/>
      <c r="I952" s="2" t="n"/>
    </row>
    <row r="953">
      <c r="A953" s="2" t="n">
        <v>43188</v>
      </c>
      <c r="B953" t="n">
        <v>1629052.88</v>
      </c>
      <c r="C953" t="n">
        <v>1014160.69</v>
      </c>
      <c r="D953" t="n">
        <v>-15087.13</v>
      </c>
      <c r="E953">
        <f>D953/MAX($B$2:B953,100000)</f>
        <v/>
      </c>
      <c r="H953" s="2" t="n"/>
      <c r="I953" s="2" t="n"/>
    </row>
    <row r="954">
      <c r="A954" s="2" t="n">
        <v>43196</v>
      </c>
      <c r="B954" t="n">
        <v>1634818</v>
      </c>
      <c r="C954" t="n">
        <v>1014160.69</v>
      </c>
      <c r="D954" t="n">
        <v>-9322</v>
      </c>
      <c r="E954">
        <f>D954/MAX($B$2:B954,100000)</f>
        <v/>
      </c>
      <c r="H954" s="2" t="n"/>
      <c r="I954" s="2" t="n"/>
    </row>
    <row r="955">
      <c r="A955" s="2" t="n">
        <v>43203</v>
      </c>
      <c r="B955" t="n">
        <v>1645433.63</v>
      </c>
      <c r="C955" t="n">
        <v>1014160.69</v>
      </c>
      <c r="D955" t="n">
        <v>0</v>
      </c>
      <c r="E955">
        <f>D955/MAX($B$2:B955,100000)</f>
        <v/>
      </c>
      <c r="H955" s="2" t="n"/>
      <c r="I955" s="2" t="n"/>
    </row>
    <row r="956">
      <c r="A956" s="2" t="n">
        <v>43210</v>
      </c>
      <c r="B956" t="n">
        <v>1657419.88</v>
      </c>
      <c r="C956" t="n">
        <v>1014160.69</v>
      </c>
      <c r="D956" t="n">
        <v>0</v>
      </c>
      <c r="E956">
        <f>D956/MAX($B$2:B956,100000)</f>
        <v/>
      </c>
      <c r="H956" s="2" t="n"/>
      <c r="I956" s="2" t="n"/>
    </row>
    <row r="957">
      <c r="A957" s="2" t="n">
        <v>43217</v>
      </c>
      <c r="B957" t="n">
        <v>1670138.75</v>
      </c>
      <c r="C957" t="n">
        <v>1014160.69</v>
      </c>
      <c r="D957" t="n">
        <v>0</v>
      </c>
      <c r="E957">
        <f>D957/MAX($B$2:B957,100000)</f>
        <v/>
      </c>
      <c r="H957" s="2" t="n"/>
      <c r="I957" s="2" t="n"/>
    </row>
    <row r="958">
      <c r="A958" s="2" t="n">
        <v>43224</v>
      </c>
      <c r="B958" t="n">
        <v>1690664.13</v>
      </c>
      <c r="C958" t="n">
        <v>72607.25999999999</v>
      </c>
      <c r="D958" t="n">
        <v>0</v>
      </c>
      <c r="E958">
        <f>D958/MAX($B$2:B958,100000)</f>
        <v/>
      </c>
      <c r="H958" s="2" t="n"/>
      <c r="I958" s="2" t="n"/>
    </row>
    <row r="959">
      <c r="A959" s="2" t="n">
        <v>43231</v>
      </c>
      <c r="B959" t="n">
        <v>1678575.13</v>
      </c>
      <c r="C959" t="n">
        <v>72607.25999999999</v>
      </c>
      <c r="D959" t="n">
        <v>-12089</v>
      </c>
      <c r="E959">
        <f>D959/MAX($B$2:B959,100000)</f>
        <v/>
      </c>
      <c r="H959" s="2" t="n"/>
      <c r="I959" s="2" t="n"/>
    </row>
    <row r="960">
      <c r="A960" s="2" t="n">
        <v>43238</v>
      </c>
      <c r="B960" t="n">
        <v>1652109.63</v>
      </c>
      <c r="C960" t="n">
        <v>72607.25999999999</v>
      </c>
      <c r="D960" t="n">
        <v>-38554.5</v>
      </c>
      <c r="E960">
        <f>D960/MAX($B$2:B960,100000)</f>
        <v/>
      </c>
      <c r="H960" s="2" t="n"/>
      <c r="I960" s="2" t="n"/>
    </row>
    <row r="961">
      <c r="A961" s="2" t="n">
        <v>43245</v>
      </c>
      <c r="B961" t="n">
        <v>1625088</v>
      </c>
      <c r="C961" t="n">
        <v>72607.25999999999</v>
      </c>
      <c r="D961" t="n">
        <v>-65576.13</v>
      </c>
      <c r="E961">
        <f>D961/MAX($B$2:B961,100000)</f>
        <v/>
      </c>
      <c r="H961" s="2" t="n"/>
      <c r="I961" s="2" t="n"/>
    </row>
    <row r="962">
      <c r="A962" s="2" t="n">
        <v>43252</v>
      </c>
      <c r="B962" t="n">
        <v>1678902.5</v>
      </c>
      <c r="C962" t="n">
        <v>44185.64</v>
      </c>
      <c r="D962" t="n">
        <v>-11761.63</v>
      </c>
      <c r="E962">
        <f>D962/MAX($B$2:B962,100000)</f>
        <v/>
      </c>
      <c r="H962" s="2" t="n"/>
      <c r="I962" s="2" t="n"/>
    </row>
    <row r="963">
      <c r="A963" s="2" t="n">
        <v>43259</v>
      </c>
      <c r="B963" t="n">
        <v>1687870.63</v>
      </c>
      <c r="C963" t="n">
        <v>44185.64</v>
      </c>
      <c r="D963" t="n">
        <v>-2793.5</v>
      </c>
      <c r="E963">
        <f>D963/MAX($B$2:B963,100000)</f>
        <v/>
      </c>
      <c r="H963" s="2" t="n"/>
      <c r="I963" s="2" t="n"/>
    </row>
    <row r="964">
      <c r="A964" s="2" t="n">
        <v>43266</v>
      </c>
      <c r="B964" t="n">
        <v>1718556.63</v>
      </c>
      <c r="C964" t="n">
        <v>44185.64</v>
      </c>
      <c r="D964" t="n">
        <v>0</v>
      </c>
      <c r="E964">
        <f>D964/MAX($B$2:B964,100000)</f>
        <v/>
      </c>
      <c r="H964" s="2" t="n"/>
      <c r="I964" s="2" t="n"/>
    </row>
    <row r="965">
      <c r="A965" s="2" t="n">
        <v>43273</v>
      </c>
      <c r="B965" t="n">
        <v>1744853.63</v>
      </c>
      <c r="C965" t="n">
        <v>44185.64</v>
      </c>
      <c r="D965" t="n">
        <v>0</v>
      </c>
      <c r="E965">
        <f>D965/MAX($B$2:B965,100000)</f>
        <v/>
      </c>
      <c r="H965" s="2" t="n"/>
      <c r="I965" s="2" t="n"/>
    </row>
    <row r="966">
      <c r="A966" s="2" t="n">
        <v>43280</v>
      </c>
      <c r="B966" t="n">
        <v>1740004.5</v>
      </c>
      <c r="C966" t="n">
        <v>44185.64</v>
      </c>
      <c r="D966" t="n">
        <v>-4849.13</v>
      </c>
      <c r="E966">
        <f>D966/MAX($B$2:B966,100000)</f>
        <v/>
      </c>
      <c r="H966" s="2" t="n"/>
      <c r="I966" s="2" t="n"/>
    </row>
    <row r="967">
      <c r="A967" s="2" t="n">
        <v>43287</v>
      </c>
      <c r="B967" t="n">
        <v>1761903.38</v>
      </c>
      <c r="C967" t="n">
        <v>44185.64</v>
      </c>
      <c r="D967" t="n">
        <v>0</v>
      </c>
      <c r="E967">
        <f>D967/MAX($B$2:B967,100000)</f>
        <v/>
      </c>
      <c r="H967" s="2" t="n"/>
      <c r="I967" s="2" t="n"/>
    </row>
    <row r="968">
      <c r="A968" s="2" t="n">
        <v>43294</v>
      </c>
      <c r="B968" t="n">
        <v>1750480.25</v>
      </c>
      <c r="C968" t="n">
        <v>44185.64</v>
      </c>
      <c r="D968" t="n">
        <v>-11423.13</v>
      </c>
      <c r="E968">
        <f>D968/MAX($B$2:B968,100000)</f>
        <v/>
      </c>
      <c r="H968" s="2" t="n"/>
      <c r="I968" s="2" t="n"/>
    </row>
    <row r="969">
      <c r="A969" s="2" t="n">
        <v>43301</v>
      </c>
      <c r="B969" t="n">
        <v>1767428.88</v>
      </c>
      <c r="C969" t="n">
        <v>44185.64</v>
      </c>
      <c r="D969" t="n">
        <v>0</v>
      </c>
      <c r="E969">
        <f>D969/MAX($B$2:B969,100000)</f>
        <v/>
      </c>
      <c r="H969" s="2" t="n"/>
      <c r="I969" s="2" t="n"/>
    </row>
    <row r="970">
      <c r="A970" s="2" t="n">
        <v>43308</v>
      </c>
      <c r="B970" t="n">
        <v>1765299</v>
      </c>
      <c r="C970" t="n">
        <v>44185.64</v>
      </c>
      <c r="D970" t="n">
        <v>-2129.88</v>
      </c>
      <c r="E970">
        <f>D970/MAX($B$2:B970,100000)</f>
        <v/>
      </c>
      <c r="H970" s="2" t="n"/>
      <c r="I970" s="2" t="n"/>
    </row>
    <row r="971">
      <c r="A971" s="2" t="n">
        <v>43315</v>
      </c>
      <c r="B971" t="n">
        <v>1771811</v>
      </c>
      <c r="C971" t="n">
        <v>16228.38</v>
      </c>
      <c r="D971" t="n">
        <v>0</v>
      </c>
      <c r="E971">
        <f>D971/MAX($B$2:B971,100000)</f>
        <v/>
      </c>
      <c r="H971" s="2" t="n"/>
      <c r="I971" s="2" t="n"/>
    </row>
    <row r="972">
      <c r="A972" s="2" t="n">
        <v>43322</v>
      </c>
      <c r="B972" t="n">
        <v>1772285.5</v>
      </c>
      <c r="C972" t="n">
        <v>16228.38</v>
      </c>
      <c r="D972" t="n">
        <v>0</v>
      </c>
      <c r="E972">
        <f>D972/MAX($B$2:B972,100000)</f>
        <v/>
      </c>
      <c r="H972" s="2" t="n"/>
      <c r="I972" s="2" t="n"/>
    </row>
    <row r="973">
      <c r="A973" s="2" t="n">
        <v>43329</v>
      </c>
      <c r="B973" t="n">
        <v>1789627.13</v>
      </c>
      <c r="C973" t="n">
        <v>16228.38</v>
      </c>
      <c r="D973" t="n">
        <v>0</v>
      </c>
      <c r="E973">
        <f>D973/MAX($B$2:B973,100000)</f>
        <v/>
      </c>
      <c r="H973" s="2" t="n"/>
      <c r="I973" s="2" t="n"/>
    </row>
    <row r="974">
      <c r="A974" s="2" t="n">
        <v>43336</v>
      </c>
      <c r="B974" t="n">
        <v>1830877.38</v>
      </c>
      <c r="C974" t="n">
        <v>106922.6</v>
      </c>
      <c r="D974" t="n">
        <v>0</v>
      </c>
      <c r="E974">
        <f>D974/MAX($B$2:B974,100000)</f>
        <v/>
      </c>
      <c r="H974" s="2" t="n"/>
      <c r="I974" s="2" t="n"/>
    </row>
    <row r="975">
      <c r="A975" s="2" t="n">
        <v>43343</v>
      </c>
      <c r="B975" t="n">
        <v>1848116</v>
      </c>
      <c r="C975" t="n">
        <v>106922.6</v>
      </c>
      <c r="D975" t="n">
        <v>0</v>
      </c>
      <c r="E975">
        <f>D975/MAX($B$2:B975,100000)</f>
        <v/>
      </c>
      <c r="H975" s="2" t="n"/>
      <c r="I975" s="2" t="n"/>
    </row>
    <row r="976">
      <c r="A976" s="2" t="n">
        <v>43350</v>
      </c>
      <c r="B976" t="n">
        <v>1793803.63</v>
      </c>
      <c r="C976" t="n">
        <v>106922.6</v>
      </c>
      <c r="D976" t="n">
        <v>-54312.38</v>
      </c>
      <c r="E976">
        <f>D976/MAX($B$2:B976,100000)</f>
        <v/>
      </c>
      <c r="H976" s="2" t="n"/>
      <c r="I976" s="2" t="n"/>
    </row>
    <row r="977">
      <c r="A977" s="2" t="n">
        <v>43357</v>
      </c>
      <c r="B977" t="n">
        <v>1815085.88</v>
      </c>
      <c r="C977" t="n">
        <v>106922.6</v>
      </c>
      <c r="D977" t="n">
        <v>-33030.13</v>
      </c>
      <c r="E977">
        <f>D977/MAX($B$2:B977,100000)</f>
        <v/>
      </c>
      <c r="H977" s="2" t="n"/>
      <c r="I977" s="2" t="n"/>
    </row>
    <row r="978">
      <c r="A978" s="2" t="n">
        <v>43364</v>
      </c>
      <c r="B978" t="n">
        <v>1811945.75</v>
      </c>
      <c r="C978" t="n">
        <v>355872.22</v>
      </c>
      <c r="D978" t="n">
        <v>-36170.25</v>
      </c>
      <c r="E978">
        <f>D978/MAX($B$2:B978,100000)</f>
        <v/>
      </c>
      <c r="H978" s="2" t="n"/>
      <c r="I978" s="2" t="n"/>
    </row>
    <row r="979">
      <c r="A979" s="2" t="n">
        <v>43371</v>
      </c>
      <c r="B979" t="n">
        <v>1844938.75</v>
      </c>
      <c r="C979" t="n">
        <v>355872.22</v>
      </c>
      <c r="D979" t="n">
        <v>-3177.25</v>
      </c>
      <c r="E979">
        <f>D979/MAX($B$2:B979,100000)</f>
        <v/>
      </c>
      <c r="H979" s="2" t="n"/>
      <c r="I979" s="2" t="n"/>
    </row>
    <row r="980">
      <c r="A980" s="2" t="n">
        <v>43378</v>
      </c>
      <c r="B980" t="n">
        <v>1869522.88</v>
      </c>
      <c r="C980" t="n">
        <v>355872.22</v>
      </c>
      <c r="D980" t="n">
        <v>0</v>
      </c>
      <c r="E980">
        <f>D980/MAX($B$2:B980,100000)</f>
        <v/>
      </c>
      <c r="H980" s="2" t="n"/>
      <c r="I980" s="2" t="n"/>
    </row>
    <row r="981">
      <c r="A981" s="2" t="n">
        <v>43385</v>
      </c>
      <c r="B981" t="n">
        <v>1774054.25</v>
      </c>
      <c r="C981" t="n">
        <v>355872.22</v>
      </c>
      <c r="D981" t="n">
        <v>-95468.63</v>
      </c>
      <c r="E981">
        <f>D981/MAX($B$2:B981,100000)</f>
        <v/>
      </c>
      <c r="H981" s="2" t="n"/>
      <c r="I981" s="2" t="n"/>
    </row>
    <row r="982">
      <c r="A982" s="2" t="n">
        <v>43392</v>
      </c>
      <c r="B982" t="n">
        <v>1812165.5</v>
      </c>
      <c r="C982" t="n">
        <v>355872.22</v>
      </c>
      <c r="D982" t="n">
        <v>-57357.38</v>
      </c>
      <c r="E982">
        <f>D982/MAX($B$2:B982,100000)</f>
        <v/>
      </c>
      <c r="H982" s="2" t="n"/>
      <c r="I982" s="2" t="n"/>
    </row>
    <row r="983">
      <c r="A983" s="2" t="n">
        <v>43399</v>
      </c>
      <c r="B983" t="n">
        <v>1731653.5</v>
      </c>
      <c r="C983" t="n">
        <v>733163.6899999999</v>
      </c>
      <c r="D983" t="n">
        <v>-137869.38</v>
      </c>
      <c r="E983">
        <f>D983/MAX($B$2:B983,100000)</f>
        <v/>
      </c>
      <c r="H983" s="2" t="n"/>
      <c r="I983" s="2" t="n"/>
    </row>
    <row r="984">
      <c r="A984" s="2" t="n">
        <v>43406</v>
      </c>
      <c r="B984" t="n">
        <v>1736407.88</v>
      </c>
      <c r="C984" t="n">
        <v>733163.6899999999</v>
      </c>
      <c r="D984" t="n">
        <v>-133115</v>
      </c>
      <c r="E984">
        <f>D984/MAX($B$2:B984,100000)</f>
        <v/>
      </c>
      <c r="H984" s="2" t="n"/>
      <c r="I984" s="2" t="n"/>
    </row>
    <row r="985">
      <c r="A985" s="2" t="n">
        <v>43413</v>
      </c>
      <c r="B985" t="n">
        <v>1744439.13</v>
      </c>
      <c r="C985" t="n">
        <v>1114209.25</v>
      </c>
      <c r="D985" t="n">
        <v>-125083.75</v>
      </c>
      <c r="E985">
        <f>D985/MAX($B$2:B985,100000)</f>
        <v/>
      </c>
      <c r="H985" s="2" t="n"/>
      <c r="I985" s="2" t="n"/>
    </row>
    <row r="986">
      <c r="A986" s="2" t="n">
        <v>43420</v>
      </c>
      <c r="B986" t="n">
        <v>1736254.5</v>
      </c>
      <c r="C986" t="n">
        <v>1222401.5</v>
      </c>
      <c r="D986" t="n">
        <v>-133268.38</v>
      </c>
      <c r="E986">
        <f>D986/MAX($B$2:B986,100000)</f>
        <v/>
      </c>
      <c r="H986" s="2" t="n"/>
      <c r="I986" s="2" t="n"/>
    </row>
    <row r="987">
      <c r="A987" s="2" t="n">
        <v>43427</v>
      </c>
      <c r="B987" t="n">
        <v>1722775.63</v>
      </c>
      <c r="C987" t="n">
        <v>1222401.5</v>
      </c>
      <c r="D987" t="n">
        <v>-146747.25</v>
      </c>
      <c r="E987">
        <f>D987/MAX($B$2:B987,100000)</f>
        <v/>
      </c>
      <c r="H987" s="2" t="n"/>
      <c r="I987" s="2" t="n"/>
    </row>
    <row r="988">
      <c r="A988" s="2" t="n">
        <v>43434</v>
      </c>
      <c r="B988" t="n">
        <v>1723443</v>
      </c>
      <c r="C988" t="n">
        <v>1222401.5</v>
      </c>
      <c r="D988" t="n">
        <v>-146079.88</v>
      </c>
      <c r="E988">
        <f>D988/MAX($B$2:B988,100000)</f>
        <v/>
      </c>
      <c r="H988" s="2" t="n"/>
      <c r="I988" s="2" t="n"/>
    </row>
    <row r="989">
      <c r="A989" s="2" t="n">
        <v>43441</v>
      </c>
      <c r="B989" t="n">
        <v>1734556.38</v>
      </c>
      <c r="C989" t="n">
        <v>1319812.25</v>
      </c>
      <c r="D989" t="n">
        <v>-134966.5</v>
      </c>
      <c r="E989">
        <f>D989/MAX($B$2:B989,100000)</f>
        <v/>
      </c>
      <c r="H989" s="2" t="n"/>
      <c r="I989" s="2" t="n"/>
    </row>
    <row r="990">
      <c r="A990" s="2" t="n">
        <v>43448</v>
      </c>
      <c r="B990" t="n">
        <v>1733443.38</v>
      </c>
      <c r="C990" t="n">
        <v>1319812.25</v>
      </c>
      <c r="D990" t="n">
        <v>-136079.5</v>
      </c>
      <c r="E990">
        <f>D990/MAX($B$2:B990,100000)</f>
        <v/>
      </c>
      <c r="H990" s="2" t="n"/>
      <c r="I990" s="2" t="n"/>
    </row>
    <row r="991">
      <c r="A991" s="2" t="n">
        <v>43455</v>
      </c>
      <c r="B991" t="n">
        <v>1732094.5</v>
      </c>
      <c r="C991" t="n">
        <v>1319812.25</v>
      </c>
      <c r="D991" t="n">
        <v>-137428.38</v>
      </c>
      <c r="E991">
        <f>D991/MAX($B$2:B991,100000)</f>
        <v/>
      </c>
      <c r="H991" s="2" t="n"/>
      <c r="I991" s="2" t="n"/>
    </row>
    <row r="992">
      <c r="A992" s="2" t="n">
        <v>43462</v>
      </c>
      <c r="B992" t="n">
        <v>1740291.75</v>
      </c>
      <c r="C992" t="n">
        <v>1319812.25</v>
      </c>
      <c r="D992" t="n">
        <v>-129231.13</v>
      </c>
      <c r="E992">
        <f>D992/MAX($B$2:B992,100000)</f>
        <v/>
      </c>
      <c r="H992" s="2" t="n"/>
      <c r="I992" s="2" t="n"/>
    </row>
    <row r="993">
      <c r="A993" s="2" t="n">
        <v>43469</v>
      </c>
      <c r="B993" t="n">
        <v>1736447.63</v>
      </c>
      <c r="C993" t="n">
        <v>1319812.25</v>
      </c>
      <c r="D993" t="n">
        <v>-133075.25</v>
      </c>
      <c r="E993">
        <f>D993/MAX($B$2:B993,100000)</f>
        <v/>
      </c>
      <c r="H993" s="2" t="n"/>
      <c r="I993" s="2" t="n"/>
    </row>
    <row r="994">
      <c r="A994" s="2" t="n">
        <v>43476</v>
      </c>
      <c r="B994" t="n">
        <v>1745766.75</v>
      </c>
      <c r="C994" t="n">
        <v>1319812.25</v>
      </c>
      <c r="D994" t="n">
        <v>-123756.13</v>
      </c>
      <c r="E994">
        <f>D994/MAX($B$2:B994,100000)</f>
        <v/>
      </c>
      <c r="H994" s="2" t="n"/>
      <c r="I994" s="2" t="n"/>
    </row>
    <row r="995">
      <c r="A995" s="2" t="n">
        <v>43483</v>
      </c>
      <c r="B995" t="n">
        <v>1753937.38</v>
      </c>
      <c r="C995" t="n">
        <v>1101191.88</v>
      </c>
      <c r="D995" t="n">
        <v>-115585.5</v>
      </c>
      <c r="E995">
        <f>D995/MAX($B$2:B995,100000)</f>
        <v/>
      </c>
      <c r="H995" s="2" t="n"/>
      <c r="I995" s="2" t="n"/>
    </row>
    <row r="996">
      <c r="A996" s="2" t="n">
        <v>43490</v>
      </c>
      <c r="B996" t="n">
        <v>1765025</v>
      </c>
      <c r="C996" t="n">
        <v>881444.25</v>
      </c>
      <c r="D996" t="n">
        <v>-104497.88</v>
      </c>
      <c r="E996">
        <f>D996/MAX($B$2:B996,100000)</f>
        <v/>
      </c>
      <c r="H996" s="2" t="n"/>
      <c r="I996" s="2" t="n"/>
    </row>
    <row r="997">
      <c r="A997" s="2" t="n">
        <v>43497</v>
      </c>
      <c r="B997" t="n">
        <v>1796183.25</v>
      </c>
      <c r="C997" t="n">
        <v>438893.38</v>
      </c>
      <c r="D997" t="n">
        <v>-73339.63</v>
      </c>
      <c r="E997">
        <f>D997/MAX($B$2:B997,100000)</f>
        <v/>
      </c>
      <c r="H997" s="2" t="n"/>
      <c r="I997" s="2" t="n"/>
    </row>
    <row r="998">
      <c r="A998" s="2" t="n">
        <v>43504</v>
      </c>
      <c r="B998" t="n">
        <v>1852702.5</v>
      </c>
      <c r="C998" t="n">
        <v>101028.66</v>
      </c>
      <c r="D998" t="n">
        <v>-16820.38</v>
      </c>
      <c r="E998">
        <f>D998/MAX($B$2:B998,100000)</f>
        <v/>
      </c>
      <c r="H998" s="2" t="n"/>
      <c r="I998" s="2" t="n"/>
    </row>
    <row r="999">
      <c r="A999" s="2" t="n">
        <v>43511</v>
      </c>
      <c r="B999" t="n">
        <v>1887677.13</v>
      </c>
      <c r="C999" t="n">
        <v>101028.66</v>
      </c>
      <c r="D999" t="n">
        <v>0</v>
      </c>
      <c r="E999">
        <f>D999/MAX($B$2:B999,100000)</f>
        <v/>
      </c>
      <c r="H999" s="2" t="n"/>
      <c r="I999" s="2" t="n"/>
    </row>
    <row r="1000">
      <c r="A1000" s="2" t="n">
        <v>43518</v>
      </c>
      <c r="B1000" t="n">
        <v>1912629</v>
      </c>
      <c r="C1000" t="n">
        <v>101028.66</v>
      </c>
      <c r="D1000" t="n">
        <v>0</v>
      </c>
      <c r="E1000">
        <f>D1000/MAX($B$2:B1000,100000)</f>
        <v/>
      </c>
      <c r="H1000" s="2" t="n"/>
      <c r="I1000" s="2" t="n"/>
    </row>
    <row r="1001">
      <c r="A1001" s="2" t="n">
        <v>43525</v>
      </c>
      <c r="B1001" t="n">
        <v>1905795.88</v>
      </c>
      <c r="C1001" t="n">
        <v>101028.66</v>
      </c>
      <c r="D1001" t="n">
        <v>-6833.13</v>
      </c>
      <c r="E1001">
        <f>D1001/MAX($B$2:B1001,100000)</f>
        <v/>
      </c>
      <c r="H1001" s="2" t="n"/>
      <c r="I1001" s="2" t="n"/>
    </row>
    <row r="1002">
      <c r="A1002" s="2" t="n">
        <v>43532</v>
      </c>
      <c r="B1002" t="n">
        <v>1946051.38</v>
      </c>
      <c r="C1002" t="n">
        <v>101028.66</v>
      </c>
      <c r="D1002" t="n">
        <v>0</v>
      </c>
      <c r="E1002">
        <f>D1002/MAX($B$2:B1002,100000)</f>
        <v/>
      </c>
      <c r="H1002" s="2" t="n"/>
      <c r="I1002" s="2" t="n"/>
    </row>
    <row r="1003">
      <c r="A1003" s="2" t="n">
        <v>43539</v>
      </c>
      <c r="B1003" t="n">
        <v>1928694.38</v>
      </c>
      <c r="C1003" t="n">
        <v>101028.66</v>
      </c>
      <c r="D1003" t="n">
        <v>-17357</v>
      </c>
      <c r="E1003">
        <f>D1003/MAX($B$2:B1003,100000)</f>
        <v/>
      </c>
      <c r="H1003" s="2" t="n"/>
      <c r="I1003" s="2" t="n"/>
    </row>
    <row r="1004">
      <c r="A1004" s="2" t="n">
        <v>43546</v>
      </c>
      <c r="B1004" t="n">
        <v>1931946.75</v>
      </c>
      <c r="C1004" t="n">
        <v>101028.66</v>
      </c>
      <c r="D1004" t="n">
        <v>-14104.63</v>
      </c>
      <c r="E1004">
        <f>D1004/MAX($B$2:B1004,100000)</f>
        <v/>
      </c>
      <c r="H1004" s="2" t="n"/>
      <c r="I1004" s="2" t="n"/>
    </row>
    <row r="1005">
      <c r="A1005" s="2" t="n">
        <v>43553</v>
      </c>
      <c r="B1005" t="n">
        <v>1955210.63</v>
      </c>
      <c r="C1005" t="n">
        <v>101028.66</v>
      </c>
      <c r="D1005" t="n">
        <v>0</v>
      </c>
      <c r="E1005">
        <f>D1005/MAX($B$2:B1005,100000)</f>
        <v/>
      </c>
      <c r="H1005" s="2" t="n"/>
      <c r="I1005" s="2" t="n"/>
    </row>
    <row r="1006">
      <c r="A1006" s="2" t="n">
        <v>43560</v>
      </c>
      <c r="B1006" t="n">
        <v>1955316.63</v>
      </c>
      <c r="C1006" t="n">
        <v>101028.66</v>
      </c>
      <c r="D1006" t="n">
        <v>0</v>
      </c>
      <c r="E1006">
        <f>D1006/MAX($B$2:B1006,100000)</f>
        <v/>
      </c>
      <c r="H1006" s="2" t="n"/>
      <c r="I1006" s="2" t="n"/>
    </row>
    <row r="1007">
      <c r="A1007" s="2" t="n">
        <v>43567</v>
      </c>
      <c r="B1007" t="n">
        <v>2006388.13</v>
      </c>
      <c r="C1007" t="n">
        <v>101028.66</v>
      </c>
      <c r="D1007" t="n">
        <v>0</v>
      </c>
      <c r="E1007">
        <f>D1007/MAX($B$2:B1007,100000)</f>
        <v/>
      </c>
      <c r="H1007" s="2" t="n"/>
      <c r="I1007" s="2" t="n"/>
    </row>
    <row r="1008">
      <c r="A1008" s="2" t="n">
        <v>43573</v>
      </c>
      <c r="B1008" t="n">
        <v>1976676.63</v>
      </c>
      <c r="C1008" t="n">
        <v>101028.66</v>
      </c>
      <c r="D1008" t="n">
        <v>-29711.5</v>
      </c>
      <c r="E1008">
        <f>D1008/MAX($B$2:B1008,100000)</f>
        <v/>
      </c>
      <c r="H1008" s="2" t="n"/>
      <c r="I1008" s="2" t="n"/>
    </row>
    <row r="1009">
      <c r="A1009" s="2" t="n">
        <v>43581</v>
      </c>
      <c r="B1009" t="n">
        <v>2003538.63</v>
      </c>
      <c r="C1009" t="n">
        <v>101028.66</v>
      </c>
      <c r="D1009" t="n">
        <v>-2849.5</v>
      </c>
      <c r="E1009">
        <f>D1009/MAX($B$2:B1009,100000)</f>
        <v/>
      </c>
      <c r="H1009" s="2" t="n"/>
      <c r="I1009" s="2" t="n"/>
    </row>
    <row r="1010">
      <c r="A1010" s="2" t="n">
        <v>43588</v>
      </c>
      <c r="B1010" t="n">
        <v>1989802.88</v>
      </c>
      <c r="C1010" t="n">
        <v>101028.66</v>
      </c>
      <c r="D1010" t="n">
        <v>-16585.25</v>
      </c>
      <c r="E1010">
        <f>D1010/MAX($B$2:B1010,100000)</f>
        <v/>
      </c>
      <c r="H1010" s="2" t="n"/>
      <c r="I1010" s="2" t="n"/>
    </row>
    <row r="1011">
      <c r="A1011" s="2" t="n">
        <v>43595</v>
      </c>
      <c r="B1011" t="n">
        <v>1978267.5</v>
      </c>
      <c r="C1011" t="n">
        <v>101028.66</v>
      </c>
      <c r="D1011" t="n">
        <v>-28120.63</v>
      </c>
      <c r="E1011">
        <f>D1011/MAX($B$2:B1011,100000)</f>
        <v/>
      </c>
      <c r="H1011" s="2" t="n"/>
      <c r="I1011" s="2" t="n"/>
    </row>
    <row r="1012">
      <c r="A1012" s="2" t="n">
        <v>43602</v>
      </c>
      <c r="B1012" t="n">
        <v>2064069.88</v>
      </c>
      <c r="C1012" t="n">
        <v>101028.66</v>
      </c>
      <c r="D1012" t="n">
        <v>0</v>
      </c>
      <c r="E1012">
        <f>D1012/MAX($B$2:B1012,100000)</f>
        <v/>
      </c>
      <c r="H1012" s="2" t="n"/>
      <c r="I1012" s="2" t="n"/>
    </row>
    <row r="1013">
      <c r="A1013" s="2" t="n">
        <v>43609</v>
      </c>
      <c r="B1013" t="n">
        <v>2075186.88</v>
      </c>
      <c r="C1013" t="n">
        <v>85720.14999999999</v>
      </c>
      <c r="D1013" t="n">
        <v>0</v>
      </c>
      <c r="E1013">
        <f>D1013/MAX($B$2:B1013,100000)</f>
        <v/>
      </c>
      <c r="H1013" s="2" t="n"/>
      <c r="I1013" s="2" t="n"/>
    </row>
    <row r="1014">
      <c r="A1014" s="2" t="n">
        <v>43616</v>
      </c>
      <c r="B1014" t="n">
        <v>2065365.63</v>
      </c>
      <c r="C1014" t="n">
        <v>85720.14999999999</v>
      </c>
      <c r="D1014" t="n">
        <v>-9821.25</v>
      </c>
      <c r="E1014">
        <f>D1014/MAX($B$2:B1014,100000)</f>
        <v/>
      </c>
      <c r="H1014" s="2" t="n"/>
      <c r="I1014" s="2" t="n"/>
    </row>
    <row r="1015">
      <c r="A1015" s="2" t="n">
        <v>43623</v>
      </c>
      <c r="B1015" t="n">
        <v>2071377.5</v>
      </c>
      <c r="C1015" t="n">
        <v>85720.14999999999</v>
      </c>
      <c r="D1015" t="n">
        <v>-3809.38</v>
      </c>
      <c r="E1015">
        <f>D1015/MAX($B$2:B1015,100000)</f>
        <v/>
      </c>
      <c r="H1015" s="2" t="n"/>
      <c r="I1015" s="2" t="n"/>
    </row>
    <row r="1016">
      <c r="A1016" s="2" t="n">
        <v>43630</v>
      </c>
      <c r="B1016" t="n">
        <v>2133808.5</v>
      </c>
      <c r="C1016" t="n">
        <v>85720.14999999999</v>
      </c>
      <c r="D1016" t="n">
        <v>0</v>
      </c>
      <c r="E1016">
        <f>D1016/MAX($B$2:B1016,100000)</f>
        <v/>
      </c>
      <c r="H1016" s="2" t="n"/>
      <c r="I1016" s="2" t="n"/>
    </row>
    <row r="1017">
      <c r="A1017" s="2" t="n">
        <v>43637</v>
      </c>
      <c r="B1017" t="n">
        <v>2156257.25</v>
      </c>
      <c r="C1017" t="n">
        <v>85720.14999999999</v>
      </c>
      <c r="D1017" t="n">
        <v>0</v>
      </c>
      <c r="E1017">
        <f>D1017/MAX($B$2:B1017,100000)</f>
        <v/>
      </c>
      <c r="H1017" s="2" t="n"/>
      <c r="I1017" s="2" t="n"/>
    </row>
    <row r="1018">
      <c r="A1018" s="2" t="n">
        <v>43644</v>
      </c>
      <c r="B1018" t="n">
        <v>2153406.75</v>
      </c>
      <c r="C1018" t="n">
        <v>63525.6</v>
      </c>
      <c r="D1018" t="n">
        <v>-2850.5</v>
      </c>
      <c r="E1018">
        <f>D1018/MAX($B$2:B1018,100000)</f>
        <v/>
      </c>
      <c r="H1018" s="2" t="n"/>
      <c r="I1018" s="2" t="n"/>
    </row>
    <row r="1019">
      <c r="A1019" s="2" t="n">
        <v>43651</v>
      </c>
      <c r="B1019" t="n">
        <v>2190106</v>
      </c>
      <c r="C1019" t="n">
        <v>63525.6</v>
      </c>
      <c r="D1019" t="n">
        <v>0</v>
      </c>
      <c r="E1019">
        <f>D1019/MAX($B$2:B1019,100000)</f>
        <v/>
      </c>
      <c r="H1019" s="2" t="n"/>
      <c r="I1019" s="2" t="n"/>
    </row>
    <row r="1020">
      <c r="A1020" s="2" t="n">
        <v>43658</v>
      </c>
      <c r="B1020" t="n">
        <v>2204202.75</v>
      </c>
      <c r="C1020" t="n">
        <v>63525.6</v>
      </c>
      <c r="D1020" t="n">
        <v>0</v>
      </c>
      <c r="E1020">
        <f>D1020/MAX($B$2:B1020,100000)</f>
        <v/>
      </c>
      <c r="H1020" s="2" t="n"/>
      <c r="I1020" s="2" t="n"/>
    </row>
    <row r="1021">
      <c r="A1021" s="2" t="n">
        <v>43665</v>
      </c>
      <c r="B1021" t="n">
        <v>2235093.25</v>
      </c>
      <c r="C1021" t="n">
        <v>63525.6</v>
      </c>
      <c r="D1021" t="n">
        <v>0</v>
      </c>
      <c r="E1021">
        <f>D1021/MAX($B$2:B1021,100000)</f>
        <v/>
      </c>
      <c r="H1021" s="2" t="n"/>
      <c r="I1021" s="2" t="n"/>
    </row>
    <row r="1022">
      <c r="A1022" s="2" t="n">
        <v>43672</v>
      </c>
      <c r="B1022" t="n">
        <v>2238255.75</v>
      </c>
      <c r="C1022" t="n">
        <v>63525.6</v>
      </c>
      <c r="D1022" t="n">
        <v>0</v>
      </c>
      <c r="E1022">
        <f>D1022/MAX($B$2:B1022,100000)</f>
        <v/>
      </c>
      <c r="H1022" s="2" t="n"/>
      <c r="I1022" s="2" t="n"/>
    </row>
    <row r="1023">
      <c r="A1023" s="2" t="n">
        <v>43679</v>
      </c>
      <c r="B1023" t="n">
        <v>2220576.5</v>
      </c>
      <c r="C1023" t="n">
        <v>63525.6</v>
      </c>
      <c r="D1023" t="n">
        <v>-17679.25</v>
      </c>
      <c r="E1023">
        <f>D1023/MAX($B$2:B1023,100000)</f>
        <v/>
      </c>
      <c r="H1023" s="2" t="n"/>
      <c r="I1023" s="2" t="n"/>
    </row>
    <row r="1024">
      <c r="A1024" s="2" t="n">
        <v>43686</v>
      </c>
      <c r="B1024" t="n">
        <v>2161512.75</v>
      </c>
      <c r="C1024" t="n">
        <v>63525.6</v>
      </c>
      <c r="D1024" t="n">
        <v>-76743</v>
      </c>
      <c r="E1024">
        <f>D1024/MAX($B$2:B1024,100000)</f>
        <v/>
      </c>
      <c r="H1024" s="2" t="n"/>
      <c r="I1024" s="2" t="n"/>
    </row>
    <row r="1025">
      <c r="A1025" s="2" t="n">
        <v>43693</v>
      </c>
      <c r="B1025" t="n">
        <v>2114945.25</v>
      </c>
      <c r="C1025" t="n">
        <v>63525.6</v>
      </c>
      <c r="D1025" t="n">
        <v>-123310.5</v>
      </c>
      <c r="E1025">
        <f>D1025/MAX($B$2:B1025,100000)</f>
        <v/>
      </c>
      <c r="H1025" s="2" t="n"/>
      <c r="I1025" s="2" t="n"/>
    </row>
    <row r="1026">
      <c r="A1026" s="2" t="n">
        <v>43700</v>
      </c>
      <c r="B1026" t="n">
        <v>2102222.75</v>
      </c>
      <c r="C1026" t="n">
        <v>63525.6</v>
      </c>
      <c r="D1026" t="n">
        <v>-136033</v>
      </c>
      <c r="E1026">
        <f>D1026/MAX($B$2:B1026,100000)</f>
        <v/>
      </c>
      <c r="H1026" s="2" t="n"/>
      <c r="I1026" s="2" t="n"/>
    </row>
    <row r="1027">
      <c r="A1027" s="2" t="n">
        <v>43707</v>
      </c>
      <c r="B1027" t="n">
        <v>2081410.88</v>
      </c>
      <c r="C1027" t="n">
        <v>360879.09</v>
      </c>
      <c r="D1027" t="n">
        <v>-156844.88</v>
      </c>
      <c r="E1027">
        <f>D1027/MAX($B$2:B1027,100000)</f>
        <v/>
      </c>
      <c r="H1027" s="2" t="n"/>
      <c r="I1027" s="2" t="n"/>
    </row>
    <row r="1028">
      <c r="A1028" s="2" t="n">
        <v>43714</v>
      </c>
      <c r="B1028" t="n">
        <v>2122377</v>
      </c>
      <c r="C1028" t="n">
        <v>319342.84</v>
      </c>
      <c r="D1028" t="n">
        <v>-115878.75</v>
      </c>
      <c r="E1028">
        <f>D1028/MAX($B$2:B1028,100000)</f>
        <v/>
      </c>
      <c r="H1028" s="2" t="n"/>
      <c r="I1028" s="2" t="n"/>
    </row>
    <row r="1029">
      <c r="A1029" s="2" t="n">
        <v>43721</v>
      </c>
      <c r="B1029" t="n">
        <v>2089112.13</v>
      </c>
      <c r="C1029" t="n">
        <v>54715.91</v>
      </c>
      <c r="D1029" t="n">
        <v>-149143.63</v>
      </c>
      <c r="E1029">
        <f>D1029/MAX($B$2:B1029,100000)</f>
        <v/>
      </c>
      <c r="H1029" s="2" t="n"/>
      <c r="I1029" s="2" t="n"/>
    </row>
    <row r="1030">
      <c r="A1030" s="2" t="n">
        <v>43728</v>
      </c>
      <c r="B1030" t="n">
        <v>2119265.25</v>
      </c>
      <c r="C1030" t="n">
        <v>54715.91</v>
      </c>
      <c r="D1030" t="n">
        <v>-118990.5</v>
      </c>
      <c r="E1030">
        <f>D1030/MAX($B$2:B1030,100000)</f>
        <v/>
      </c>
      <c r="H1030" s="2" t="n"/>
      <c r="I1030" s="2" t="n"/>
    </row>
    <row r="1031">
      <c r="A1031" s="2" t="n">
        <v>43735</v>
      </c>
      <c r="B1031" t="n">
        <v>2124330</v>
      </c>
      <c r="C1031" t="n">
        <v>54715.91</v>
      </c>
      <c r="D1031" t="n">
        <v>-113925.75</v>
      </c>
      <c r="E1031">
        <f>D1031/MAX($B$2:B1031,100000)</f>
        <v/>
      </c>
      <c r="H1031" s="2" t="n"/>
      <c r="I1031" s="2" t="n"/>
    </row>
    <row r="1032">
      <c r="A1032" s="2" t="n">
        <v>43742</v>
      </c>
      <c r="B1032" t="n">
        <v>2087208.13</v>
      </c>
      <c r="C1032" t="n">
        <v>54715.91</v>
      </c>
      <c r="D1032" t="n">
        <v>-151047.63</v>
      </c>
      <c r="E1032">
        <f>D1032/MAX($B$2:B1032,100000)</f>
        <v/>
      </c>
      <c r="H1032" s="2" t="n"/>
      <c r="I1032" s="2" t="n"/>
    </row>
    <row r="1033">
      <c r="A1033" s="2" t="n">
        <v>43749</v>
      </c>
      <c r="B1033" t="n">
        <v>2105416.25</v>
      </c>
      <c r="C1033" t="n">
        <v>54715.91</v>
      </c>
      <c r="D1033" t="n">
        <v>-132839.5</v>
      </c>
      <c r="E1033">
        <f>D1033/MAX($B$2:B1033,100000)</f>
        <v/>
      </c>
      <c r="H1033" s="2" t="n"/>
      <c r="I1033" s="2" t="n"/>
    </row>
    <row r="1034">
      <c r="A1034" s="2" t="n">
        <v>43756</v>
      </c>
      <c r="B1034" t="n">
        <v>2046274.63</v>
      </c>
      <c r="C1034" t="n">
        <v>54715.91</v>
      </c>
      <c r="D1034" t="n">
        <v>-191981.13</v>
      </c>
      <c r="E1034">
        <f>D1034/MAX($B$2:B1034,100000)</f>
        <v/>
      </c>
      <c r="H1034" s="2" t="n"/>
      <c r="I1034" s="2" t="n"/>
    </row>
    <row r="1035">
      <c r="A1035" s="2" t="n">
        <v>43763</v>
      </c>
      <c r="B1035" t="n">
        <v>2048326.13</v>
      </c>
      <c r="C1035" t="n">
        <v>22920.2</v>
      </c>
      <c r="D1035" t="n">
        <v>-189929.63</v>
      </c>
      <c r="E1035">
        <f>D1035/MAX($B$2:B1035,100000)</f>
        <v/>
      </c>
      <c r="H1035" s="2" t="n"/>
      <c r="I1035" s="2" t="n"/>
    </row>
    <row r="1036">
      <c r="A1036" s="2" t="n">
        <v>43770</v>
      </c>
      <c r="B1036" t="n">
        <v>2033445.25</v>
      </c>
      <c r="C1036" t="n">
        <v>22920.2</v>
      </c>
      <c r="D1036" t="n">
        <v>-204810.5</v>
      </c>
      <c r="E1036">
        <f>D1036/MAX($B$2:B1036,100000)</f>
        <v/>
      </c>
      <c r="H1036" s="2" t="n"/>
      <c r="I1036" s="2" t="n"/>
    </row>
    <row r="1037">
      <c r="A1037" s="2" t="n">
        <v>43777</v>
      </c>
      <c r="B1037" t="n">
        <v>2054256.38</v>
      </c>
      <c r="C1037" t="n">
        <v>22920.2</v>
      </c>
      <c r="D1037" t="n">
        <v>-183999.38</v>
      </c>
      <c r="E1037">
        <f>D1037/MAX($B$2:B1037,100000)</f>
        <v/>
      </c>
      <c r="H1037" s="2" t="n"/>
      <c r="I1037" s="2" t="n"/>
    </row>
    <row r="1038">
      <c r="A1038" s="2" t="n">
        <v>43784</v>
      </c>
      <c r="B1038" t="n">
        <v>2086141.75</v>
      </c>
      <c r="C1038" t="n">
        <v>22920.2</v>
      </c>
      <c r="D1038" t="n">
        <v>-152114</v>
      </c>
      <c r="E1038">
        <f>D1038/MAX($B$2:B1038,100000)</f>
        <v/>
      </c>
      <c r="H1038" s="2" t="n"/>
      <c r="I1038" s="2" t="n"/>
    </row>
    <row r="1039">
      <c r="A1039" s="2" t="n">
        <v>43791</v>
      </c>
      <c r="B1039" t="n">
        <v>2060352.75</v>
      </c>
      <c r="C1039" t="n">
        <v>22920.2</v>
      </c>
      <c r="D1039" t="n">
        <v>-177903</v>
      </c>
      <c r="E1039">
        <f>D1039/MAX($B$2:B1039,100000)</f>
        <v/>
      </c>
      <c r="H1039" s="2" t="n"/>
      <c r="I1039" s="2" t="n"/>
    </row>
    <row r="1040">
      <c r="A1040" s="2" t="n">
        <v>43798</v>
      </c>
      <c r="B1040" t="n">
        <v>2071230.63</v>
      </c>
      <c r="C1040" t="n">
        <v>22920.2</v>
      </c>
      <c r="D1040" t="n">
        <v>-167025.13</v>
      </c>
      <c r="E1040">
        <f>D1040/MAX($B$2:B1040,100000)</f>
        <v/>
      </c>
      <c r="H1040" s="2" t="n"/>
      <c r="I1040" s="2" t="n"/>
    </row>
    <row r="1041">
      <c r="A1041" s="2" t="n">
        <v>43805</v>
      </c>
      <c r="B1041" t="n">
        <v>2045758</v>
      </c>
      <c r="C1041" t="n">
        <v>22920.2</v>
      </c>
      <c r="D1041" t="n">
        <v>-192497.75</v>
      </c>
      <c r="E1041">
        <f>D1041/MAX($B$2:B1041,100000)</f>
        <v/>
      </c>
      <c r="H1041" s="2" t="n"/>
      <c r="I1041" s="2" t="n"/>
    </row>
    <row r="1042">
      <c r="A1042" s="2" t="n">
        <v>43812</v>
      </c>
      <c r="B1042" t="n">
        <v>2057722.88</v>
      </c>
      <c r="C1042" t="n">
        <v>22920.2</v>
      </c>
      <c r="D1042" t="n">
        <v>-180532.88</v>
      </c>
      <c r="E1042">
        <f>D1042/MAX($B$2:B1042,100000)</f>
        <v/>
      </c>
      <c r="H1042" s="2" t="n"/>
      <c r="I1042" s="2" t="n"/>
    </row>
    <row r="1043">
      <c r="A1043" s="2" t="n">
        <v>43819</v>
      </c>
      <c r="B1043" t="n">
        <v>2066526.38</v>
      </c>
      <c r="C1043" t="n">
        <v>9729.26</v>
      </c>
      <c r="D1043" t="n">
        <v>-171729.38</v>
      </c>
      <c r="E1043">
        <f>D1043/MAX($B$2:B1043,100000)</f>
        <v/>
      </c>
      <c r="H1043" s="2" t="n"/>
      <c r="I1043" s="2" t="n"/>
    </row>
    <row r="1044">
      <c r="A1044" s="2" t="n">
        <v>43826</v>
      </c>
      <c r="B1044" t="n">
        <v>2085732.75</v>
      </c>
      <c r="C1044" t="n">
        <v>9729.26</v>
      </c>
      <c r="D1044" t="n">
        <v>-152523</v>
      </c>
      <c r="E1044">
        <f>D1044/MAX($B$2:B1044,100000)</f>
        <v/>
      </c>
      <c r="H1044" s="2" t="n"/>
      <c r="I1044" s="2" t="n"/>
    </row>
    <row r="1045">
      <c r="A1045" s="2" t="n">
        <v>43833</v>
      </c>
      <c r="B1045" t="n">
        <v>2057657.88</v>
      </c>
      <c r="C1045" t="n">
        <v>9729.26</v>
      </c>
      <c r="D1045" t="n">
        <v>-180597.88</v>
      </c>
      <c r="E1045">
        <f>D1045/MAX($B$2:B1045,100000)</f>
        <v/>
      </c>
      <c r="H1045" s="2" t="n"/>
      <c r="I1045" s="2" t="n"/>
    </row>
    <row r="1046">
      <c r="A1046" s="2" t="n">
        <v>43840</v>
      </c>
      <c r="B1046" t="n">
        <v>2115560.75</v>
      </c>
      <c r="C1046" t="n">
        <v>9729.26</v>
      </c>
      <c r="D1046" t="n">
        <v>-122695</v>
      </c>
      <c r="E1046">
        <f>D1046/MAX($B$2:B1046,100000)</f>
        <v/>
      </c>
      <c r="H1046" s="2" t="n"/>
      <c r="I1046" s="2" t="n"/>
    </row>
    <row r="1047">
      <c r="A1047" s="2" t="n">
        <v>43847</v>
      </c>
      <c r="B1047" t="n">
        <v>2187539.25</v>
      </c>
      <c r="C1047" t="n">
        <v>9729.26</v>
      </c>
      <c r="D1047" t="n">
        <v>-50716.5</v>
      </c>
      <c r="E1047">
        <f>D1047/MAX($B$2:B1047,100000)</f>
        <v/>
      </c>
      <c r="H1047" s="2" t="n"/>
      <c r="I1047" s="2" t="n"/>
    </row>
    <row r="1048">
      <c r="A1048" s="2" t="n">
        <v>43854</v>
      </c>
      <c r="B1048" t="n">
        <v>2217235</v>
      </c>
      <c r="C1048" t="n">
        <v>9729.26</v>
      </c>
      <c r="D1048" t="n">
        <v>-21020.75</v>
      </c>
      <c r="E1048">
        <f>D1048/MAX($B$2:B1048,100000)</f>
        <v/>
      </c>
      <c r="H1048" s="2" t="n"/>
      <c r="I1048" s="2" t="n"/>
    </row>
    <row r="1049">
      <c r="A1049" s="2" t="n">
        <v>43861</v>
      </c>
      <c r="B1049" t="n">
        <v>2170052.75</v>
      </c>
      <c r="C1049" t="n">
        <v>9729.26</v>
      </c>
      <c r="D1049" t="n">
        <v>-68203</v>
      </c>
      <c r="E1049">
        <f>D1049/MAX($B$2:B1049,100000)</f>
        <v/>
      </c>
      <c r="H1049" s="2" t="n"/>
      <c r="I1049" s="2" t="n"/>
    </row>
    <row r="1050">
      <c r="A1050" s="2" t="n">
        <v>43868</v>
      </c>
      <c r="B1050" t="n">
        <v>2183656.5</v>
      </c>
      <c r="C1050" t="n">
        <v>9729.26</v>
      </c>
      <c r="D1050" t="n">
        <v>-54599.25</v>
      </c>
      <c r="E1050">
        <f>D1050/MAX($B$2:B1050,100000)</f>
        <v/>
      </c>
      <c r="H1050" s="2" t="n"/>
      <c r="I1050" s="2" t="n"/>
    </row>
    <row r="1051">
      <c r="A1051" s="2" t="n">
        <v>43875</v>
      </c>
      <c r="B1051" t="n">
        <v>2187237.5</v>
      </c>
      <c r="C1051" t="n">
        <v>9729.26</v>
      </c>
      <c r="D1051" t="n">
        <v>-51018.25</v>
      </c>
      <c r="E1051">
        <f>D1051/MAX($B$2:B1051,100000)</f>
        <v/>
      </c>
      <c r="H1051" s="2" t="n"/>
      <c r="I1051" s="2" t="n"/>
    </row>
    <row r="1052">
      <c r="A1052" s="2" t="n">
        <v>43882</v>
      </c>
      <c r="B1052" t="n">
        <v>2176131.75</v>
      </c>
      <c r="C1052" t="n">
        <v>9729.26</v>
      </c>
      <c r="D1052" t="n">
        <v>-62124</v>
      </c>
      <c r="E1052">
        <f>D1052/MAX($B$2:B1052,100000)</f>
        <v/>
      </c>
      <c r="H1052" s="2" t="n"/>
      <c r="I1052" s="2" t="n"/>
    </row>
    <row r="1053">
      <c r="A1053" s="2" t="n">
        <v>43889</v>
      </c>
      <c r="B1053" t="n">
        <v>1924624</v>
      </c>
      <c r="C1053" t="n">
        <v>9729.26</v>
      </c>
      <c r="D1053" t="n">
        <v>-313631.75</v>
      </c>
      <c r="E1053">
        <f>D1053/MAX($B$2:B1053,100000)</f>
        <v/>
      </c>
      <c r="H1053" s="2" t="n"/>
      <c r="I1053" s="2" t="n"/>
    </row>
    <row r="1054">
      <c r="A1054" s="2" t="n">
        <v>43896</v>
      </c>
      <c r="B1054" t="n">
        <v>1906648.75</v>
      </c>
      <c r="C1054" t="n">
        <v>9729.26</v>
      </c>
      <c r="D1054" t="n">
        <v>-331607</v>
      </c>
      <c r="E1054">
        <f>D1054/MAX($B$2:B1054,100000)</f>
        <v/>
      </c>
      <c r="H1054" s="2" t="n"/>
      <c r="I1054" s="2" t="n"/>
    </row>
    <row r="1055">
      <c r="A1055" s="2" t="n">
        <v>43903</v>
      </c>
      <c r="B1055" t="n">
        <v>1859854.13</v>
      </c>
      <c r="C1055" t="n">
        <v>1522234.75</v>
      </c>
      <c r="D1055" t="n">
        <v>-378401.63</v>
      </c>
      <c r="E1055">
        <f>D1055/MAX($B$2:B1055,100000)</f>
        <v/>
      </c>
      <c r="H1055" s="2" t="n"/>
      <c r="I1055" s="2" t="n"/>
    </row>
    <row r="1056">
      <c r="A1056" s="2" t="n">
        <v>43910</v>
      </c>
      <c r="B1056" t="n">
        <v>1832218.13</v>
      </c>
      <c r="C1056" t="n">
        <v>1522234.75</v>
      </c>
      <c r="D1056" t="n">
        <v>-406037.63</v>
      </c>
      <c r="E1056">
        <f>D1056/MAX($B$2:B1056,100000)</f>
        <v/>
      </c>
      <c r="H1056" s="2" t="n"/>
      <c r="I1056" s="2" t="n"/>
    </row>
    <row r="1057">
      <c r="A1057" s="2" t="n">
        <v>43917</v>
      </c>
      <c r="B1057" t="n">
        <v>1826039</v>
      </c>
      <c r="C1057" t="n">
        <v>1730824.25</v>
      </c>
      <c r="D1057" t="n">
        <v>-412216.75</v>
      </c>
      <c r="E1057">
        <f>D1057/MAX($B$2:B1057,100000)</f>
        <v/>
      </c>
      <c r="H1057" s="2" t="n"/>
      <c r="I1057" s="2" t="n"/>
    </row>
    <row r="1058">
      <c r="A1058" s="2" t="n">
        <v>43924</v>
      </c>
      <c r="B1058" t="n">
        <v>1826039</v>
      </c>
      <c r="C1058" t="n">
        <v>1826039</v>
      </c>
      <c r="D1058" t="n">
        <v>-412216.75</v>
      </c>
      <c r="E1058">
        <f>D1058/MAX($B$2:B1058,100000)</f>
        <v/>
      </c>
      <c r="H1058" s="2" t="n"/>
      <c r="I1058" s="2" t="n"/>
    </row>
    <row r="1059">
      <c r="A1059" s="2" t="n">
        <v>43930</v>
      </c>
      <c r="B1059" t="n">
        <v>1826039</v>
      </c>
      <c r="C1059" t="n">
        <v>1826039</v>
      </c>
      <c r="D1059" t="n">
        <v>-412216.75</v>
      </c>
      <c r="E1059">
        <f>D1059/MAX($B$2:B1059,100000)</f>
        <v/>
      </c>
      <c r="H1059" s="2" t="n"/>
      <c r="I1059" s="2" t="n"/>
    </row>
    <row r="1060">
      <c r="A1060" s="2" t="n">
        <v>43938</v>
      </c>
      <c r="B1060" t="n">
        <v>1826039</v>
      </c>
      <c r="C1060" t="n">
        <v>1826039</v>
      </c>
      <c r="D1060" t="n">
        <v>-412216.75</v>
      </c>
      <c r="E1060">
        <f>D1060/MAX($B$2:B1060,100000)</f>
        <v/>
      </c>
      <c r="H1060" s="2" t="n"/>
      <c r="I1060" s="2" t="n"/>
    </row>
    <row r="1061">
      <c r="A1061" s="2" t="n">
        <v>43945</v>
      </c>
      <c r="B1061" t="n">
        <v>1826039</v>
      </c>
      <c r="C1061" t="n">
        <v>1826039</v>
      </c>
      <c r="D1061" t="n">
        <v>-412216.75</v>
      </c>
      <c r="E1061">
        <f>D1061/MAX($B$2:B1061,100000)</f>
        <v/>
      </c>
      <c r="H1061" s="2" t="n"/>
      <c r="I1061" s="2" t="n"/>
    </row>
    <row r="1062">
      <c r="A1062" s="2" t="n">
        <v>43952</v>
      </c>
      <c r="B1062" t="n">
        <v>1826039</v>
      </c>
      <c r="C1062" t="n">
        <v>1826039</v>
      </c>
      <c r="D1062" t="n">
        <v>-412216.75</v>
      </c>
      <c r="E1062">
        <f>D1062/MAX($B$2:B1062,100000)</f>
        <v/>
      </c>
      <c r="H1062" s="2" t="n"/>
      <c r="I1062" s="2" t="n"/>
    </row>
    <row r="1063">
      <c r="A1063" s="2" t="n">
        <v>43959</v>
      </c>
      <c r="B1063" t="n">
        <v>1826039</v>
      </c>
      <c r="C1063" t="n">
        <v>1826039</v>
      </c>
      <c r="D1063" t="n">
        <v>-412216.75</v>
      </c>
      <c r="E1063">
        <f>D1063/MAX($B$2:B1063,100000)</f>
        <v/>
      </c>
      <c r="H1063" s="2" t="n"/>
      <c r="I1063" s="2" t="n"/>
    </row>
    <row r="1064">
      <c r="A1064" s="2" t="n">
        <v>43966</v>
      </c>
      <c r="B1064" t="n">
        <v>1826039</v>
      </c>
      <c r="C1064" t="n">
        <v>1826039</v>
      </c>
      <c r="D1064" t="n">
        <v>-412216.75</v>
      </c>
      <c r="E1064">
        <f>D1064/MAX($B$2:B1064,100000)</f>
        <v/>
      </c>
      <c r="H1064" s="2" t="n"/>
      <c r="I1064" s="2" t="n"/>
    </row>
    <row r="1065">
      <c r="A1065" s="2" t="n">
        <v>43973</v>
      </c>
      <c r="B1065" t="n">
        <v>1826039</v>
      </c>
      <c r="C1065" t="n">
        <v>1826039</v>
      </c>
      <c r="D1065" t="n">
        <v>-412216.75</v>
      </c>
      <c r="E1065">
        <f>D1065/MAX($B$2:B1065,100000)</f>
        <v/>
      </c>
      <c r="H1065" s="2" t="n"/>
      <c r="I1065" s="2" t="n"/>
    </row>
    <row r="1066">
      <c r="A1066" s="2" t="n">
        <v>43980</v>
      </c>
      <c r="B1066" t="n">
        <v>1826039</v>
      </c>
      <c r="C1066" t="n">
        <v>1826039</v>
      </c>
      <c r="D1066" t="n">
        <v>-412216.75</v>
      </c>
      <c r="E1066">
        <f>D1066/MAX($B$2:B1066,100000)</f>
        <v/>
      </c>
      <c r="H1066" s="2" t="n"/>
      <c r="I1066" s="2" t="n"/>
    </row>
    <row r="1067">
      <c r="A1067" s="2" t="n">
        <v>43987</v>
      </c>
      <c r="B1067" t="n">
        <v>1836146.38</v>
      </c>
      <c r="C1067" t="n">
        <v>1483393.75</v>
      </c>
      <c r="D1067" t="n">
        <v>-402109.38</v>
      </c>
      <c r="E1067">
        <f>D1067/MAX($B$2:B1067,100000)</f>
        <v/>
      </c>
      <c r="H1067" s="2" t="n"/>
      <c r="I1067" s="2" t="n"/>
    </row>
    <row r="1068">
      <c r="A1068" s="2" t="n">
        <v>43994</v>
      </c>
      <c r="B1068" t="n">
        <v>1825302.5</v>
      </c>
      <c r="C1068" t="n">
        <v>1253134.88</v>
      </c>
      <c r="D1068" t="n">
        <v>-412953.25</v>
      </c>
      <c r="E1068">
        <f>D1068/MAX($B$2:B1068,100000)</f>
        <v/>
      </c>
      <c r="H1068" s="2" t="n"/>
      <c r="I1068" s="2" t="n"/>
    </row>
    <row r="1069">
      <c r="A1069" s="2" t="n">
        <v>44001</v>
      </c>
      <c r="B1069" t="n">
        <v>1830895.75</v>
      </c>
      <c r="C1069" t="n">
        <v>1139164</v>
      </c>
      <c r="D1069" t="n">
        <v>-407360</v>
      </c>
      <c r="E1069">
        <f>D1069/MAX($B$2:B1069,100000)</f>
        <v/>
      </c>
      <c r="H1069" s="2" t="n"/>
      <c r="I1069" s="2" t="n"/>
    </row>
    <row r="1070">
      <c r="A1070" s="2" t="n">
        <v>44008</v>
      </c>
      <c r="B1070" t="n">
        <v>1841345.13</v>
      </c>
      <c r="C1070" t="n">
        <v>681839.1899999999</v>
      </c>
      <c r="D1070" t="n">
        <v>-396910.63</v>
      </c>
      <c r="E1070">
        <f>D1070/MAX($B$2:B1070,100000)</f>
        <v/>
      </c>
      <c r="H1070" s="2" t="n"/>
      <c r="I1070" s="2" t="n"/>
    </row>
    <row r="1071">
      <c r="A1071" s="2" t="n">
        <v>44015</v>
      </c>
      <c r="B1071" t="n">
        <v>1906196.38</v>
      </c>
      <c r="C1071" t="n">
        <v>565020.3100000001</v>
      </c>
      <c r="D1071" t="n">
        <v>-332059.38</v>
      </c>
      <c r="E1071">
        <f>D1071/MAX($B$2:B1071,100000)</f>
        <v/>
      </c>
      <c r="H1071" s="2" t="n"/>
      <c r="I1071" s="2" t="n"/>
    </row>
    <row r="1072">
      <c r="A1072" s="2" t="n">
        <v>44022</v>
      </c>
      <c r="B1072" t="n">
        <v>1946358.63</v>
      </c>
      <c r="C1072" t="n">
        <v>88203.17999999999</v>
      </c>
      <c r="D1072" t="n">
        <v>-291897.13</v>
      </c>
      <c r="E1072">
        <f>D1072/MAX($B$2:B1072,100000)</f>
        <v/>
      </c>
      <c r="H1072" s="2" t="n"/>
      <c r="I1072" s="2" t="n"/>
    </row>
    <row r="1073">
      <c r="A1073" s="2" t="n">
        <v>44029</v>
      </c>
      <c r="B1073" t="n">
        <v>1962316.5</v>
      </c>
      <c r="C1073" t="n">
        <v>88203.17999999999</v>
      </c>
      <c r="D1073" t="n">
        <v>-275939.25</v>
      </c>
      <c r="E1073">
        <f>D1073/MAX($B$2:B1073,100000)</f>
        <v/>
      </c>
      <c r="H1073" s="2" t="n"/>
      <c r="I1073" s="2" t="n"/>
    </row>
    <row r="1074">
      <c r="A1074" s="2" t="n">
        <v>44036</v>
      </c>
      <c r="B1074" t="n">
        <v>2011184.13</v>
      </c>
      <c r="C1074" t="n">
        <v>88203.17999999999</v>
      </c>
      <c r="D1074" t="n">
        <v>-227071.63</v>
      </c>
      <c r="E1074">
        <f>D1074/MAX($B$2:B1074,100000)</f>
        <v/>
      </c>
      <c r="H1074" s="2" t="n"/>
      <c r="I1074" s="2" t="n"/>
    </row>
    <row r="1075">
      <c r="A1075" s="2" t="n">
        <v>44043</v>
      </c>
      <c r="B1075" t="n">
        <v>2012401.38</v>
      </c>
      <c r="C1075" t="n">
        <v>88203.17999999999</v>
      </c>
      <c r="D1075" t="n">
        <v>-225854.38</v>
      </c>
      <c r="E1075">
        <f>D1075/MAX($B$2:B1075,100000)</f>
        <v/>
      </c>
      <c r="H1075" s="2" t="n"/>
      <c r="I1075" s="2" t="n"/>
    </row>
    <row r="1076">
      <c r="A1076" s="2" t="n">
        <v>44050</v>
      </c>
      <c r="B1076" t="n">
        <v>2051641.38</v>
      </c>
      <c r="C1076" t="n">
        <v>88203.17999999999</v>
      </c>
      <c r="D1076" t="n">
        <v>-186614.38</v>
      </c>
      <c r="E1076">
        <f>D1076/MAX($B$2:B1076,100000)</f>
        <v/>
      </c>
      <c r="H1076" s="2" t="n"/>
      <c r="I1076" s="2" t="n"/>
    </row>
    <row r="1077">
      <c r="A1077" s="2" t="n">
        <v>44057</v>
      </c>
      <c r="B1077" t="n">
        <v>2062659.5</v>
      </c>
      <c r="C1077" t="n">
        <v>88203.17999999999</v>
      </c>
      <c r="D1077" t="n">
        <v>-175596.25</v>
      </c>
      <c r="E1077">
        <f>D1077/MAX($B$2:B1077,100000)</f>
        <v/>
      </c>
      <c r="H1077" s="2" t="n"/>
      <c r="I1077" s="2" t="n"/>
    </row>
    <row r="1078">
      <c r="A1078" s="2" t="n">
        <v>44064</v>
      </c>
      <c r="B1078" t="n">
        <v>2123797.25</v>
      </c>
      <c r="C1078" t="n">
        <v>88203.17999999999</v>
      </c>
      <c r="D1078" t="n">
        <v>-114458.5</v>
      </c>
      <c r="E1078">
        <f>D1078/MAX($B$2:B1078,100000)</f>
        <v/>
      </c>
      <c r="H1078" s="2" t="n"/>
      <c r="I1078" s="2" t="n"/>
    </row>
    <row r="1079">
      <c r="A1079" s="2" t="n">
        <v>44071</v>
      </c>
      <c r="B1079" t="n">
        <v>2162888.25</v>
      </c>
      <c r="C1079" t="n">
        <v>88203.17999999999</v>
      </c>
      <c r="D1079" t="n">
        <v>-75367.5</v>
      </c>
      <c r="E1079">
        <f>D1079/MAX($B$2:B1079,100000)</f>
        <v/>
      </c>
      <c r="H1079" s="2" t="n"/>
      <c r="I1079" s="2" t="n"/>
    </row>
    <row r="1080">
      <c r="A1080" s="2" t="n">
        <v>44078</v>
      </c>
      <c r="B1080" t="n">
        <v>2089780.5</v>
      </c>
      <c r="C1080" t="n">
        <v>88203.17999999999</v>
      </c>
      <c r="D1080" t="n">
        <v>-148475.25</v>
      </c>
      <c r="E1080">
        <f>D1080/MAX($B$2:B1080,100000)</f>
        <v/>
      </c>
      <c r="H1080" s="2" t="n"/>
      <c r="I1080" s="2" t="n"/>
    </row>
    <row r="1081">
      <c r="A1081" s="2" t="n">
        <v>44085</v>
      </c>
      <c r="B1081" t="n">
        <v>2064392.88</v>
      </c>
      <c r="C1081" t="n">
        <v>88203.17999999999</v>
      </c>
      <c r="D1081" t="n">
        <v>-173862.88</v>
      </c>
      <c r="E1081">
        <f>D1081/MAX($B$2:B1081,100000)</f>
        <v/>
      </c>
      <c r="H1081" s="2" t="n"/>
      <c r="I1081" s="2" t="n"/>
    </row>
    <row r="1082">
      <c r="A1082" s="2" t="n">
        <v>44092</v>
      </c>
      <c r="B1082" t="n">
        <v>2079599.75</v>
      </c>
      <c r="C1082" t="n">
        <v>622970.3100000001</v>
      </c>
      <c r="D1082" t="n">
        <v>-158656</v>
      </c>
      <c r="E1082">
        <f>D1082/MAX($B$2:B1082,100000)</f>
        <v/>
      </c>
      <c r="H1082" s="2" t="n"/>
      <c r="I1082" s="2" t="n"/>
    </row>
    <row r="1083">
      <c r="A1083" s="2" t="n">
        <v>44099</v>
      </c>
      <c r="B1083" t="n">
        <v>2062218.38</v>
      </c>
      <c r="C1083" t="n">
        <v>902568.0600000001</v>
      </c>
      <c r="D1083" t="n">
        <v>-176037.38</v>
      </c>
      <c r="E1083">
        <f>D1083/MAX($B$2:B1083,100000)</f>
        <v/>
      </c>
      <c r="H1083" s="2" t="n"/>
      <c r="I1083" s="2" t="n"/>
    </row>
    <row r="1084">
      <c r="A1084" s="2" t="n">
        <v>44106</v>
      </c>
      <c r="B1084" t="n">
        <v>2052833.38</v>
      </c>
      <c r="C1084" t="n">
        <v>1033438.06</v>
      </c>
      <c r="D1084" t="n">
        <v>-185422.38</v>
      </c>
      <c r="E1084">
        <f>D1084/MAX($B$2:B1084,100000)</f>
        <v/>
      </c>
      <c r="H1084" s="2" t="n"/>
      <c r="I1084" s="2" t="n"/>
    </row>
    <row r="1085">
      <c r="A1085" s="2" t="n">
        <v>44113</v>
      </c>
      <c r="B1085" t="n">
        <v>2121342.5</v>
      </c>
      <c r="C1085" t="n">
        <v>1155636.5</v>
      </c>
      <c r="D1085" t="n">
        <v>-116913.25</v>
      </c>
      <c r="E1085">
        <f>D1085/MAX($B$2:B1085,100000)</f>
        <v/>
      </c>
      <c r="H1085" s="2" t="n"/>
      <c r="I1085" s="2" t="n"/>
    </row>
    <row r="1086">
      <c r="A1086" s="2" t="n">
        <v>44120</v>
      </c>
      <c r="B1086" t="n">
        <v>2160465.25</v>
      </c>
      <c r="C1086" t="n">
        <v>90424.32000000001</v>
      </c>
      <c r="D1086" t="n">
        <v>-77790.5</v>
      </c>
      <c r="E1086">
        <f>D1086/MAX($B$2:B1086,100000)</f>
        <v/>
      </c>
      <c r="H1086" s="2" t="n"/>
      <c r="I1086" s="2" t="n"/>
    </row>
    <row r="1087">
      <c r="A1087" s="2" t="n">
        <v>44127</v>
      </c>
      <c r="B1087" t="n">
        <v>2156869.5</v>
      </c>
      <c r="C1087" t="n">
        <v>90424.32000000001</v>
      </c>
      <c r="D1087" t="n">
        <v>-81386.25</v>
      </c>
      <c r="E1087">
        <f>D1087/MAX($B$2:B1087,100000)</f>
        <v/>
      </c>
      <c r="H1087" s="2" t="n"/>
      <c r="I1087" s="2" t="n"/>
    </row>
    <row r="1088">
      <c r="A1088" s="2" t="n">
        <v>44134</v>
      </c>
      <c r="B1088" t="n">
        <v>2098915.25</v>
      </c>
      <c r="C1088" t="n">
        <v>90424.32000000001</v>
      </c>
      <c r="D1088" t="n">
        <v>-139340.5</v>
      </c>
      <c r="E1088">
        <f>D1088/MAX($B$2:B1088,100000)</f>
        <v/>
      </c>
      <c r="H1088" s="2" t="n"/>
      <c r="I1088" s="2" t="n"/>
    </row>
    <row r="1089">
      <c r="A1089" s="2" t="n">
        <v>44141</v>
      </c>
      <c r="B1089" t="n">
        <v>2198733.25</v>
      </c>
      <c r="C1089" t="n">
        <v>90424.32000000001</v>
      </c>
      <c r="D1089" t="n">
        <v>-39522.5</v>
      </c>
      <c r="E1089">
        <f>D1089/MAX($B$2:B1089,100000)</f>
        <v/>
      </c>
      <c r="H1089" s="2" t="n"/>
      <c r="I1089" s="2" t="n"/>
    </row>
    <row r="1090">
      <c r="A1090" s="2" t="n">
        <v>44148</v>
      </c>
      <c r="B1090" t="n">
        <v>2187367</v>
      </c>
      <c r="C1090" t="n">
        <v>94657.64999999999</v>
      </c>
      <c r="D1090" t="n">
        <v>-50888.75</v>
      </c>
      <c r="E1090">
        <f>D1090/MAX($B$2:B1090,100000)</f>
        <v/>
      </c>
      <c r="H1090" s="2" t="n"/>
      <c r="I1090" s="2" t="n"/>
    </row>
    <row r="1091">
      <c r="A1091" s="2" t="n">
        <v>44155</v>
      </c>
      <c r="B1091" t="n">
        <v>2159671.5</v>
      </c>
      <c r="C1091" t="n">
        <v>94657.64999999999</v>
      </c>
      <c r="D1091" t="n">
        <v>-78584.25</v>
      </c>
      <c r="E1091">
        <f>D1091/MAX($B$2:B1091,100000)</f>
        <v/>
      </c>
      <c r="H1091" s="2" t="n"/>
      <c r="I1091" s="2" t="n"/>
    </row>
    <row r="1092">
      <c r="A1092" s="2" t="n">
        <v>44162</v>
      </c>
      <c r="B1092" t="n">
        <v>2150454.75</v>
      </c>
      <c r="C1092" t="n">
        <v>94657.64999999999</v>
      </c>
      <c r="D1092" t="n">
        <v>-87801</v>
      </c>
      <c r="E1092">
        <f>D1092/MAX($B$2:B1092,100000)</f>
        <v/>
      </c>
      <c r="H1092" s="2" t="n"/>
      <c r="I1092" s="2" t="n"/>
    </row>
    <row r="1093">
      <c r="A1093" s="2" t="n">
        <v>44169</v>
      </c>
      <c r="B1093" t="n">
        <v>2196089.25</v>
      </c>
      <c r="C1093" t="n">
        <v>61775.38</v>
      </c>
      <c r="D1093" t="n">
        <v>-42166.5</v>
      </c>
      <c r="E1093">
        <f>D1093/MAX($B$2:B1093,100000)</f>
        <v/>
      </c>
      <c r="H1093" s="2" t="n"/>
      <c r="I1093" s="2" t="n"/>
    </row>
    <row r="1094">
      <c r="A1094" s="2" t="n">
        <v>44176</v>
      </c>
      <c r="B1094" t="n">
        <v>2204209.75</v>
      </c>
      <c r="C1094" t="n">
        <v>61775.38</v>
      </c>
      <c r="D1094" t="n">
        <v>-34046</v>
      </c>
      <c r="E1094">
        <f>D1094/MAX($B$2:B1094,100000)</f>
        <v/>
      </c>
      <c r="H1094" s="2" t="n"/>
      <c r="I1094" s="2" t="n"/>
    </row>
    <row r="1095">
      <c r="A1095" s="2" t="n">
        <v>44183</v>
      </c>
      <c r="B1095" t="n">
        <v>2226690</v>
      </c>
      <c r="C1095" t="n">
        <v>61775.38</v>
      </c>
      <c r="D1095" t="n">
        <v>-11565.75</v>
      </c>
      <c r="E1095">
        <f>D1095/MAX($B$2:B1095,100000)</f>
        <v/>
      </c>
      <c r="H1095" s="2" t="n"/>
      <c r="I1095" s="2" t="n"/>
    </row>
    <row r="1096">
      <c r="A1096" s="2" t="n">
        <v>44189</v>
      </c>
      <c r="B1096" t="n">
        <v>2201694</v>
      </c>
      <c r="C1096" t="n">
        <v>61775.38</v>
      </c>
      <c r="D1096" t="n">
        <v>-36561.75</v>
      </c>
      <c r="E1096">
        <f>D1096/MAX($B$2:B1096,100000)</f>
        <v/>
      </c>
      <c r="H1096" s="2" t="n"/>
      <c r="I1096" s="2" t="n"/>
    </row>
    <row r="1097">
      <c r="A1097" s="2" t="n">
        <v>44196</v>
      </c>
      <c r="B1097" t="n">
        <v>2204600</v>
      </c>
      <c r="C1097" t="n">
        <v>61775.38</v>
      </c>
      <c r="D1097" t="n">
        <v>-33655.75</v>
      </c>
      <c r="E1097">
        <f>D1097/MAX($B$2:B1097,100000)</f>
        <v/>
      </c>
      <c r="H1097" s="2" t="n"/>
      <c r="I1097" s="2" t="n"/>
    </row>
    <row r="1098">
      <c r="A1098" s="2" t="n">
        <v>44204</v>
      </c>
      <c r="B1098" t="n">
        <v>2245307</v>
      </c>
      <c r="C1098" t="n">
        <v>61775.38</v>
      </c>
      <c r="D1098" t="n">
        <v>0</v>
      </c>
      <c r="E1098">
        <f>D1098/MAX($B$2:B1098,100000)</f>
        <v/>
      </c>
      <c r="H1098" s="2" t="n"/>
      <c r="I1098" s="2" t="n"/>
    </row>
    <row r="1099">
      <c r="A1099" s="2" t="n">
        <v>44211</v>
      </c>
      <c r="B1099" t="n">
        <v>2175512</v>
      </c>
      <c r="C1099" t="n">
        <v>19164.98</v>
      </c>
      <c r="D1099" t="n">
        <v>-69795</v>
      </c>
      <c r="E1099">
        <f>D1099/MAX($B$2:B1099,100000)</f>
        <v/>
      </c>
      <c r="H1099" s="2" t="n"/>
      <c r="I1099" s="2" t="n"/>
    </row>
    <row r="1100">
      <c r="A1100" s="2" t="n">
        <v>44218</v>
      </c>
      <c r="B1100" t="n">
        <v>2246166.75</v>
      </c>
      <c r="C1100" t="n">
        <v>19164.98</v>
      </c>
      <c r="D1100" t="n">
        <v>0</v>
      </c>
      <c r="E1100">
        <f>D1100/MAX($B$2:B1100,100000)</f>
        <v/>
      </c>
      <c r="H1100" s="2" t="n"/>
      <c r="I1100" s="2" t="n"/>
    </row>
    <row r="1101">
      <c r="A1101" s="2" t="n">
        <v>44225</v>
      </c>
      <c r="B1101" t="n">
        <v>2183476.75</v>
      </c>
      <c r="C1101" t="n">
        <v>19164.98</v>
      </c>
      <c r="D1101" t="n">
        <v>-62690</v>
      </c>
      <c r="E1101">
        <f>D1101/MAX($B$2:B1101,100000)</f>
        <v/>
      </c>
      <c r="H1101" s="2" t="n"/>
      <c r="I1101" s="2" t="n"/>
    </row>
    <row r="1102">
      <c r="A1102" s="2" t="n">
        <v>44232</v>
      </c>
      <c r="B1102" t="n">
        <v>2259714</v>
      </c>
      <c r="C1102" t="n">
        <v>19164.98</v>
      </c>
      <c r="D1102" t="n">
        <v>0</v>
      </c>
      <c r="E1102">
        <f>D1102/MAX($B$2:B1102,100000)</f>
        <v/>
      </c>
      <c r="H1102" s="2" t="n"/>
      <c r="I1102" s="2" t="n"/>
    </row>
    <row r="1103">
      <c r="A1103" s="2" t="n">
        <v>44239</v>
      </c>
      <c r="B1103" t="n">
        <v>2255017.25</v>
      </c>
      <c r="C1103" t="n">
        <v>117730.39</v>
      </c>
      <c r="D1103" t="n">
        <v>-4696.75</v>
      </c>
      <c r="E1103">
        <f>D1103/MAX($B$2:B1103,100000)</f>
        <v/>
      </c>
      <c r="H1103" s="2" t="n"/>
      <c r="I1103" s="2" t="n"/>
    </row>
    <row r="1104">
      <c r="A1104" s="2" t="n">
        <v>44246</v>
      </c>
      <c r="B1104" t="n">
        <v>2218975.25</v>
      </c>
      <c r="C1104" t="n">
        <v>117730.39</v>
      </c>
      <c r="D1104" t="n">
        <v>-40738.75</v>
      </c>
      <c r="E1104">
        <f>D1104/MAX($B$2:B1104,100000)</f>
        <v/>
      </c>
      <c r="H1104" s="2" t="n"/>
      <c r="I1104" s="2" t="n"/>
    </row>
    <row r="1105">
      <c r="A1105" s="2" t="n">
        <v>44253</v>
      </c>
      <c r="B1105" t="n">
        <v>2221748.5</v>
      </c>
      <c r="C1105" t="n">
        <v>117730.39</v>
      </c>
      <c r="D1105" t="n">
        <v>-37965.5</v>
      </c>
      <c r="E1105">
        <f>D1105/MAX($B$2:B1105,100000)</f>
        <v/>
      </c>
      <c r="H1105" s="2" t="n"/>
      <c r="I1105" s="2" t="n"/>
    </row>
    <row r="1106">
      <c r="A1106" s="2" t="n">
        <v>44260</v>
      </c>
      <c r="B1106" t="n">
        <v>2221619.5</v>
      </c>
      <c r="C1106" t="n">
        <v>117730.39</v>
      </c>
      <c r="D1106" t="n">
        <v>-38094.5</v>
      </c>
      <c r="E1106">
        <f>D1106/MAX($B$2:B1106,100000)</f>
        <v/>
      </c>
      <c r="H1106" s="2" t="n"/>
      <c r="I1106" s="2" t="n"/>
    </row>
    <row r="1107">
      <c r="A1107" s="2" t="n">
        <v>44267</v>
      </c>
      <c r="B1107" t="n">
        <v>2262818.75</v>
      </c>
      <c r="C1107" t="n">
        <v>841934.38</v>
      </c>
      <c r="D1107" t="n">
        <v>0</v>
      </c>
      <c r="E1107">
        <f>D1107/MAX($B$2:B1107,100000)</f>
        <v/>
      </c>
      <c r="H1107" s="2" t="n"/>
      <c r="I1107" s="2" t="n"/>
    </row>
    <row r="1108">
      <c r="A1108" s="2" t="n">
        <v>44274</v>
      </c>
      <c r="B1108" t="n">
        <v>2278367.5</v>
      </c>
      <c r="C1108" t="n">
        <v>558534.0600000001</v>
      </c>
      <c r="D1108" t="n">
        <v>0</v>
      </c>
      <c r="E1108">
        <f>D1108/MAX($B$2:B1108,100000)</f>
        <v/>
      </c>
      <c r="H1108" s="2" t="n"/>
      <c r="I1108" s="2" t="n"/>
    </row>
    <row r="1109">
      <c r="A1109" s="2" t="n">
        <v>44281</v>
      </c>
      <c r="B1109" t="n">
        <v>2277419.5</v>
      </c>
      <c r="C1109" t="n">
        <v>558534.0600000001</v>
      </c>
      <c r="D1109" t="n">
        <v>-948</v>
      </c>
      <c r="E1109">
        <f>D1109/MAX($B$2:B1109,100000)</f>
        <v/>
      </c>
      <c r="H1109" s="2" t="n"/>
      <c r="I1109" s="2" t="n"/>
    </row>
    <row r="1110">
      <c r="A1110" s="2" t="n">
        <v>44287</v>
      </c>
      <c r="B1110" t="n">
        <v>2277398.75</v>
      </c>
      <c r="C1110" t="n">
        <v>130495.02</v>
      </c>
      <c r="D1110" t="n">
        <v>-968.75</v>
      </c>
      <c r="E1110">
        <f>D1110/MAX($B$2:B1110,100000)</f>
        <v/>
      </c>
      <c r="H1110" s="2" t="n"/>
      <c r="I1110" s="2" t="n"/>
    </row>
    <row r="1111">
      <c r="A1111" s="2" t="n">
        <v>44295</v>
      </c>
      <c r="B1111" t="n">
        <v>2344769.5</v>
      </c>
      <c r="C1111" t="n">
        <v>130495.02</v>
      </c>
      <c r="D1111" t="n">
        <v>0</v>
      </c>
      <c r="E1111">
        <f>D1111/MAX($B$2:B1111,100000)</f>
        <v/>
      </c>
      <c r="H1111" s="2" t="n"/>
      <c r="I1111" s="2" t="n"/>
    </row>
    <row r="1112">
      <c r="A1112" s="2" t="n">
        <v>44302</v>
      </c>
      <c r="B1112" t="n">
        <v>2372706.25</v>
      </c>
      <c r="C1112" t="n">
        <v>130495.02</v>
      </c>
      <c r="D1112" t="n">
        <v>0</v>
      </c>
      <c r="E1112">
        <f>D1112/MAX($B$2:B1112,100000)</f>
        <v/>
      </c>
      <c r="H1112" s="2" t="n"/>
      <c r="I1112" s="2" t="n"/>
    </row>
    <row r="1113">
      <c r="A1113" s="2" t="n">
        <v>44309</v>
      </c>
      <c r="B1113" t="n">
        <v>2384529.5</v>
      </c>
      <c r="C1113" t="n">
        <v>130495.02</v>
      </c>
      <c r="D1113" t="n">
        <v>0</v>
      </c>
      <c r="E1113">
        <f>D1113/MAX($B$2:B1113,100000)</f>
        <v/>
      </c>
      <c r="H1113" s="2" t="n"/>
      <c r="I1113" s="2" t="n"/>
    </row>
    <row r="1114">
      <c r="A1114" s="2" t="n">
        <v>44316</v>
      </c>
      <c r="B1114" t="n">
        <v>2349860.75</v>
      </c>
      <c r="C1114" t="n">
        <v>130495.02</v>
      </c>
      <c r="D1114" t="n">
        <v>-34668.75</v>
      </c>
      <c r="E1114">
        <f>D1114/MAX($B$2:B1114,100000)</f>
        <v/>
      </c>
      <c r="H1114" s="2" t="n"/>
      <c r="I1114" s="2" t="n"/>
    </row>
    <row r="1115">
      <c r="A1115" s="2" t="n">
        <v>44323</v>
      </c>
      <c r="B1115" t="n">
        <v>2363151.75</v>
      </c>
      <c r="C1115" t="n">
        <v>130495.02</v>
      </c>
      <c r="D1115" t="n">
        <v>-21377.75</v>
      </c>
      <c r="E1115">
        <f>D1115/MAX($B$2:B1115,100000)</f>
        <v/>
      </c>
      <c r="H1115" s="2" t="n"/>
      <c r="I1115" s="2" t="n"/>
    </row>
    <row r="1116">
      <c r="A1116" s="2" t="n">
        <v>44330</v>
      </c>
      <c r="B1116" t="n">
        <v>2338925</v>
      </c>
      <c r="C1116" t="n">
        <v>130495.02</v>
      </c>
      <c r="D1116" t="n">
        <v>-45604.5</v>
      </c>
      <c r="E1116">
        <f>D1116/MAX($B$2:B1116,100000)</f>
        <v/>
      </c>
      <c r="H1116" s="2" t="n"/>
      <c r="I1116" s="2" t="n"/>
    </row>
    <row r="1117">
      <c r="A1117" s="2" t="n">
        <v>44337</v>
      </c>
      <c r="B1117" t="n">
        <v>2339870.5</v>
      </c>
      <c r="C1117" t="n">
        <v>130495.02</v>
      </c>
      <c r="D1117" t="n">
        <v>-44659</v>
      </c>
      <c r="E1117">
        <f>D1117/MAX($B$2:B1117,100000)</f>
        <v/>
      </c>
      <c r="H1117" s="2" t="n"/>
      <c r="I1117" s="2" t="n"/>
    </row>
    <row r="1118">
      <c r="A1118" s="2" t="n">
        <v>44344</v>
      </c>
      <c r="B1118" t="n">
        <v>2373306.25</v>
      </c>
      <c r="C1118" t="n">
        <v>130495.02</v>
      </c>
      <c r="D1118" t="n">
        <v>-11223.25</v>
      </c>
      <c r="E1118">
        <f>D1118/MAX($B$2:B1118,100000)</f>
        <v/>
      </c>
      <c r="H1118" s="2" t="n"/>
      <c r="I1118" s="2" t="n"/>
    </row>
    <row r="1119">
      <c r="A1119" s="2" t="n">
        <v>44351</v>
      </c>
      <c r="B1119" t="n">
        <v>2400230.5</v>
      </c>
      <c r="C1119" t="n">
        <v>130495.02</v>
      </c>
      <c r="D1119" t="n">
        <v>0</v>
      </c>
      <c r="E1119">
        <f>D1119/MAX($B$2:B1119,100000)</f>
        <v/>
      </c>
      <c r="H1119" s="2" t="n"/>
      <c r="I1119" s="2" t="n"/>
    </row>
    <row r="1120">
      <c r="A1120" s="2" t="n">
        <v>44358</v>
      </c>
      <c r="B1120" t="n">
        <v>2419462.5</v>
      </c>
      <c r="C1120" t="n">
        <v>130495.02</v>
      </c>
      <c r="D1120" t="n">
        <v>0</v>
      </c>
      <c r="E1120">
        <f>D1120/MAX($B$2:B1120,100000)</f>
        <v/>
      </c>
      <c r="H1120" s="2" t="n"/>
      <c r="I1120" s="2" t="n"/>
    </row>
    <row r="1121">
      <c r="A1121" s="2" t="n">
        <v>44365</v>
      </c>
      <c r="B1121" t="n">
        <v>2420265.25</v>
      </c>
      <c r="C1121" t="n">
        <v>130495.02</v>
      </c>
      <c r="D1121" t="n">
        <v>0</v>
      </c>
      <c r="E1121">
        <f>D1121/MAX($B$2:B1121,100000)</f>
        <v/>
      </c>
      <c r="H1121" s="2" t="n"/>
      <c r="I1121" s="2" t="n"/>
    </row>
    <row r="1122">
      <c r="A1122" s="2" t="n">
        <v>44372</v>
      </c>
      <c r="B1122" t="n">
        <v>2454916.75</v>
      </c>
      <c r="C1122" t="n">
        <v>130495.02</v>
      </c>
      <c r="D1122" t="n">
        <v>0</v>
      </c>
      <c r="E1122">
        <f>D1122/MAX($B$2:B1122,100000)</f>
        <v/>
      </c>
      <c r="H1122" s="2" t="n"/>
      <c r="I1122" s="2" t="n"/>
    </row>
    <row r="1123">
      <c r="A1123" s="2" t="n">
        <v>44379</v>
      </c>
      <c r="B1123" t="n">
        <v>2476056.5</v>
      </c>
      <c r="C1123" t="n">
        <v>130495.02</v>
      </c>
      <c r="D1123" t="n">
        <v>0</v>
      </c>
      <c r="E1123">
        <f>D1123/MAX($B$2:B1123,100000)</f>
        <v/>
      </c>
      <c r="H1123" s="2" t="n"/>
      <c r="I1123" s="2" t="n"/>
    </row>
    <row r="1124">
      <c r="A1124" s="2" t="n">
        <v>44386</v>
      </c>
      <c r="B1124" t="n">
        <v>2427346</v>
      </c>
      <c r="C1124" t="n">
        <v>130495.02</v>
      </c>
      <c r="D1124" t="n">
        <v>-48710.5</v>
      </c>
      <c r="E1124">
        <f>D1124/MAX($B$2:B1124,100000)</f>
        <v/>
      </c>
      <c r="H1124" s="2" t="n"/>
      <c r="I1124" s="2" t="n"/>
    </row>
    <row r="1125">
      <c r="A1125" s="2" t="n">
        <v>44393</v>
      </c>
      <c r="B1125" t="n">
        <v>2471153.75</v>
      </c>
      <c r="C1125" t="n">
        <v>130495.02</v>
      </c>
      <c r="D1125" t="n">
        <v>-4902.75</v>
      </c>
      <c r="E1125">
        <f>D1125/MAX($B$2:B1125,100000)</f>
        <v/>
      </c>
      <c r="H1125" s="2" t="n"/>
      <c r="I1125" s="2" t="n"/>
    </row>
    <row r="1126">
      <c r="A1126" s="2" t="n">
        <v>44400</v>
      </c>
      <c r="B1126" t="n">
        <v>2514112.5</v>
      </c>
      <c r="C1126" t="n">
        <v>130495.02</v>
      </c>
      <c r="D1126" t="n">
        <v>0</v>
      </c>
      <c r="E1126">
        <f>D1126/MAX($B$2:B1126,100000)</f>
        <v/>
      </c>
      <c r="H1126" s="2" t="n"/>
      <c r="I1126" s="2" t="n"/>
    </row>
    <row r="1127">
      <c r="A1127" s="2" t="n">
        <v>44407</v>
      </c>
      <c r="B1127" t="n">
        <v>2517008.25</v>
      </c>
      <c r="C1127" t="n">
        <v>130495.02</v>
      </c>
      <c r="D1127" t="n">
        <v>0</v>
      </c>
      <c r="E1127">
        <f>D1127/MAX($B$2:B1127,100000)</f>
        <v/>
      </c>
      <c r="H1127" s="2" t="n"/>
      <c r="I1127" s="2" t="n"/>
    </row>
    <row r="1128">
      <c r="A1128" s="2" t="n">
        <v>44414</v>
      </c>
      <c r="B1128" t="n">
        <v>2500906</v>
      </c>
      <c r="C1128" t="n">
        <v>130495.02</v>
      </c>
      <c r="D1128" t="n">
        <v>-16102.25</v>
      </c>
      <c r="E1128">
        <f>D1128/MAX($B$2:B1128,100000)</f>
        <v/>
      </c>
      <c r="H1128" s="2" t="n"/>
      <c r="I1128" s="2" t="n"/>
    </row>
    <row r="1129">
      <c r="A1129" s="2" t="n">
        <v>44421</v>
      </c>
      <c r="B1129" t="n">
        <v>2562108.75</v>
      </c>
      <c r="C1129" t="n">
        <v>130495.02</v>
      </c>
      <c r="D1129" t="n">
        <v>0</v>
      </c>
      <c r="E1129">
        <f>D1129/MAX($B$2:B1129,100000)</f>
        <v/>
      </c>
      <c r="H1129" s="2" t="n"/>
      <c r="I1129" s="2" t="n"/>
    </row>
    <row r="1130">
      <c r="A1130" s="2" t="n">
        <v>44428</v>
      </c>
      <c r="B1130" t="n">
        <v>2520234.5</v>
      </c>
      <c r="C1130" t="n">
        <v>130495.02</v>
      </c>
      <c r="D1130" t="n">
        <v>-41874.25</v>
      </c>
      <c r="E1130">
        <f>D1130/MAX($B$2:B1130,100000)</f>
        <v/>
      </c>
      <c r="H1130" s="2" t="n"/>
      <c r="I1130" s="2" t="n"/>
    </row>
    <row r="1131">
      <c r="A1131" s="2" t="n">
        <v>44435</v>
      </c>
      <c r="B1131" t="n">
        <v>2560897.25</v>
      </c>
      <c r="C1131" t="n">
        <v>130495.02</v>
      </c>
      <c r="D1131" t="n">
        <v>-1211.5</v>
      </c>
      <c r="E1131">
        <f>D1131/MAX($B$2:B1131,100000)</f>
        <v/>
      </c>
      <c r="H1131" s="2" t="n"/>
      <c r="I1131" s="2" t="n"/>
    </row>
    <row r="1132">
      <c r="A1132" s="2" t="n">
        <v>44442</v>
      </c>
      <c r="B1132" t="n">
        <v>2642197.25</v>
      </c>
      <c r="C1132" t="n">
        <v>130495.02</v>
      </c>
      <c r="D1132" t="n">
        <v>0</v>
      </c>
      <c r="E1132">
        <f>D1132/MAX($B$2:B1132,100000)</f>
        <v/>
      </c>
      <c r="H1132" s="2" t="n"/>
      <c r="I1132" s="2" t="n"/>
    </row>
    <row r="1133">
      <c r="A1133" s="2" t="n">
        <v>44449</v>
      </c>
      <c r="B1133" t="n">
        <v>2647278.75</v>
      </c>
      <c r="C1133" t="n">
        <v>130495.02</v>
      </c>
      <c r="D1133" t="n">
        <v>0</v>
      </c>
      <c r="E1133">
        <f>D1133/MAX($B$2:B1133,100000)</f>
        <v/>
      </c>
      <c r="H1133" s="2" t="n"/>
      <c r="I1133" s="2" t="n"/>
    </row>
    <row r="1134">
      <c r="A1134" s="2" t="n">
        <v>44456</v>
      </c>
      <c r="B1134" t="n">
        <v>2646363.5</v>
      </c>
      <c r="C1134" t="n">
        <v>130495.02</v>
      </c>
      <c r="D1134" t="n">
        <v>-915.25</v>
      </c>
      <c r="E1134">
        <f>D1134/MAX($B$2:B1134,100000)</f>
        <v/>
      </c>
      <c r="H1134" s="2" t="n"/>
      <c r="I1134" s="2" t="n"/>
    </row>
    <row r="1135">
      <c r="A1135" s="2" t="n">
        <v>44463</v>
      </c>
      <c r="B1135" t="n">
        <v>2673975.25</v>
      </c>
      <c r="C1135" t="n">
        <v>130495.02</v>
      </c>
      <c r="D1135" t="n">
        <v>0</v>
      </c>
      <c r="E1135">
        <f>D1135/MAX($B$2:B1135,100000)</f>
        <v/>
      </c>
      <c r="H1135" s="2" t="n"/>
      <c r="I1135" s="2" t="n"/>
    </row>
    <row r="1136">
      <c r="A1136" s="2" t="n">
        <v>44470</v>
      </c>
      <c r="B1136" t="n">
        <v>2618738.5</v>
      </c>
      <c r="C1136" t="n">
        <v>337767.91</v>
      </c>
      <c r="D1136" t="n">
        <v>-55236.75</v>
      </c>
      <c r="E1136">
        <f>D1136/MAX($B$2:B1136,100000)</f>
        <v/>
      </c>
      <c r="H1136" s="2" t="n"/>
      <c r="I1136" s="2" t="n"/>
    </row>
    <row r="1137">
      <c r="A1137" s="2" t="n">
        <v>44477</v>
      </c>
      <c r="B1137" t="n">
        <v>2640280.5</v>
      </c>
      <c r="C1137" t="n">
        <v>337767.91</v>
      </c>
      <c r="D1137" t="n">
        <v>-33694.75</v>
      </c>
      <c r="E1137">
        <f>D1137/MAX($B$2:B1137,100000)</f>
        <v/>
      </c>
      <c r="H1137" s="2" t="n"/>
      <c r="I1137" s="2" t="n"/>
    </row>
    <row r="1138">
      <c r="A1138" s="2" t="n">
        <v>44484</v>
      </c>
      <c r="B1138" t="n">
        <v>2671684</v>
      </c>
      <c r="C1138" t="n">
        <v>337767.91</v>
      </c>
      <c r="D1138" t="n">
        <v>-2291.25</v>
      </c>
      <c r="E1138">
        <f>D1138/MAX($B$2:B1138,100000)</f>
        <v/>
      </c>
      <c r="H1138" s="2" t="n"/>
      <c r="I1138" s="2" t="n"/>
    </row>
    <row r="1139">
      <c r="A1139" s="2" t="n">
        <v>44491</v>
      </c>
      <c r="B1139" t="n">
        <v>2653506</v>
      </c>
      <c r="C1139" t="n">
        <v>527320.1899999999</v>
      </c>
      <c r="D1139" t="n">
        <v>-20469.25</v>
      </c>
      <c r="E1139">
        <f>D1139/MAX($B$2:B1139,100000)</f>
        <v/>
      </c>
      <c r="H1139" s="2" t="n"/>
      <c r="I1139" s="2" t="n"/>
    </row>
    <row r="1140">
      <c r="A1140" s="2" t="n">
        <v>44498</v>
      </c>
      <c r="B1140" t="n">
        <v>2639490.5</v>
      </c>
      <c r="C1140" t="n">
        <v>27809.58</v>
      </c>
      <c r="D1140" t="n">
        <v>-34484.75</v>
      </c>
      <c r="E1140">
        <f>D1140/MAX($B$2:B1140,100000)</f>
        <v/>
      </c>
      <c r="H1140" s="2" t="n"/>
      <c r="I1140" s="2" t="n"/>
    </row>
    <row r="1141">
      <c r="A1141" s="2" t="n">
        <v>44505</v>
      </c>
      <c r="B1141" t="n">
        <v>2675439.25</v>
      </c>
      <c r="C1141" t="n">
        <v>27809.58</v>
      </c>
      <c r="D1141" t="n">
        <v>0</v>
      </c>
      <c r="E1141">
        <f>D1141/MAX($B$2:B1141,100000)</f>
        <v/>
      </c>
      <c r="H1141" s="2" t="n"/>
      <c r="I1141" s="2" t="n"/>
    </row>
    <row r="1142">
      <c r="A1142" s="2" t="n">
        <v>44512</v>
      </c>
      <c r="B1142" t="n">
        <v>2649064</v>
      </c>
      <c r="C1142" t="n">
        <v>27809.58</v>
      </c>
      <c r="D1142" t="n">
        <v>-26375.25</v>
      </c>
      <c r="E1142">
        <f>D1142/MAX($B$2:B1142,100000)</f>
        <v/>
      </c>
      <c r="H1142" s="2" t="n"/>
      <c r="I1142" s="2" t="n"/>
    </row>
    <row r="1143">
      <c r="A1143" s="2" t="n">
        <v>44519</v>
      </c>
      <c r="B1143" t="n">
        <v>2675669.75</v>
      </c>
      <c r="C1143" t="n">
        <v>27809.58</v>
      </c>
      <c r="D1143" t="n">
        <v>0</v>
      </c>
      <c r="E1143">
        <f>D1143/MAX($B$2:B1143,100000)</f>
        <v/>
      </c>
      <c r="H1143" s="2" t="n"/>
      <c r="I1143" s="2" t="n"/>
    </row>
    <row r="1144">
      <c r="A1144" s="2" t="n">
        <v>44526</v>
      </c>
      <c r="B1144" t="n">
        <v>2573969</v>
      </c>
      <c r="C1144" t="n">
        <v>27809.58</v>
      </c>
      <c r="D1144" t="n">
        <v>-101700.75</v>
      </c>
      <c r="E1144">
        <f>D1144/MAX($B$2:B1144,100000)</f>
        <v/>
      </c>
      <c r="H1144" s="2" t="n"/>
      <c r="I1144" s="2" t="n"/>
    </row>
    <row r="1145">
      <c r="A1145" s="2" t="n">
        <v>44533</v>
      </c>
      <c r="B1145" t="n">
        <v>2577769.5</v>
      </c>
      <c r="C1145" t="n">
        <v>202325.08</v>
      </c>
      <c r="D1145" t="n">
        <v>-97900.25</v>
      </c>
      <c r="E1145">
        <f>D1145/MAX($B$2:B1145,100000)</f>
        <v/>
      </c>
      <c r="H1145" s="2" t="n"/>
      <c r="I1145" s="2" t="n"/>
    </row>
    <row r="1146">
      <c r="A1146" s="2" t="n">
        <v>44540</v>
      </c>
      <c r="B1146" t="n">
        <v>2609513.5</v>
      </c>
      <c r="C1146" t="n">
        <v>372550.75</v>
      </c>
      <c r="D1146" t="n">
        <v>-66156.25</v>
      </c>
      <c r="E1146">
        <f>D1146/MAX($B$2:B1146,100000)</f>
        <v/>
      </c>
      <c r="H1146" s="2" t="n"/>
      <c r="I1146" s="2" t="n"/>
    </row>
    <row r="1147">
      <c r="A1147" s="2" t="n">
        <v>44547</v>
      </c>
      <c r="B1147" t="n">
        <v>2596879.25</v>
      </c>
      <c r="C1147" t="n">
        <v>516683.59</v>
      </c>
      <c r="D1147" t="n">
        <v>-78790.5</v>
      </c>
      <c r="E1147">
        <f>D1147/MAX($B$2:B1147,100000)</f>
        <v/>
      </c>
      <c r="H1147" s="2" t="n"/>
      <c r="I1147" s="2" t="n"/>
    </row>
    <row r="1148">
      <c r="A1148" s="2" t="n">
        <v>44554</v>
      </c>
      <c r="B1148" t="n">
        <v>2646899.75</v>
      </c>
      <c r="C1148" t="n">
        <v>516683.59</v>
      </c>
      <c r="D1148" t="n">
        <v>-28770</v>
      </c>
      <c r="E1148">
        <f>D1148/MAX($B$2:B1148,100000)</f>
        <v/>
      </c>
      <c r="H1148" s="2" t="n"/>
      <c r="I1148" s="2" t="n"/>
    </row>
    <row r="1149">
      <c r="A1149" s="2" t="n">
        <v>44561</v>
      </c>
      <c r="B1149" t="n">
        <v>2686879.75</v>
      </c>
      <c r="C1149" t="n">
        <v>16457.4</v>
      </c>
      <c r="D1149" t="n">
        <v>0</v>
      </c>
      <c r="E1149">
        <f>D1149/MAX($B$2:B1149,100000)</f>
        <v/>
      </c>
      <c r="H1149" s="2" t="n"/>
      <c r="I1149" s="2" t="n"/>
    </row>
    <row r="1150">
      <c r="A1150" s="2" t="n">
        <v>44568</v>
      </c>
      <c r="B1150" t="n">
        <v>2704540.5</v>
      </c>
      <c r="C1150" t="n">
        <v>16457.4</v>
      </c>
      <c r="D1150" t="n">
        <v>0</v>
      </c>
      <c r="E1150">
        <f>D1150/MAX($B$2:B1150,100000)</f>
        <v/>
      </c>
      <c r="H1150" s="2" t="n"/>
      <c r="I1150" s="2" t="n"/>
    </row>
    <row r="1151">
      <c r="A1151" s="2" t="n">
        <v>44575</v>
      </c>
      <c r="B1151" t="n">
        <v>2715470</v>
      </c>
      <c r="C1151" t="n">
        <v>16457.4</v>
      </c>
      <c r="D1151" t="n">
        <v>0</v>
      </c>
      <c r="E1151">
        <f>D1151/MAX($B$2:B1151,100000)</f>
        <v/>
      </c>
      <c r="H1151" s="2" t="n"/>
      <c r="I1151" s="2" t="n"/>
    </row>
    <row r="1152">
      <c r="A1152" s="2" t="n">
        <v>44582</v>
      </c>
      <c r="B1152" t="n">
        <v>2645701.25</v>
      </c>
      <c r="C1152" t="n">
        <v>16457.4</v>
      </c>
      <c r="D1152" t="n">
        <v>-69768.75</v>
      </c>
      <c r="E1152">
        <f>D1152/MAX($B$2:B1152,100000)</f>
        <v/>
      </c>
      <c r="H1152" s="2" t="n"/>
      <c r="I1152" s="2" t="n"/>
    </row>
    <row r="1153">
      <c r="A1153" s="2" t="n">
        <v>44589</v>
      </c>
      <c r="B1153" t="n">
        <v>2545121.25</v>
      </c>
      <c r="C1153" t="n">
        <v>16457.4</v>
      </c>
      <c r="D1153" t="n">
        <v>-170348.75</v>
      </c>
      <c r="E1153">
        <f>D1153/MAX($B$2:B1153,100000)</f>
        <v/>
      </c>
      <c r="H1153" s="2" t="n"/>
      <c r="I1153" s="2" t="n"/>
    </row>
    <row r="1154">
      <c r="A1154" s="2" t="n">
        <v>44596</v>
      </c>
      <c r="B1154" t="n">
        <v>2611560.5</v>
      </c>
      <c r="C1154" t="n">
        <v>223105.38</v>
      </c>
      <c r="D1154" t="n">
        <v>-103909.5</v>
      </c>
      <c r="E1154">
        <f>D1154/MAX($B$2:B1154,100000)</f>
        <v/>
      </c>
      <c r="H1154" s="2" t="n"/>
      <c r="I1154" s="2" t="n"/>
    </row>
    <row r="1155">
      <c r="A1155" s="2" t="n">
        <v>44603</v>
      </c>
      <c r="B1155" t="n">
        <v>2627835.5</v>
      </c>
      <c r="C1155" t="n">
        <v>1275834.75</v>
      </c>
      <c r="D1155" t="n">
        <v>-87634.5</v>
      </c>
      <c r="E1155">
        <f>D1155/MAX($B$2:B1155,100000)</f>
        <v/>
      </c>
      <c r="H1155" s="2" t="n"/>
      <c r="I1155" s="2" t="n"/>
    </row>
    <row r="1156">
      <c r="A1156" s="2" t="n">
        <v>44610</v>
      </c>
      <c r="B1156" t="n">
        <v>2601855.5</v>
      </c>
      <c r="C1156" t="n">
        <v>1275834.75</v>
      </c>
      <c r="D1156" t="n">
        <v>-113614.5</v>
      </c>
      <c r="E1156">
        <f>D1156/MAX($B$2:B1156,100000)</f>
        <v/>
      </c>
      <c r="H1156" s="2" t="n"/>
      <c r="I1156" s="2" t="n"/>
    </row>
    <row r="1157">
      <c r="A1157" s="2" t="n">
        <v>44617</v>
      </c>
      <c r="B1157" t="n">
        <v>2585388.25</v>
      </c>
      <c r="C1157" t="n">
        <v>1275834.75</v>
      </c>
      <c r="D1157" t="n">
        <v>-130081.75</v>
      </c>
      <c r="E1157">
        <f>D1157/MAX($B$2:B1157,100000)</f>
        <v/>
      </c>
      <c r="H1157" s="2" t="n"/>
      <c r="I1157" s="2" t="n"/>
    </row>
    <row r="1158">
      <c r="A1158" s="2" t="n">
        <v>44624</v>
      </c>
      <c r="B1158" t="n">
        <v>2585033.75</v>
      </c>
      <c r="C1158" t="n">
        <v>1620858.38</v>
      </c>
      <c r="D1158" t="n">
        <v>-130436.25</v>
      </c>
      <c r="E1158">
        <f>D1158/MAX($B$2:B1158,100000)</f>
        <v/>
      </c>
      <c r="H1158" s="2" t="n"/>
      <c r="I1158" s="2" t="n"/>
    </row>
    <row r="1159">
      <c r="A1159" s="2" t="n">
        <v>44631</v>
      </c>
      <c r="B1159" t="n">
        <v>2575804.5</v>
      </c>
      <c r="C1159" t="n">
        <v>1943985.13</v>
      </c>
      <c r="D1159" t="n">
        <v>-139665.5</v>
      </c>
      <c r="E1159">
        <f>D1159/MAX($B$2:B1159,100000)</f>
        <v/>
      </c>
      <c r="H1159" s="2" t="n"/>
      <c r="I1159" s="2" t="n"/>
    </row>
    <row r="1160">
      <c r="A1160" s="2" t="n">
        <v>44638</v>
      </c>
      <c r="B1160" t="n">
        <v>2582232.5</v>
      </c>
      <c r="C1160" t="n">
        <v>1943985.13</v>
      </c>
      <c r="D1160" t="n">
        <v>-133237.5</v>
      </c>
      <c r="E1160">
        <f>D1160/MAX($B$2:B1160,100000)</f>
        <v/>
      </c>
      <c r="H1160" s="2" t="n"/>
      <c r="I1160" s="2" t="n"/>
    </row>
    <row r="1161">
      <c r="A1161" s="2" t="n">
        <v>44645</v>
      </c>
      <c r="B1161" t="n">
        <v>2597587.75</v>
      </c>
      <c r="C1161" t="n">
        <v>1740454.13</v>
      </c>
      <c r="D1161" t="n">
        <v>-117882.25</v>
      </c>
      <c r="E1161">
        <f>D1161/MAX($B$2:B1161,100000)</f>
        <v/>
      </c>
      <c r="H1161" s="2" t="n"/>
      <c r="I1161" s="2" t="n"/>
    </row>
    <row r="1162">
      <c r="A1162" s="2" t="n">
        <v>44652</v>
      </c>
      <c r="B1162" t="n">
        <v>2601212.25</v>
      </c>
      <c r="C1162" t="n">
        <v>439100.75</v>
      </c>
      <c r="D1162" t="n">
        <v>-114257.75</v>
      </c>
      <c r="E1162">
        <f>D1162/MAX($B$2:B1162,100000)</f>
        <v/>
      </c>
      <c r="H1162" s="2" t="n"/>
      <c r="I1162" s="2" t="n"/>
    </row>
    <row r="1163">
      <c r="A1163" s="2" t="n">
        <v>44659</v>
      </c>
      <c r="B1163" t="n">
        <v>2585261</v>
      </c>
      <c r="C1163" t="n">
        <v>110971.87</v>
      </c>
      <c r="D1163" t="n">
        <v>-130209</v>
      </c>
      <c r="E1163">
        <f>D1163/MAX($B$2:B1163,100000)</f>
        <v/>
      </c>
      <c r="H1163" s="2" t="n"/>
      <c r="I1163" s="2" t="n"/>
    </row>
    <row r="1164">
      <c r="A1164" s="2" t="n">
        <v>44665</v>
      </c>
      <c r="B1164" t="n">
        <v>2634510.5</v>
      </c>
      <c r="C1164" t="n">
        <v>110971.87</v>
      </c>
      <c r="D1164" t="n">
        <v>-80959.5</v>
      </c>
      <c r="E1164">
        <f>D1164/MAX($B$2:B1164,100000)</f>
        <v/>
      </c>
      <c r="H1164" s="2" t="n"/>
      <c r="I1164" s="2" t="n"/>
    </row>
    <row r="1165">
      <c r="A1165" s="2" t="n">
        <v>44673</v>
      </c>
      <c r="B1165" t="n">
        <v>2617970.5</v>
      </c>
      <c r="C1165" t="n">
        <v>110971.87</v>
      </c>
      <c r="D1165" t="n">
        <v>-97499.5</v>
      </c>
      <c r="E1165">
        <f>D1165/MAX($B$2:B1165,100000)</f>
        <v/>
      </c>
      <c r="H1165" s="2" t="n"/>
      <c r="I1165" s="2" t="n"/>
    </row>
    <row r="1166">
      <c r="A1166" s="2" t="n">
        <v>44680</v>
      </c>
      <c r="B1166" t="n">
        <v>2567275.25</v>
      </c>
      <c r="C1166" t="n">
        <v>110971.87</v>
      </c>
      <c r="D1166" t="n">
        <v>-148194.75</v>
      </c>
      <c r="E1166">
        <f>D1166/MAX($B$2:B1166,100000)</f>
        <v/>
      </c>
      <c r="H1166" s="2" t="n"/>
      <c r="I1166" s="2" t="n"/>
    </row>
    <row r="1167">
      <c r="A1167" s="2" t="n">
        <v>44687</v>
      </c>
      <c r="B1167" t="n">
        <v>2527238.75</v>
      </c>
      <c r="C1167" t="n">
        <v>110971.87</v>
      </c>
      <c r="D1167" t="n">
        <v>-188231.25</v>
      </c>
      <c r="E1167">
        <f>D1167/MAX($B$2:B1167,100000)</f>
        <v/>
      </c>
      <c r="H1167" s="2" t="n"/>
      <c r="I1167" s="2" t="n"/>
    </row>
    <row r="1168">
      <c r="A1168" s="2" t="n">
        <v>44694</v>
      </c>
      <c r="B1168" t="n">
        <v>2481923.75</v>
      </c>
      <c r="C1168" t="n">
        <v>113968.68</v>
      </c>
      <c r="D1168" t="n">
        <v>-233546.25</v>
      </c>
      <c r="E1168">
        <f>D1168/MAX($B$2:B1168,100000)</f>
        <v/>
      </c>
      <c r="H1168" s="2" t="n"/>
      <c r="I1168" s="2" t="n"/>
    </row>
    <row r="1169">
      <c r="A1169" s="2" t="n">
        <v>44701</v>
      </c>
      <c r="B1169" t="n">
        <v>2468000.75</v>
      </c>
      <c r="C1169" t="n">
        <v>680537.3100000001</v>
      </c>
      <c r="D1169" t="n">
        <v>-247469.25</v>
      </c>
      <c r="E1169">
        <f>D1169/MAX($B$2:B1169,100000)</f>
        <v/>
      </c>
      <c r="H1169" s="2" t="n"/>
      <c r="I1169" s="2" t="n"/>
    </row>
    <row r="1170">
      <c r="A1170" s="2" t="n">
        <v>44708</v>
      </c>
      <c r="B1170" t="n">
        <v>2449023</v>
      </c>
      <c r="C1170" t="n">
        <v>830212.25</v>
      </c>
      <c r="D1170" t="n">
        <v>-266447</v>
      </c>
      <c r="E1170">
        <f>D1170/MAX($B$2:B1170,100000)</f>
        <v/>
      </c>
      <c r="H1170" s="2" t="n"/>
      <c r="I1170" s="2" t="n"/>
    </row>
    <row r="1171">
      <c r="A1171" s="2" t="n">
        <v>44715</v>
      </c>
      <c r="B1171" t="n">
        <v>2456007.25</v>
      </c>
      <c r="C1171" t="n">
        <v>986356.3100000001</v>
      </c>
      <c r="D1171" t="n">
        <v>-259462.75</v>
      </c>
      <c r="E1171">
        <f>D1171/MAX($B$2:B1171,100000)</f>
        <v/>
      </c>
      <c r="H1171" s="2" t="n"/>
      <c r="I1171" s="2" t="n"/>
    </row>
    <row r="1172">
      <c r="A1172" s="2" t="n">
        <v>44722</v>
      </c>
      <c r="B1172" t="n">
        <v>2425154.25</v>
      </c>
      <c r="C1172" t="n">
        <v>1129294.75</v>
      </c>
      <c r="D1172" t="n">
        <v>-290315.75</v>
      </c>
      <c r="E1172">
        <f>D1172/MAX($B$2:B1172,100000)</f>
        <v/>
      </c>
      <c r="H1172" s="2" t="n"/>
      <c r="I1172" s="2" t="n"/>
    </row>
    <row r="1173">
      <c r="A1173" s="2" t="n">
        <v>44729</v>
      </c>
      <c r="B1173" t="n">
        <v>2380602.25</v>
      </c>
      <c r="C1173" t="n">
        <v>1283782.38</v>
      </c>
      <c r="D1173" t="n">
        <v>-334867.75</v>
      </c>
      <c r="E1173">
        <f>D1173/MAX($B$2:B1173,100000)</f>
        <v/>
      </c>
      <c r="H1173" s="2" t="n"/>
      <c r="I1173" s="2" t="n"/>
    </row>
    <row r="1174">
      <c r="A1174" s="2" t="n">
        <v>44736</v>
      </c>
      <c r="B1174" t="n">
        <v>2364154.75</v>
      </c>
      <c r="C1174" t="n">
        <v>1584723.88</v>
      </c>
      <c r="D1174" t="n">
        <v>-351315.25</v>
      </c>
      <c r="E1174">
        <f>D1174/MAX($B$2:B1174,100000)</f>
        <v/>
      </c>
      <c r="H1174" s="2" t="n"/>
      <c r="I1174" s="2" t="n"/>
    </row>
    <row r="1175">
      <c r="A1175" s="2" t="n">
        <v>44743</v>
      </c>
      <c r="B1175" t="n">
        <v>2371574.25</v>
      </c>
      <c r="C1175" t="n">
        <v>1722678.5</v>
      </c>
      <c r="D1175" t="n">
        <v>-343895.75</v>
      </c>
      <c r="E1175">
        <f>D1175/MAX($B$2:B1175,100000)</f>
        <v/>
      </c>
      <c r="H1175" s="2" t="n"/>
      <c r="I1175" s="2" t="n"/>
    </row>
    <row r="1176">
      <c r="A1176" s="2" t="n">
        <v>44750</v>
      </c>
      <c r="B1176" t="n">
        <v>2373203.5</v>
      </c>
      <c r="C1176" t="n">
        <v>1890854</v>
      </c>
      <c r="D1176" t="n">
        <v>-342266.5</v>
      </c>
      <c r="E1176">
        <f>D1176/MAX($B$2:B1176,100000)</f>
        <v/>
      </c>
      <c r="H1176" s="2" t="n"/>
      <c r="I1176" s="2" t="n"/>
    </row>
    <row r="1177">
      <c r="A1177" s="2" t="n">
        <v>44757</v>
      </c>
      <c r="B1177" t="n">
        <v>2379504.25</v>
      </c>
      <c r="C1177" t="n">
        <v>1890854</v>
      </c>
      <c r="D1177" t="n">
        <v>-335965.75</v>
      </c>
      <c r="E1177">
        <f>D1177/MAX($B$2:B1177,100000)</f>
        <v/>
      </c>
      <c r="H1177" s="2" t="n"/>
      <c r="I1177" s="2" t="n"/>
    </row>
    <row r="1178">
      <c r="A1178" s="2" t="n">
        <v>44764</v>
      </c>
      <c r="B1178" t="n">
        <v>2379677</v>
      </c>
      <c r="C1178" t="n">
        <v>1890854</v>
      </c>
      <c r="D1178" t="n">
        <v>-335793</v>
      </c>
      <c r="E1178">
        <f>D1178/MAX($B$2:B1178,100000)</f>
        <v/>
      </c>
      <c r="H1178" s="2" t="n"/>
      <c r="I1178" s="2" t="n"/>
    </row>
    <row r="1179">
      <c r="A1179" s="2" t="n">
        <v>44771</v>
      </c>
      <c r="B1179" t="n">
        <v>2388628.75</v>
      </c>
      <c r="C1179" t="n">
        <v>2061331.38</v>
      </c>
      <c r="D1179" t="n">
        <v>-326841.25</v>
      </c>
      <c r="E1179">
        <f>D1179/MAX($B$2:B1179,100000)</f>
        <v/>
      </c>
      <c r="H1179" s="2" t="n"/>
      <c r="I1179" s="2" t="n"/>
    </row>
    <row r="1180">
      <c r="A1180" s="2" t="n">
        <v>44778</v>
      </c>
      <c r="B1180" t="n">
        <v>2395092.75</v>
      </c>
      <c r="C1180" t="n">
        <v>2061331.38</v>
      </c>
      <c r="D1180" t="n">
        <v>-320377.25</v>
      </c>
      <c r="E1180">
        <f>D1180/MAX($B$2:B1180,100000)</f>
        <v/>
      </c>
      <c r="H1180" s="2" t="n"/>
      <c r="I1180" s="2" t="n"/>
    </row>
    <row r="1181">
      <c r="A1181" s="2" t="n">
        <v>44785</v>
      </c>
      <c r="B1181" t="n">
        <v>2374853.5</v>
      </c>
      <c r="C1181" t="n">
        <v>865631.3100000001</v>
      </c>
      <c r="D1181" t="n">
        <v>-340616.5</v>
      </c>
      <c r="E1181">
        <f>D1181/MAX($B$2:B1181,100000)</f>
        <v/>
      </c>
      <c r="H1181" s="2" t="n"/>
      <c r="I1181" s="2" t="n"/>
    </row>
    <row r="1182">
      <c r="A1182" s="2" t="n">
        <v>44792</v>
      </c>
      <c r="B1182" t="n">
        <v>2377216.75</v>
      </c>
      <c r="C1182" t="n">
        <v>715967.88</v>
      </c>
      <c r="D1182" t="n">
        <v>-338253.25</v>
      </c>
      <c r="E1182">
        <f>D1182/MAX($B$2:B1182,100000)</f>
        <v/>
      </c>
      <c r="H1182" s="2" t="n"/>
      <c r="I1182" s="2" t="n"/>
    </row>
    <row r="1183">
      <c r="A1183" s="2" t="n">
        <v>44799</v>
      </c>
      <c r="B1183" t="n">
        <v>2373858.75</v>
      </c>
      <c r="C1183" t="n">
        <v>273588.94</v>
      </c>
      <c r="D1183" t="n">
        <v>-341611.25</v>
      </c>
      <c r="E1183">
        <f>D1183/MAX($B$2:B1183,100000)</f>
        <v/>
      </c>
      <c r="H1183" s="2" t="n"/>
      <c r="I1183" s="2" t="n"/>
    </row>
    <row r="1184">
      <c r="A1184" s="2" t="n">
        <v>44806</v>
      </c>
      <c r="B1184" t="n">
        <v>2328585.5</v>
      </c>
      <c r="C1184" t="n">
        <v>104382.23</v>
      </c>
      <c r="D1184" t="n">
        <v>-386884.5</v>
      </c>
      <c r="E1184">
        <f>D1184/MAX($B$2:B1184,100000)</f>
        <v/>
      </c>
      <c r="H1184" s="2" t="n"/>
      <c r="I1184" s="2" t="n"/>
    </row>
    <row r="1185">
      <c r="A1185" s="2" t="n">
        <v>44813</v>
      </c>
      <c r="B1185" t="n">
        <v>2380980.75</v>
      </c>
      <c r="C1185" t="n">
        <v>104382.23</v>
      </c>
      <c r="D1185" t="n">
        <v>-334489.25</v>
      </c>
      <c r="E1185">
        <f>D1185/MAX($B$2:B1185,100000)</f>
        <v/>
      </c>
      <c r="H1185" s="2" t="n"/>
      <c r="I1185" s="2" t="n"/>
    </row>
    <row r="1186">
      <c r="A1186" s="2" t="n">
        <v>44820</v>
      </c>
      <c r="B1186" t="n">
        <v>2342682.5</v>
      </c>
      <c r="C1186" t="n">
        <v>64244</v>
      </c>
      <c r="D1186" t="n">
        <v>-372787.5</v>
      </c>
      <c r="E1186">
        <f>D1186/MAX($B$2:B1186,100000)</f>
        <v/>
      </c>
      <c r="H1186" s="2" t="n"/>
      <c r="I1186" s="2" t="n"/>
    </row>
    <row r="1187">
      <c r="A1187" s="2" t="n">
        <v>44827</v>
      </c>
      <c r="B1187" t="n">
        <v>2293342.25</v>
      </c>
      <c r="C1187" t="n">
        <v>64244</v>
      </c>
      <c r="D1187" t="n">
        <v>-422127.75</v>
      </c>
      <c r="E1187">
        <f>D1187/MAX($B$2:B1187,100000)</f>
        <v/>
      </c>
      <c r="H1187" s="2" t="n"/>
      <c r="I1187" s="2" t="n"/>
    </row>
    <row r="1188">
      <c r="A1188" s="2" t="n">
        <v>44834</v>
      </c>
      <c r="B1188" t="n">
        <v>2252452.5</v>
      </c>
      <c r="C1188" t="n">
        <v>204993.86</v>
      </c>
      <c r="D1188" t="n">
        <v>-463017.5</v>
      </c>
      <c r="E1188">
        <f>D1188/MAX($B$2:B1188,100000)</f>
        <v/>
      </c>
      <c r="H1188" s="2" t="n"/>
      <c r="I1188" s="2" t="n"/>
    </row>
    <row r="1189">
      <c r="A1189" s="2" t="n">
        <v>44841</v>
      </c>
      <c r="B1189" t="n">
        <v>2356328.5</v>
      </c>
      <c r="C1189" t="n">
        <v>712453.0600000001</v>
      </c>
      <c r="D1189" t="n">
        <v>-359141.5</v>
      </c>
      <c r="E1189">
        <f>D1189/MAX($B$2:B1189,100000)</f>
        <v/>
      </c>
      <c r="H1189" s="2" t="n"/>
      <c r="I1189" s="2" t="n"/>
    </row>
    <row r="1190">
      <c r="A1190" s="2" t="n">
        <v>44848</v>
      </c>
      <c r="B1190" t="n">
        <v>2342450</v>
      </c>
      <c r="C1190" t="n">
        <v>712453.0600000001</v>
      </c>
      <c r="D1190" t="n">
        <v>-373020</v>
      </c>
      <c r="E1190">
        <f>D1190/MAX($B$2:B1190,100000)</f>
        <v/>
      </c>
      <c r="H1190" s="2" t="n"/>
      <c r="I1190" s="2" t="n"/>
    </row>
    <row r="1191">
      <c r="A1191" s="2" t="n">
        <v>44855</v>
      </c>
      <c r="B1191" t="n">
        <v>2347849.5</v>
      </c>
      <c r="C1191" t="n">
        <v>712453.0600000001</v>
      </c>
      <c r="D1191" t="n">
        <v>-367620.5</v>
      </c>
      <c r="E1191">
        <f>D1191/MAX($B$2:B1191,100000)</f>
        <v/>
      </c>
      <c r="H1191" s="2" t="n"/>
      <c r="I1191" s="2" t="n"/>
    </row>
    <row r="1192">
      <c r="A1192" s="2" t="n">
        <v>44862</v>
      </c>
      <c r="B1192" t="n">
        <v>2283878</v>
      </c>
      <c r="C1192" t="n">
        <v>712453.0600000001</v>
      </c>
      <c r="D1192" t="n">
        <v>-431592</v>
      </c>
      <c r="E1192">
        <f>D1192/MAX($B$2:B1192,100000)</f>
        <v/>
      </c>
      <c r="H1192" s="2" t="n"/>
      <c r="I1192" s="2" t="n"/>
    </row>
    <row r="1193">
      <c r="A1193" s="2" t="n">
        <v>44869</v>
      </c>
      <c r="B1193" t="n">
        <v>2295242.75</v>
      </c>
      <c r="C1193" t="n">
        <v>712453.0600000001</v>
      </c>
      <c r="D1193" t="n">
        <v>-420227.25</v>
      </c>
      <c r="E1193">
        <f>D1193/MAX($B$2:B1193,100000)</f>
        <v/>
      </c>
      <c r="H1193" s="2" t="n"/>
      <c r="I1193" s="2" t="n"/>
    </row>
    <row r="1194">
      <c r="A1194" s="2" t="n">
        <v>44876</v>
      </c>
      <c r="B1194" t="n">
        <v>2318902.75</v>
      </c>
      <c r="C1194" t="n">
        <v>653968.3100000001</v>
      </c>
      <c r="D1194" t="n">
        <v>-396567.25</v>
      </c>
      <c r="E1194">
        <f>D1194/MAX($B$2:B1194,100000)</f>
        <v/>
      </c>
      <c r="H1194" s="2" t="n"/>
      <c r="I1194" s="2" t="n"/>
    </row>
    <row r="1195">
      <c r="A1195" s="2" t="n">
        <v>44883</v>
      </c>
      <c r="B1195" t="n">
        <v>2291908.75</v>
      </c>
      <c r="C1195" t="n">
        <v>73160.77</v>
      </c>
      <c r="D1195" t="n">
        <v>-423561.25</v>
      </c>
      <c r="E1195">
        <f>D1195/MAX($B$2:B1195,100000)</f>
        <v/>
      </c>
      <c r="H1195" s="2" t="n"/>
      <c r="I1195" s="2" t="n"/>
    </row>
    <row r="1196">
      <c r="A1196" s="2" t="n">
        <v>44890</v>
      </c>
      <c r="B1196" t="n">
        <v>2311203.75</v>
      </c>
      <c r="C1196" t="n">
        <v>73160.77</v>
      </c>
      <c r="D1196" t="n">
        <v>-404266.25</v>
      </c>
      <c r="E1196">
        <f>D1196/MAX($B$2:B1196,100000)</f>
        <v/>
      </c>
      <c r="H1196" s="2" t="n"/>
      <c r="I1196" s="2" t="n"/>
    </row>
    <row r="1197">
      <c r="A1197" s="2" t="n">
        <v>44897</v>
      </c>
      <c r="B1197" t="n">
        <v>2350570.75</v>
      </c>
      <c r="C1197" t="n">
        <v>73160.77</v>
      </c>
      <c r="D1197" t="n">
        <v>-364899.25</v>
      </c>
      <c r="E1197">
        <f>D1197/MAX($B$2:B1197,100000)</f>
        <v/>
      </c>
      <c r="H1197" s="2" t="n"/>
      <c r="I1197" s="2" t="n"/>
    </row>
    <row r="1198">
      <c r="A1198" s="2" t="n">
        <v>44904</v>
      </c>
      <c r="B1198" t="n">
        <v>2304009.25</v>
      </c>
      <c r="C1198" t="n">
        <v>73160.77</v>
      </c>
      <c r="D1198" t="n">
        <v>-411460.75</v>
      </c>
      <c r="E1198">
        <f>D1198/MAX($B$2:B1198,100000)</f>
        <v/>
      </c>
      <c r="H1198" s="2" t="n"/>
      <c r="I1198" s="2" t="n"/>
    </row>
    <row r="1199">
      <c r="A1199" s="2" t="n">
        <v>44911</v>
      </c>
      <c r="B1199" t="n">
        <v>2267278.5</v>
      </c>
      <c r="C1199" t="n">
        <v>73160.77</v>
      </c>
      <c r="D1199" t="n">
        <v>-448191.5</v>
      </c>
      <c r="E1199">
        <f>D1199/MAX($B$2:B1199,100000)</f>
        <v/>
      </c>
      <c r="H1199" s="2" t="n"/>
      <c r="I1199" s="2" t="n"/>
    </row>
    <row r="1200">
      <c r="A1200" s="2" t="n">
        <v>44918</v>
      </c>
      <c r="B1200" t="n">
        <v>2247470.75</v>
      </c>
      <c r="C1200" t="n">
        <v>73160.77</v>
      </c>
      <c r="D1200" t="n">
        <v>-467999.25</v>
      </c>
      <c r="E1200">
        <f>D1200/MAX($B$2:B1200,100000)</f>
        <v/>
      </c>
      <c r="H1200" s="2" t="n"/>
      <c r="I1200" s="2" t="n"/>
    </row>
    <row r="1201">
      <c r="A1201" s="2" t="n">
        <v>44925</v>
      </c>
      <c r="B1201" t="n">
        <v>2225025.5</v>
      </c>
      <c r="C1201" t="n">
        <v>73160.77</v>
      </c>
      <c r="D1201" t="n">
        <v>-490444.5</v>
      </c>
      <c r="E1201">
        <f>D1201/MAX($B$2:B1201,100000)</f>
        <v/>
      </c>
      <c r="H1201" s="2" t="n"/>
      <c r="I1201" s="2" t="n"/>
    </row>
    <row r="1202">
      <c r="A1202" s="2" t="n">
        <v>44932</v>
      </c>
      <c r="B1202" t="n">
        <v>2224724</v>
      </c>
      <c r="C1202" t="n">
        <v>73160.77</v>
      </c>
      <c r="D1202" t="n">
        <v>-490746</v>
      </c>
      <c r="E1202">
        <f>D1202/MAX($B$2:B1202,100000)</f>
        <v/>
      </c>
      <c r="H1202" s="2" t="n"/>
      <c r="I1202" s="2" t="n"/>
    </row>
    <row r="1203">
      <c r="A1203" s="2" t="n">
        <v>44939</v>
      </c>
      <c r="B1203" t="n">
        <v>2283642.5</v>
      </c>
      <c r="C1203" t="n">
        <v>73160.77</v>
      </c>
      <c r="D1203" t="n">
        <v>-431827.5</v>
      </c>
      <c r="E1203">
        <f>D1203/MAX($B$2:B1203,100000)</f>
        <v/>
      </c>
      <c r="H1203" s="2" t="n"/>
      <c r="I1203" s="2" t="n"/>
    </row>
    <row r="1204">
      <c r="A1204" s="2" t="n">
        <v>44946</v>
      </c>
      <c r="B1204" t="n">
        <v>2311580.5</v>
      </c>
      <c r="C1204" t="n">
        <v>73160.77</v>
      </c>
      <c r="D1204" t="n">
        <v>-403889.5</v>
      </c>
      <c r="E1204">
        <f>D1204/MAX($B$2:B1204,100000)</f>
        <v/>
      </c>
      <c r="H1204" s="2" t="n"/>
      <c r="I1204" s="2" t="n"/>
    </row>
    <row r="1205">
      <c r="A1205" s="2" t="n">
        <v>44953</v>
      </c>
      <c r="B1205" t="n">
        <v>2358104.75</v>
      </c>
      <c r="C1205" t="n">
        <v>73160.77</v>
      </c>
      <c r="D1205" t="n">
        <v>-357365.25</v>
      </c>
      <c r="E1205">
        <f>D1205/MAX($B$2:B1205,100000)</f>
        <v/>
      </c>
      <c r="H1205" s="2" t="n"/>
      <c r="I1205" s="2" t="n"/>
    </row>
    <row r="1206">
      <c r="A1206" s="2" t="n">
        <v>44960</v>
      </c>
      <c r="B1206" t="n">
        <v>2340880.5</v>
      </c>
      <c r="C1206" t="n">
        <v>73160.77</v>
      </c>
      <c r="D1206" t="n">
        <v>-374589.5</v>
      </c>
      <c r="E1206">
        <f>D1206/MAX($B$2:B1206,100000)</f>
        <v/>
      </c>
      <c r="H1206" s="2" t="n"/>
      <c r="I1206" s="2" t="n"/>
    </row>
    <row r="1207">
      <c r="A1207" s="2" t="n">
        <v>44967</v>
      </c>
      <c r="B1207" t="n">
        <v>2304657.25</v>
      </c>
      <c r="C1207" t="n">
        <v>73160.77</v>
      </c>
      <c r="D1207" t="n">
        <v>-410812.75</v>
      </c>
      <c r="E1207">
        <f>D1207/MAX($B$2:B1207,100000)</f>
        <v/>
      </c>
      <c r="H1207" s="2" t="n"/>
      <c r="I1207" s="2" t="n"/>
    </row>
    <row r="1208">
      <c r="A1208" s="2" t="n">
        <v>44974</v>
      </c>
      <c r="B1208" t="n">
        <v>2266971</v>
      </c>
      <c r="C1208" t="n">
        <v>73160.77</v>
      </c>
      <c r="D1208" t="n">
        <v>-448499</v>
      </c>
      <c r="E1208">
        <f>D1208/MAX($B$2:B1208,100000)</f>
        <v/>
      </c>
      <c r="H1208" s="2" t="n"/>
      <c r="I1208" s="2" t="n"/>
    </row>
    <row r="1209">
      <c r="A1209" s="2" t="n">
        <v>44981</v>
      </c>
      <c r="B1209" t="n">
        <v>2251804.5</v>
      </c>
      <c r="C1209" t="n">
        <v>73160.77</v>
      </c>
      <c r="D1209" t="n">
        <v>-463665.5</v>
      </c>
      <c r="E1209">
        <f>D1209/MAX($B$2:B1209,100000)</f>
        <v/>
      </c>
      <c r="H1209" s="2" t="n"/>
      <c r="I1209" s="2" t="n"/>
    </row>
    <row r="1210">
      <c r="A1210" s="2" t="n">
        <v>44988</v>
      </c>
      <c r="B1210" t="n">
        <v>2279617.75</v>
      </c>
      <c r="C1210" t="n">
        <v>73160.77</v>
      </c>
      <c r="D1210" t="n">
        <v>-435852.25</v>
      </c>
      <c r="E1210">
        <f>D1210/MAX($B$2:B1210,100000)</f>
        <v/>
      </c>
      <c r="H1210" s="2" t="n"/>
      <c r="I1210" s="2" t="n"/>
    </row>
    <row r="1211">
      <c r="A1211" s="2" t="n">
        <v>44995</v>
      </c>
      <c r="B1211" t="n">
        <v>2237584</v>
      </c>
      <c r="C1211" t="n">
        <v>73160.77</v>
      </c>
      <c r="D1211" t="n">
        <v>-477886</v>
      </c>
      <c r="E1211">
        <f>D1211/MAX($B$2:B1211,100000)</f>
        <v/>
      </c>
      <c r="H1211" s="2" t="n"/>
      <c r="I1211" s="2" t="n"/>
    </row>
    <row r="1212">
      <c r="A1212" s="2" t="n">
        <v>45002</v>
      </c>
      <c r="B1212" t="n">
        <v>2207736.25</v>
      </c>
      <c r="C1212" t="n">
        <v>215401.05</v>
      </c>
      <c r="D1212" t="n">
        <v>-507733.75</v>
      </c>
      <c r="E1212">
        <f>D1212/MAX($B$2:B1212,100000)</f>
        <v/>
      </c>
      <c r="H1212" s="2" t="n"/>
      <c r="I1212" s="2" t="n"/>
    </row>
    <row r="1213">
      <c r="A1213" s="2" t="n">
        <v>45009</v>
      </c>
      <c r="B1213" t="n">
        <v>2217841.25</v>
      </c>
      <c r="C1213" t="n">
        <v>450206.78</v>
      </c>
      <c r="D1213" t="n">
        <v>-497628.75</v>
      </c>
      <c r="E1213">
        <f>D1213/MAX($B$2:B1213,100000)</f>
        <v/>
      </c>
      <c r="H1213" s="2" t="n"/>
      <c r="I1213" s="2" t="n"/>
    </row>
    <row r="1214">
      <c r="A1214" s="2" t="n">
        <v>45016</v>
      </c>
      <c r="B1214" t="n">
        <v>2237156.75</v>
      </c>
      <c r="C1214" t="n">
        <v>824488.9399999999</v>
      </c>
      <c r="D1214" t="n">
        <v>-478313.25</v>
      </c>
      <c r="E1214">
        <f>D1214/MAX($B$2:B1214,100000)</f>
        <v/>
      </c>
      <c r="H1214" s="2" t="n"/>
      <c r="I1214" s="2" t="n"/>
    </row>
    <row r="1215">
      <c r="A1215" s="2" t="n">
        <v>45022</v>
      </c>
      <c r="B1215" t="n">
        <v>2255052</v>
      </c>
      <c r="C1215" t="n">
        <v>824488.9399999999</v>
      </c>
      <c r="D1215" t="n">
        <v>-460418</v>
      </c>
      <c r="E1215">
        <f>D1215/MAX($B$2:B1215,100000)</f>
        <v/>
      </c>
      <c r="H1215" s="2" t="n"/>
      <c r="I1215" s="2" t="n"/>
    </row>
    <row r="1216">
      <c r="A1216" s="2" t="n">
        <v>45030</v>
      </c>
      <c r="B1216" t="n">
        <v>2278693.5</v>
      </c>
      <c r="C1216" t="n">
        <v>824488.9399999999</v>
      </c>
      <c r="D1216" t="n">
        <v>-436776.5</v>
      </c>
      <c r="E1216">
        <f>D1216/MAX($B$2:B1216,100000)</f>
        <v/>
      </c>
      <c r="H1216" s="2" t="n"/>
      <c r="I1216" s="2" t="n"/>
    </row>
    <row r="1217">
      <c r="A1217" s="2" t="n">
        <v>45037</v>
      </c>
      <c r="B1217" t="n">
        <v>2277520</v>
      </c>
      <c r="C1217" t="n">
        <v>109646.8</v>
      </c>
      <c r="D1217" t="n">
        <v>-437950</v>
      </c>
      <c r="E1217">
        <f>D1217/MAX($B$2:B1217,100000)</f>
        <v/>
      </c>
      <c r="H1217" s="2" t="n"/>
      <c r="I1217" s="2" t="n"/>
    </row>
    <row r="1218">
      <c r="A1218" s="2" t="n">
        <v>45044</v>
      </c>
      <c r="B1218" t="n">
        <v>2279453</v>
      </c>
      <c r="C1218" t="n">
        <v>109646.8</v>
      </c>
      <c r="D1218" t="n">
        <v>-436017</v>
      </c>
      <c r="E1218">
        <f>D1218/MAX($B$2:B1218,100000)</f>
        <v/>
      </c>
      <c r="H1218" s="2" t="n"/>
      <c r="I1218" s="2" t="n"/>
    </row>
    <row r="1219">
      <c r="A1219" s="2" t="n">
        <v>45051</v>
      </c>
      <c r="B1219" t="n">
        <v>2276370.5</v>
      </c>
      <c r="C1219" t="n">
        <v>109646.8</v>
      </c>
      <c r="D1219" t="n">
        <v>-439099.5</v>
      </c>
      <c r="E1219">
        <f>D1219/MAX($B$2:B1219,100000)</f>
        <v/>
      </c>
      <c r="H1219" s="2" t="n"/>
      <c r="I1219" s="2" t="n"/>
    </row>
    <row r="1220">
      <c r="A1220" s="2" t="n">
        <v>45058</v>
      </c>
      <c r="B1220" t="n">
        <v>2290701.25</v>
      </c>
      <c r="C1220" t="n">
        <v>109646.8</v>
      </c>
      <c r="D1220" t="n">
        <v>-424768.75</v>
      </c>
      <c r="E1220">
        <f>D1220/MAX($B$2:B1220,100000)</f>
        <v/>
      </c>
      <c r="H1220" s="2" t="n"/>
      <c r="I1220" s="2" t="n"/>
    </row>
    <row r="1221">
      <c r="A1221" s="2" t="n">
        <v>45065</v>
      </c>
      <c r="B1221" t="n">
        <v>2298419.25</v>
      </c>
      <c r="C1221" t="n">
        <v>109646.8</v>
      </c>
      <c r="D1221" t="n">
        <v>-417050.75</v>
      </c>
      <c r="E1221">
        <f>D1221/MAX($B$2:B1221,100000)</f>
        <v/>
      </c>
      <c r="H1221" s="2" t="n"/>
      <c r="I1221" s="2" t="n"/>
    </row>
    <row r="1222">
      <c r="A1222" s="2" t="n">
        <v>45072</v>
      </c>
      <c r="B1222" t="n">
        <v>2256450.25</v>
      </c>
      <c r="C1222" t="n">
        <v>109646.8</v>
      </c>
      <c r="D1222" t="n">
        <v>-459019.75</v>
      </c>
      <c r="E1222">
        <f>D1222/MAX($B$2:B1222,100000)</f>
        <v/>
      </c>
      <c r="H1222" s="2" t="n"/>
      <c r="I1222" s="2" t="n"/>
    </row>
    <row r="1223">
      <c r="A1223" s="2" t="n">
        <v>45079</v>
      </c>
      <c r="B1223" t="n">
        <v>2263814.5</v>
      </c>
      <c r="C1223" t="n">
        <v>109646.8</v>
      </c>
      <c r="D1223" t="n">
        <v>-451655.5</v>
      </c>
      <c r="E1223">
        <f>D1223/MAX($B$2:B1223,100000)</f>
        <v/>
      </c>
      <c r="H1223" s="2" t="n"/>
      <c r="I1223" s="2" t="n"/>
    </row>
    <row r="1224">
      <c r="A1224" s="2" t="n">
        <v>45086</v>
      </c>
      <c r="B1224" t="n">
        <v>2237064.75</v>
      </c>
      <c r="C1224" t="n">
        <v>401422.19</v>
      </c>
      <c r="D1224" t="n">
        <v>-478405.25</v>
      </c>
      <c r="E1224">
        <f>D1224/MAX($B$2:B1224,100000)</f>
        <v/>
      </c>
      <c r="H1224" s="2" t="n"/>
      <c r="I1224" s="2" t="n"/>
    </row>
    <row r="1225">
      <c r="A1225" s="2" t="n">
        <v>45093</v>
      </c>
      <c r="B1225" t="n">
        <v>2288201.25</v>
      </c>
      <c r="C1225" t="n">
        <v>401422.19</v>
      </c>
      <c r="D1225" t="n">
        <v>-427268.75</v>
      </c>
      <c r="E1225">
        <f>D1225/MAX($B$2:B1225,100000)</f>
        <v/>
      </c>
      <c r="H1225" s="2" t="n"/>
      <c r="I1225" s="2" t="n"/>
    </row>
    <row r="1226">
      <c r="A1226" s="2" t="n">
        <v>45100</v>
      </c>
      <c r="B1226" t="n">
        <v>2246102.75</v>
      </c>
      <c r="C1226" t="n">
        <v>113947.59</v>
      </c>
      <c r="D1226" t="n">
        <v>-469367.25</v>
      </c>
      <c r="E1226">
        <f>D1226/MAX($B$2:B1226,100000)</f>
        <v/>
      </c>
      <c r="H1226" s="2" t="n"/>
      <c r="I1226" s="2" t="n"/>
    </row>
    <row r="1227">
      <c r="A1227" s="2" t="n">
        <v>45107</v>
      </c>
      <c r="B1227" t="n">
        <v>2266194.5</v>
      </c>
      <c r="C1227" t="n">
        <v>113947.59</v>
      </c>
      <c r="D1227" t="n">
        <v>-449275.5</v>
      </c>
      <c r="E1227">
        <f>D1227/MAX($B$2:B1227,100000)</f>
        <v/>
      </c>
      <c r="H1227" s="2" t="n"/>
      <c r="I1227" s="2" t="n"/>
    </row>
    <row r="1228">
      <c r="A1228" s="2" t="n">
        <v>45114</v>
      </c>
      <c r="B1228" t="n">
        <v>2207704.25</v>
      </c>
      <c r="C1228" t="n">
        <v>361178.97</v>
      </c>
      <c r="D1228" t="n">
        <v>-507765.75</v>
      </c>
      <c r="E1228">
        <f>D1228/MAX($B$2:B1228,100000)</f>
        <v/>
      </c>
      <c r="H1228" s="2" t="n"/>
      <c r="I1228" s="2" t="n"/>
    </row>
    <row r="1229">
      <c r="A1229" s="2" t="n">
        <v>45121</v>
      </c>
      <c r="B1229" t="n">
        <v>2236466.25</v>
      </c>
      <c r="C1229" t="n">
        <v>361178.97</v>
      </c>
      <c r="D1229" t="n">
        <v>-479003.75</v>
      </c>
      <c r="E1229">
        <f>D1229/MAX($B$2:B1229,100000)</f>
        <v/>
      </c>
      <c r="H1229" s="2" t="n"/>
      <c r="I1229" s="2" t="n"/>
    </row>
    <row r="1230">
      <c r="A1230" s="2" t="n">
        <v>45128</v>
      </c>
      <c r="B1230" t="n">
        <v>2233965.75</v>
      </c>
      <c r="C1230" t="n">
        <v>56015.95</v>
      </c>
      <c r="D1230" t="n">
        <v>-481504.25</v>
      </c>
      <c r="E1230">
        <f>D1230/MAX($B$2:B1230,100000)</f>
        <v/>
      </c>
      <c r="H1230" s="2" t="n"/>
      <c r="I1230" s="2" t="n"/>
    </row>
    <row r="1231">
      <c r="A1231" s="2" t="n">
        <v>45135</v>
      </c>
      <c r="B1231" t="n">
        <v>2291752</v>
      </c>
      <c r="C1231" t="n">
        <v>56015.95</v>
      </c>
      <c r="D1231" t="n">
        <v>-423718</v>
      </c>
      <c r="E1231">
        <f>D1231/MAX($B$2:B1231,100000)</f>
        <v/>
      </c>
      <c r="H1231" s="2" t="n"/>
      <c r="I1231" s="2" t="n"/>
    </row>
    <row r="1232">
      <c r="A1232" s="2" t="n">
        <v>45142</v>
      </c>
      <c r="B1232" t="n">
        <v>2279905.5</v>
      </c>
      <c r="C1232" t="n">
        <v>56015.95</v>
      </c>
      <c r="D1232" t="n">
        <v>-435564.5</v>
      </c>
      <c r="E1232">
        <f>D1232/MAX($B$2:B1232,100000)</f>
        <v/>
      </c>
      <c r="H1232" s="2" t="n"/>
      <c r="I1232" s="2" t="n"/>
    </row>
    <row r="1233">
      <c r="A1233" s="2" t="n">
        <v>45149</v>
      </c>
      <c r="B1233" t="n">
        <v>2261145</v>
      </c>
      <c r="C1233" t="n">
        <v>56015.95</v>
      </c>
      <c r="D1233" t="n">
        <v>-454325</v>
      </c>
      <c r="E1233">
        <f>D1233/MAX($B$2:B1233,100000)</f>
        <v/>
      </c>
      <c r="H1233" s="2" t="n"/>
      <c r="I1233" s="2" t="n"/>
    </row>
    <row r="1234">
      <c r="A1234" s="2" t="n">
        <v>45156</v>
      </c>
      <c r="B1234" t="n">
        <v>2252101.25</v>
      </c>
      <c r="C1234" t="n">
        <v>56015.95</v>
      </c>
      <c r="D1234" t="n">
        <v>-463368.75</v>
      </c>
      <c r="E1234">
        <f>D1234/MAX($B$2:B1234,100000)</f>
        <v/>
      </c>
      <c r="H1234" s="2" t="n"/>
      <c r="I1234" s="2" t="n"/>
    </row>
    <row r="1235">
      <c r="A1235" s="2" t="n">
        <v>45163</v>
      </c>
      <c r="B1235" t="n">
        <v>2239664.25</v>
      </c>
      <c r="C1235" t="n">
        <v>56015.95</v>
      </c>
      <c r="D1235" t="n">
        <v>-475805.75</v>
      </c>
      <c r="E1235">
        <f>D1235/MAX($B$2:B1235,100000)</f>
        <v/>
      </c>
      <c r="H1235" s="2" t="n"/>
      <c r="I1235" s="2" t="n"/>
    </row>
    <row r="1236">
      <c r="A1236" s="2" t="n">
        <v>45170</v>
      </c>
      <c r="B1236" t="n">
        <v>2290221</v>
      </c>
      <c r="C1236" t="n">
        <v>167758.28</v>
      </c>
      <c r="D1236" t="n">
        <v>-425249</v>
      </c>
      <c r="E1236">
        <f>D1236/MAX($B$2:B1236,100000)</f>
        <v/>
      </c>
      <c r="H1236" s="2" t="n"/>
      <c r="I1236" s="2" t="n"/>
    </row>
    <row r="1237">
      <c r="A1237" s="2" t="n">
        <v>45177</v>
      </c>
      <c r="B1237" t="n">
        <v>2262383.5</v>
      </c>
      <c r="C1237" t="n">
        <v>9475.709999999999</v>
      </c>
      <c r="D1237" t="n">
        <v>-453086.5</v>
      </c>
      <c r="E1237">
        <f>D1237/MAX($B$2:B1237,100000)</f>
        <v/>
      </c>
      <c r="H1237" s="2" t="n"/>
      <c r="I1237" s="2" t="n"/>
    </row>
    <row r="1238">
      <c r="A1238" s="2" t="n">
        <v>45184</v>
      </c>
      <c r="B1238" t="n">
        <v>2278343.75</v>
      </c>
      <c r="C1238" t="n">
        <v>9475.709999999999</v>
      </c>
      <c r="D1238" t="n">
        <v>-437126.25</v>
      </c>
      <c r="E1238">
        <f>D1238/MAX($B$2:B1238,100000)</f>
        <v/>
      </c>
      <c r="H1238" s="2" t="n"/>
      <c r="I1238" s="2" t="n"/>
    </row>
    <row r="1239">
      <c r="A1239" s="2" t="n">
        <v>45191</v>
      </c>
      <c r="B1239" t="n">
        <v>2235801.5</v>
      </c>
      <c r="C1239" t="n">
        <v>9475.709999999999</v>
      </c>
      <c r="D1239" t="n">
        <v>-479668.5</v>
      </c>
      <c r="E1239">
        <f>D1239/MAX($B$2:B1239,100000)</f>
        <v/>
      </c>
      <c r="H1239" s="2" t="n"/>
      <c r="I1239" s="2" t="n"/>
    </row>
    <row r="1240">
      <c r="A1240" s="2" t="n">
        <v>45198</v>
      </c>
      <c r="B1240" t="n">
        <v>2281505</v>
      </c>
      <c r="C1240" t="n">
        <v>9475.709999999999</v>
      </c>
      <c r="D1240" t="n">
        <v>-433965</v>
      </c>
      <c r="E1240">
        <f>D1240/MAX($B$2:B1240,100000)</f>
        <v/>
      </c>
      <c r="H1240" s="2" t="n"/>
      <c r="I1240" s="2" t="n"/>
    </row>
    <row r="1241">
      <c r="A1241" s="2" t="n">
        <v>45205</v>
      </c>
      <c r="B1241" t="n">
        <v>2247292.5</v>
      </c>
      <c r="C1241" t="n">
        <v>9475.709999999999</v>
      </c>
      <c r="D1241" t="n">
        <v>-468177.5</v>
      </c>
      <c r="E1241">
        <f>D1241/MAX($B$2:B1241,100000)</f>
        <v/>
      </c>
      <c r="H1241" s="2" t="n"/>
      <c r="I1241" s="2" t="n"/>
    </row>
    <row r="1242">
      <c r="A1242" s="2" t="n">
        <v>45212</v>
      </c>
      <c r="B1242" t="n">
        <v>2290278.5</v>
      </c>
      <c r="C1242" t="n">
        <v>9475.709999999999</v>
      </c>
      <c r="D1242" t="n">
        <v>-425191.5</v>
      </c>
      <c r="E1242">
        <f>D1242/MAX($B$2:B1242,100000)</f>
        <v/>
      </c>
      <c r="H1242" s="2" t="n"/>
      <c r="I1242" s="2" t="n"/>
    </row>
    <row r="1243">
      <c r="A1243" s="2" t="n">
        <v>45219</v>
      </c>
      <c r="B1243" t="n">
        <v>2256374.25</v>
      </c>
      <c r="C1243" t="n">
        <v>154195.28</v>
      </c>
      <c r="D1243" t="n">
        <v>-459095.75</v>
      </c>
      <c r="E1243">
        <f>D1243/MAX($B$2:B1243,100000)</f>
        <v/>
      </c>
      <c r="H1243" s="2" t="n"/>
      <c r="I1243" s="2" t="n"/>
    </row>
    <row r="1244">
      <c r="A1244" s="2" t="n">
        <v>45226</v>
      </c>
      <c r="B1244" t="n">
        <v>2155375.5</v>
      </c>
      <c r="C1244" t="n">
        <v>154195.28</v>
      </c>
      <c r="D1244" t="n">
        <v>-560094.5</v>
      </c>
      <c r="E1244">
        <f>D1244/MAX($B$2:B1244,100000)</f>
        <v/>
      </c>
      <c r="H1244" s="2" t="n"/>
      <c r="I1244" s="2" t="n"/>
    </row>
    <row r="1245">
      <c r="A1245" s="2" t="n">
        <v>45233</v>
      </c>
      <c r="B1245" t="n">
        <v>2195973.75</v>
      </c>
      <c r="C1245" t="n">
        <v>154195.28</v>
      </c>
      <c r="D1245" t="n">
        <v>-519496.25</v>
      </c>
      <c r="E1245">
        <f>D1245/MAX($B$2:B1245,100000)</f>
        <v/>
      </c>
      <c r="H1245" s="2" t="n"/>
      <c r="I1245" s="2" t="n"/>
    </row>
    <row r="1246">
      <c r="A1246" s="2" t="n">
        <v>45240</v>
      </c>
      <c r="B1246" t="n">
        <v>2214617.75</v>
      </c>
      <c r="C1246" t="n">
        <v>584911.0600000001</v>
      </c>
      <c r="D1246" t="n">
        <v>-500852.25</v>
      </c>
      <c r="E1246">
        <f>D1246/MAX($B$2:B1246,100000)</f>
        <v/>
      </c>
      <c r="H1246" s="2" t="n"/>
      <c r="I1246" s="2" t="n"/>
    </row>
    <row r="1247">
      <c r="A1247" s="2" t="n">
        <v>45247</v>
      </c>
      <c r="B1247" t="n">
        <v>2215911.5</v>
      </c>
      <c r="C1247" t="n">
        <v>584911.0600000001</v>
      </c>
      <c r="D1247" t="n">
        <v>-499558.5</v>
      </c>
      <c r="E1247">
        <f>D1247/MAX($B$2:B1247,100000)</f>
        <v/>
      </c>
      <c r="H1247" s="2" t="n"/>
      <c r="I1247" s="2" t="n"/>
    </row>
    <row r="1248">
      <c r="A1248" s="2" t="n">
        <v>45254</v>
      </c>
      <c r="B1248" t="n">
        <v>2227341.75</v>
      </c>
      <c r="C1248" t="n">
        <v>584911.0600000001</v>
      </c>
      <c r="D1248" t="n">
        <v>-488128.25</v>
      </c>
      <c r="E1248">
        <f>D1248/MAX($B$2:B1248,100000)</f>
        <v/>
      </c>
      <c r="H1248" s="2" t="n"/>
      <c r="I1248" s="2" t="n"/>
    </row>
    <row r="1249">
      <c r="A1249" s="2" t="n">
        <v>45261</v>
      </c>
      <c r="B1249" t="n">
        <v>2240591.5</v>
      </c>
      <c r="C1249" t="n">
        <v>584911.0600000001</v>
      </c>
      <c r="D1249" t="n">
        <v>-474878.5</v>
      </c>
      <c r="E1249">
        <f>D1249/MAX($B$2:B1249,100000)</f>
        <v/>
      </c>
      <c r="H1249" s="2" t="n"/>
      <c r="I1249" s="2" t="n"/>
    </row>
    <row r="1250">
      <c r="A1250" s="2" t="n">
        <v>45268</v>
      </c>
      <c r="B1250" t="n">
        <v>2249182.75</v>
      </c>
      <c r="C1250" t="n">
        <v>20966.49</v>
      </c>
      <c r="D1250" t="n">
        <v>-466287.25</v>
      </c>
      <c r="E1250">
        <f>D1250/MAX($B$2:B1250,100000)</f>
        <v/>
      </c>
      <c r="H1250" s="2" t="n"/>
      <c r="I1250" s="2" t="n"/>
    </row>
    <row r="1251">
      <c r="A1251" s="2" t="n">
        <v>45275</v>
      </c>
      <c r="B1251" t="n">
        <v>2311934.5</v>
      </c>
      <c r="C1251" t="n">
        <v>20966.49</v>
      </c>
      <c r="D1251" t="n">
        <v>-403535.5</v>
      </c>
      <c r="E1251">
        <f>D1251/MAX($B$2:B1251,100000)</f>
        <v/>
      </c>
      <c r="H1251" s="2" t="n"/>
      <c r="I1251" s="2" t="n"/>
    </row>
    <row r="1252">
      <c r="A1252" s="2" t="n">
        <v>45282</v>
      </c>
      <c r="B1252" t="n">
        <v>2375302.75</v>
      </c>
      <c r="C1252" t="n">
        <v>20966.49</v>
      </c>
      <c r="D1252" t="n">
        <v>-340167.25</v>
      </c>
      <c r="E1252">
        <f>D1252/MAX($B$2:B1252,100000)</f>
        <v/>
      </c>
      <c r="H1252" s="2" t="n"/>
      <c r="I1252" s="2" t="n"/>
    </row>
    <row r="1253">
      <c r="A1253" s="2" t="n">
        <v>45289</v>
      </c>
      <c r="B1253" t="n">
        <v>2411432.25</v>
      </c>
      <c r="C1253" t="n">
        <v>20966.49</v>
      </c>
      <c r="D1253" t="n">
        <v>-304037.75</v>
      </c>
      <c r="E1253">
        <f>D1253/MAX($B$2:B1253,100000)</f>
        <v/>
      </c>
      <c r="H1253" s="2" t="n"/>
      <c r="I1253" s="2" t="n"/>
    </row>
    <row r="1254">
      <c r="A1254" s="2" t="n">
        <v>45296</v>
      </c>
      <c r="B1254" t="n">
        <v>2358839.5</v>
      </c>
      <c r="C1254" t="n">
        <v>20966.49</v>
      </c>
      <c r="D1254" t="n">
        <v>-356630.5</v>
      </c>
      <c r="E1254">
        <f>D1254/MAX($B$2:B1254,100000)</f>
        <v/>
      </c>
      <c r="H1254" s="2" t="n"/>
      <c r="I1254" s="2" t="n"/>
    </row>
    <row r="1255">
      <c r="A1255" s="2" t="n">
        <v>45303</v>
      </c>
      <c r="B1255" t="n">
        <v>2387225.25</v>
      </c>
      <c r="C1255" t="n">
        <v>20966.49</v>
      </c>
      <c r="D1255" t="n">
        <v>-328244.75</v>
      </c>
      <c r="E1255">
        <f>D1255/MAX($B$2:B1255,100000)</f>
        <v/>
      </c>
      <c r="H1255" s="2" t="n"/>
      <c r="I1255" s="2" t="n"/>
    </row>
    <row r="1256">
      <c r="A1256" s="2" t="n">
        <v>45310</v>
      </c>
      <c r="B1256" t="n">
        <v>2382635</v>
      </c>
      <c r="C1256" t="n">
        <v>20966.49</v>
      </c>
      <c r="D1256" t="n">
        <v>-332835</v>
      </c>
      <c r="E1256">
        <f>D1256/MAX($B$2:B1256,100000)</f>
        <v/>
      </c>
      <c r="H1256" s="2" t="n"/>
      <c r="I1256" s="2" t="n"/>
    </row>
    <row r="1257">
      <c r="A1257" s="2" t="n">
        <v>45316</v>
      </c>
      <c r="B1257" t="n">
        <v>2400618</v>
      </c>
      <c r="C1257" t="n">
        <v>20966.49</v>
      </c>
      <c r="D1257" t="n">
        <v>-314852</v>
      </c>
      <c r="E1257">
        <f>D1257/MAX($B$2:B1257,100000)</f>
        <v/>
      </c>
      <c r="H1257" s="2" t="n"/>
      <c r="I1257" s="2" t="n"/>
    </row>
    <row r="1258">
      <c r="A1258" s="2" t="n">
        <v>45324</v>
      </c>
      <c r="B1258" t="n">
        <v>2432735</v>
      </c>
      <c r="C1258" t="n">
        <v>20966.49</v>
      </c>
      <c r="D1258" t="n">
        <v>-282735</v>
      </c>
      <c r="E1258">
        <f>D1258/MAX($B$2:B1258,100000)</f>
        <v/>
      </c>
      <c r="H1258" s="2" t="n"/>
      <c r="I1258" s="2" t="n"/>
    </row>
    <row r="1259">
      <c r="A1259" s="2" t="n">
        <v>45331</v>
      </c>
      <c r="B1259" t="n">
        <v>2433530.5</v>
      </c>
      <c r="C1259" t="n">
        <v>20966.49</v>
      </c>
      <c r="D1259" t="n">
        <v>-281939.5</v>
      </c>
      <c r="E1259">
        <f>D1259/MAX($B$2:B1259,100000)</f>
        <v/>
      </c>
      <c r="H1259" s="2" t="n"/>
      <c r="I1259" s="2" t="n"/>
    </row>
    <row r="1260">
      <c r="A1260" s="2" t="n">
        <v>45338</v>
      </c>
      <c r="B1260" t="n">
        <v>2406477.75</v>
      </c>
      <c r="C1260" t="n">
        <v>20966.49</v>
      </c>
      <c r="D1260" t="n">
        <v>-308992.25</v>
      </c>
      <c r="E1260">
        <f>D1260/MAX($B$2:B1260,100000)</f>
        <v/>
      </c>
      <c r="H1260" s="2" t="n"/>
      <c r="I1260" s="2" t="n"/>
    </row>
    <row r="1261">
      <c r="A1261" s="2" t="n">
        <v>45345</v>
      </c>
      <c r="B1261" t="n">
        <v>2473451.5</v>
      </c>
      <c r="C1261" t="n">
        <v>20966.49</v>
      </c>
      <c r="D1261" t="n">
        <v>-242018.5</v>
      </c>
      <c r="E1261">
        <f>D1261/MAX($B$2:B1261,100000)</f>
        <v/>
      </c>
      <c r="H1261" s="2" t="n"/>
      <c r="I1261" s="2" t="n"/>
    </row>
    <row r="1262">
      <c r="A1262" s="2" t="n">
        <v>45352</v>
      </c>
      <c r="B1262" t="n">
        <v>2500750.5</v>
      </c>
      <c r="C1262" t="n">
        <v>20966.49</v>
      </c>
      <c r="D1262" t="n">
        <v>-214719.5</v>
      </c>
      <c r="E1262">
        <f>D1262/MAX($B$2:B1262,100000)</f>
        <v/>
      </c>
      <c r="H1262" s="2" t="n"/>
      <c r="I1262" s="2" t="n"/>
    </row>
    <row r="1263">
      <c r="A1263" s="2" t="n">
        <v>45359</v>
      </c>
      <c r="B1263" t="n">
        <v>2543266</v>
      </c>
      <c r="C1263" t="n">
        <v>20966.49</v>
      </c>
      <c r="D1263" t="n">
        <v>-172204</v>
      </c>
      <c r="E1263">
        <f>D1263/MAX($B$2:B1263,100000)</f>
        <v/>
      </c>
      <c r="H1263" s="2" t="n"/>
      <c r="I1263" s="2" t="n"/>
    </row>
    <row r="1264">
      <c r="A1264" s="2" t="n">
        <v>45366</v>
      </c>
      <c r="B1264" t="n">
        <v>2516570.5</v>
      </c>
      <c r="C1264" t="n">
        <v>20966.49</v>
      </c>
      <c r="D1264" t="n">
        <v>-198899.5</v>
      </c>
      <c r="E1264">
        <f>D1264/MAX($B$2:B1264,100000)</f>
        <v/>
      </c>
      <c r="H1264" s="2" t="n"/>
      <c r="I1264" s="2" t="n"/>
    </row>
    <row r="1265">
      <c r="A1265" s="2" t="n">
        <v>45373</v>
      </c>
      <c r="B1265" t="n">
        <v>2528106.75</v>
      </c>
      <c r="C1265" t="n">
        <v>20966.49</v>
      </c>
      <c r="D1265" t="n">
        <v>-187363.25</v>
      </c>
      <c r="E1265">
        <f>D1265/MAX($B$2:B1265,100000)</f>
        <v/>
      </c>
      <c r="H1265" s="2" t="n"/>
      <c r="I1265" s="2" t="n"/>
    </row>
    <row r="1266">
      <c r="A1266" s="2" t="n">
        <v>45379</v>
      </c>
      <c r="B1266" t="n">
        <v>2575923</v>
      </c>
      <c r="C1266" t="n">
        <v>20966.49</v>
      </c>
      <c r="D1266" t="n">
        <v>-139547</v>
      </c>
      <c r="E1266">
        <f>D1266/MAX($B$2:B1266,100000)</f>
        <v/>
      </c>
      <c r="H1266" s="2" t="n"/>
      <c r="I1266" s="2" t="n"/>
    </row>
    <row r="1267">
      <c r="A1267" s="2" t="n">
        <v>45387</v>
      </c>
      <c r="B1267" t="n">
        <v>2537716.25</v>
      </c>
      <c r="C1267" t="n">
        <v>20966.49</v>
      </c>
      <c r="D1267" t="n">
        <v>-177753.75</v>
      </c>
      <c r="E1267">
        <f>D1267/MAX($B$2:B1267,100000)</f>
        <v/>
      </c>
      <c r="H1267" s="2" t="n"/>
      <c r="I1267" s="2" t="n"/>
    </row>
    <row r="1268">
      <c r="A1268" s="2" t="n">
        <v>45394</v>
      </c>
      <c r="B1268" t="n">
        <v>2567567.75</v>
      </c>
      <c r="C1268" t="n">
        <v>20966.49</v>
      </c>
      <c r="D1268" t="n">
        <v>-147902.25</v>
      </c>
      <c r="E1268">
        <f>D1268/MAX($B$2:B1268,100000)</f>
        <v/>
      </c>
      <c r="H1268" s="2" t="n"/>
      <c r="I1268" s="2" t="n"/>
    </row>
    <row r="1269">
      <c r="A1269" s="2" t="n">
        <v>45401</v>
      </c>
      <c r="B1269" t="n">
        <v>2456171.75</v>
      </c>
      <c r="C1269" t="n">
        <v>20966.49</v>
      </c>
      <c r="D1269" t="n">
        <v>-259298.25</v>
      </c>
      <c r="E1269">
        <f>D1269/MAX($B$2:B1269,100000)</f>
        <v/>
      </c>
      <c r="H1269" s="2" t="n"/>
      <c r="I1269" s="2" t="n"/>
    </row>
    <row r="1270">
      <c r="A1270" s="2" t="n">
        <v>45408</v>
      </c>
      <c r="B1270" t="n">
        <v>2471290.25</v>
      </c>
      <c r="C1270" t="n">
        <v>20966.49</v>
      </c>
      <c r="D1270" t="n">
        <v>-244179.75</v>
      </c>
      <c r="E1270">
        <f>D1270/MAX($B$2:B1270,100000)</f>
        <v/>
      </c>
      <c r="H1270" s="2" t="n"/>
      <c r="I1270" s="2" t="n"/>
    </row>
    <row r="1271">
      <c r="A1271" s="2" t="n">
        <v>45415</v>
      </c>
      <c r="B1271" t="n">
        <v>2471746</v>
      </c>
      <c r="C1271" t="n">
        <v>376339.75</v>
      </c>
      <c r="D1271" t="n">
        <v>-243724</v>
      </c>
      <c r="E1271">
        <f>D1271/MAX($B$2:B1271,100000)</f>
        <v/>
      </c>
      <c r="H1271" s="2" t="n"/>
      <c r="I1271" s="2" t="n"/>
    </row>
    <row r="1272">
      <c r="A1272" s="2" t="n">
        <v>45422</v>
      </c>
      <c r="B1272" t="n">
        <v>2483744.5</v>
      </c>
      <c r="C1272" t="n">
        <v>512041.84</v>
      </c>
      <c r="D1272" t="n">
        <v>-231725.5</v>
      </c>
      <c r="E1272">
        <f>D1272/MAX($B$2:B1272,100000)</f>
        <v/>
      </c>
      <c r="H1272" s="2" t="n"/>
      <c r="I1272" s="2" t="n"/>
    </row>
    <row r="1273">
      <c r="A1273" s="2" t="n">
        <v>45429</v>
      </c>
      <c r="B1273" t="n">
        <v>2478631</v>
      </c>
      <c r="C1273" t="n">
        <v>36341.5</v>
      </c>
      <c r="D1273" t="n">
        <v>-236839</v>
      </c>
      <c r="E1273">
        <f>D1273/MAX($B$2:B1273,100000)</f>
        <v/>
      </c>
      <c r="H1273" s="2" t="n"/>
      <c r="I1273" s="2" t="n"/>
    </row>
    <row r="1274">
      <c r="A1274" s="2" t="n">
        <v>45436</v>
      </c>
      <c r="B1274" t="n">
        <v>2462538.25</v>
      </c>
      <c r="C1274" t="n">
        <v>36341.5</v>
      </c>
      <c r="D1274" t="n">
        <v>-252931.75</v>
      </c>
      <c r="E1274">
        <f>D1274/MAX($B$2:B1274,100000)</f>
        <v/>
      </c>
      <c r="H1274" s="2" t="n"/>
      <c r="I1274" s="2" t="n"/>
    </row>
    <row r="1275">
      <c r="A1275" s="2" t="n">
        <v>45443</v>
      </c>
      <c r="B1275" t="n">
        <v>2475807.25</v>
      </c>
      <c r="C1275" t="n">
        <v>36341.5</v>
      </c>
      <c r="D1275" t="n">
        <v>-239662.75</v>
      </c>
      <c r="E1275">
        <f>D1275/MAX($B$2:B1275,100000)</f>
        <v/>
      </c>
      <c r="H1275" s="2" t="n"/>
      <c r="I1275" s="2" t="n"/>
    </row>
    <row r="1276">
      <c r="A1276" s="2" t="n">
        <v>45450</v>
      </c>
      <c r="B1276" t="n">
        <v>2511267.25</v>
      </c>
      <c r="C1276" t="n">
        <v>36341.5</v>
      </c>
      <c r="D1276" t="n">
        <v>-204202.75</v>
      </c>
      <c r="E1276">
        <f>D1276/MAX($B$2:B1276,100000)</f>
        <v/>
      </c>
      <c r="H1276" s="2" t="n"/>
      <c r="I1276" s="2" t="n"/>
    </row>
    <row r="1277">
      <c r="A1277" s="2" t="n">
        <v>45457</v>
      </c>
      <c r="B1277" t="n">
        <v>2511819.75</v>
      </c>
      <c r="C1277" t="n">
        <v>189704.7</v>
      </c>
      <c r="D1277" t="n">
        <v>-203650.25</v>
      </c>
      <c r="E1277">
        <f>D1277/MAX($B$2:B1277,100000)</f>
        <v/>
      </c>
      <c r="H1277" s="2" t="n"/>
      <c r="I1277" s="2" t="n"/>
    </row>
    <row r="1278">
      <c r="A1278" s="2" t="n">
        <v>45464</v>
      </c>
      <c r="B1278" t="n">
        <v>2580742.5</v>
      </c>
      <c r="C1278" t="n">
        <v>189704.7</v>
      </c>
      <c r="D1278" t="n">
        <v>-134727.5</v>
      </c>
      <c r="E1278">
        <f>D1278/MAX($B$2:B1278,100000)</f>
        <v/>
      </c>
      <c r="H1278" s="2" t="n"/>
      <c r="I1278" s="2" t="n"/>
    </row>
    <row r="1279">
      <c r="A1279" s="2" t="n">
        <v>45471</v>
      </c>
      <c r="B1279" t="n">
        <v>2613773.75</v>
      </c>
      <c r="C1279" t="n">
        <v>27648.02</v>
      </c>
      <c r="D1279" t="n">
        <v>-101696.25</v>
      </c>
      <c r="E1279">
        <f>D1279/MAX($B$2:B1279,100000)</f>
        <v/>
      </c>
      <c r="H1279" s="2" t="n"/>
      <c r="I1279" s="2" t="n"/>
    </row>
    <row r="1280">
      <c r="A1280" s="2" t="n">
        <v>45478</v>
      </c>
      <c r="B1280" t="n">
        <v>2553309</v>
      </c>
      <c r="C1280" t="n">
        <v>27648.02</v>
      </c>
      <c r="D1280" t="n">
        <v>-162161</v>
      </c>
      <c r="E1280">
        <f>D1280/MAX($B$2:B1280,100000)</f>
        <v/>
      </c>
      <c r="H1280" s="2" t="n"/>
      <c r="I1280" s="2" t="n"/>
    </row>
    <row r="1281">
      <c r="A1281" s="2" t="n">
        <v>45485</v>
      </c>
      <c r="B1281" t="n">
        <v>2599368.75</v>
      </c>
      <c r="C1281" t="n">
        <v>27648.02</v>
      </c>
      <c r="D1281" t="n">
        <v>-116101.25</v>
      </c>
      <c r="E1281">
        <f>D1281/MAX($B$2:B1281,100000)</f>
        <v/>
      </c>
      <c r="H1281" s="2" t="n"/>
      <c r="I1281" s="2" t="n"/>
    </row>
    <row r="1282">
      <c r="A1282" s="2" t="n">
        <v>45492</v>
      </c>
      <c r="B1282" t="n">
        <v>2604325</v>
      </c>
      <c r="C1282" t="n">
        <v>27648.02</v>
      </c>
      <c r="D1282" t="n">
        <v>-111145</v>
      </c>
      <c r="E1282">
        <f>D1282/MAX($B$2:B1282,100000)</f>
        <v/>
      </c>
      <c r="H1282" s="2" t="n"/>
      <c r="I1282" s="2" t="n"/>
    </row>
    <row r="1283">
      <c r="A1283" s="2" t="n">
        <v>45499</v>
      </c>
      <c r="B1283" t="n">
        <v>2634347.75</v>
      </c>
      <c r="C1283" t="n">
        <v>27648.02</v>
      </c>
      <c r="D1283" t="n">
        <v>-81122.25</v>
      </c>
      <c r="E1283">
        <f>D1283/MAX($B$2:B1283,100000)</f>
        <v/>
      </c>
      <c r="H1283" s="2" t="n"/>
      <c r="I1283" s="2" t="n"/>
    </row>
    <row r="1284">
      <c r="A1284" s="2" t="n">
        <v>45506</v>
      </c>
      <c r="B1284" t="n">
        <v>2703567.5</v>
      </c>
      <c r="C1284" t="n">
        <v>27648.02</v>
      </c>
      <c r="D1284" t="n">
        <v>-11902.5</v>
      </c>
      <c r="E1284">
        <f>D1284/MAX($B$2:B1284,100000)</f>
        <v/>
      </c>
      <c r="H1284" s="2" t="n"/>
      <c r="I1284" s="2" t="n"/>
    </row>
    <row r="1285">
      <c r="A1285" s="2" t="n">
        <v>45513</v>
      </c>
      <c r="B1285" t="n">
        <v>2630399.5</v>
      </c>
      <c r="C1285" t="n">
        <v>27648.02</v>
      </c>
      <c r="D1285" t="n">
        <v>-85070.5</v>
      </c>
      <c r="E1285">
        <f>D1285/MAX($B$2:B1285,100000)</f>
        <v/>
      </c>
      <c r="H1285" s="2" t="n"/>
      <c r="I1285" s="2" t="n"/>
    </row>
    <row r="1286">
      <c r="A1286" s="2" t="n">
        <v>45520</v>
      </c>
      <c r="B1286" t="n">
        <v>2707768</v>
      </c>
      <c r="C1286" t="n">
        <v>27648.02</v>
      </c>
      <c r="D1286" t="n">
        <v>-7702</v>
      </c>
      <c r="E1286">
        <f>D1286/MAX($B$2:B1286,100000)</f>
        <v/>
      </c>
      <c r="H1286" s="2" t="n"/>
      <c r="I1286" s="2" t="n"/>
    </row>
    <row r="1287">
      <c r="A1287" s="2" t="n">
        <v>45527</v>
      </c>
      <c r="B1287" t="n">
        <v>2745565.25</v>
      </c>
      <c r="C1287" t="n">
        <v>50598.65</v>
      </c>
      <c r="D1287" t="n">
        <v>0</v>
      </c>
      <c r="E1287">
        <f>D1287/MAX($B$2:B1287,100000)</f>
        <v/>
      </c>
      <c r="H1287" s="2" t="n"/>
      <c r="I1287" s="2" t="n"/>
    </row>
    <row r="1288">
      <c r="A1288" s="2" t="n">
        <v>45534</v>
      </c>
      <c r="B1288" t="n">
        <v>2798975.75</v>
      </c>
      <c r="C1288" t="n">
        <v>50598.65</v>
      </c>
      <c r="D1288" t="n">
        <v>0</v>
      </c>
      <c r="E1288">
        <f>D1288/MAX($B$2:B1288,100000)</f>
        <v/>
      </c>
      <c r="H1288" s="2" t="n"/>
      <c r="I1288" s="2" t="n"/>
    </row>
    <row r="1289">
      <c r="A1289" s="2" t="n">
        <v>45541</v>
      </c>
      <c r="B1289" t="n">
        <v>2767373.75</v>
      </c>
      <c r="C1289" t="n">
        <v>50598.65</v>
      </c>
      <c r="D1289" t="n">
        <v>-31602</v>
      </c>
      <c r="E1289">
        <f>D1289/MAX($B$2:B1289,100000)</f>
        <v/>
      </c>
      <c r="H1289" s="2" t="n"/>
      <c r="I1289" s="2" t="n"/>
    </row>
    <row r="1290">
      <c r="A1290" s="2" t="n">
        <v>45548</v>
      </c>
      <c r="B1290" t="n">
        <v>2775909</v>
      </c>
      <c r="C1290" t="n">
        <v>50598.65</v>
      </c>
      <c r="D1290" t="n">
        <v>-23066.75</v>
      </c>
      <c r="E1290">
        <f>D1290/MAX($B$2:B1290,100000)</f>
        <v/>
      </c>
      <c r="H1290" s="2" t="n"/>
      <c r="I1290" s="2" t="n"/>
    </row>
    <row r="1291">
      <c r="A1291" s="2" t="n">
        <v>45555</v>
      </c>
      <c r="B1291" t="n">
        <v>2819092</v>
      </c>
      <c r="C1291" t="n">
        <v>50598.65</v>
      </c>
      <c r="D1291" t="n">
        <v>0</v>
      </c>
      <c r="E1291">
        <f>D1291/MAX($B$2:B1291,100000)</f>
        <v/>
      </c>
      <c r="H1291" s="2" t="n"/>
      <c r="I1291" s="2" t="n"/>
    </row>
    <row r="1292">
      <c r="A1292" s="2" t="n">
        <v>45562</v>
      </c>
      <c r="B1292" t="n">
        <v>2862536.75</v>
      </c>
      <c r="C1292" t="n">
        <v>50598.65</v>
      </c>
      <c r="D1292" t="n">
        <v>0</v>
      </c>
      <c r="E1292">
        <f>D1292/MAX($B$2:B1292,100000)</f>
        <v/>
      </c>
      <c r="H1292" s="2" t="n"/>
      <c r="I1292" s="2" t="n"/>
    </row>
    <row r="1293">
      <c r="A1293" s="2" t="n">
        <v>45569</v>
      </c>
      <c r="B1293" t="n">
        <v>2845425.5</v>
      </c>
      <c r="C1293" t="n">
        <v>50598.65</v>
      </c>
      <c r="D1293" t="n">
        <v>-17111.25</v>
      </c>
      <c r="E1293">
        <f>D1293/MAX($B$2:B1293,100000)</f>
        <v/>
      </c>
      <c r="H1293" s="2" t="n"/>
      <c r="I1293" s="2" t="n"/>
    </row>
    <row r="1294">
      <c r="A1294" s="2" t="n">
        <v>45576</v>
      </c>
      <c r="B1294" t="n">
        <v>2913673.5</v>
      </c>
      <c r="C1294" t="n">
        <v>50598.65</v>
      </c>
      <c r="D1294" t="n">
        <v>0</v>
      </c>
      <c r="E1294">
        <f>D1294/MAX($B$2:B1294,100000)</f>
        <v/>
      </c>
      <c r="H1294" s="2" t="n"/>
      <c r="I1294" s="2" t="n"/>
    </row>
    <row r="1295">
      <c r="A1295" s="2" t="n">
        <v>45583</v>
      </c>
      <c r="B1295" t="n">
        <v>2921913.5</v>
      </c>
      <c r="C1295" t="n">
        <v>50598.65</v>
      </c>
      <c r="D1295" t="n">
        <v>0</v>
      </c>
      <c r="E1295">
        <f>D1295/MAX($B$2:B1295,100000)</f>
        <v/>
      </c>
      <c r="H1295" s="2" t="n"/>
      <c r="I1295" s="2" t="n"/>
    </row>
    <row r="1296">
      <c r="A1296" s="2" t="n">
        <v>45590</v>
      </c>
      <c r="B1296" t="n">
        <v>2864032</v>
      </c>
      <c r="C1296" t="n">
        <v>50598.65</v>
      </c>
      <c r="D1296" t="n">
        <v>-57881.5</v>
      </c>
      <c r="E1296">
        <f>D1296/MAX($B$2:B1296,100000)</f>
        <v/>
      </c>
      <c r="H1296" s="2" t="n"/>
      <c r="I1296" s="2" t="n"/>
    </row>
    <row r="1297">
      <c r="A1297" s="2" t="n">
        <v>45597</v>
      </c>
      <c r="B1297" t="n">
        <v>2858391</v>
      </c>
      <c r="C1297" t="n">
        <v>50598.65</v>
      </c>
      <c r="D1297" t="n">
        <v>-63522.5</v>
      </c>
      <c r="E1297">
        <f>D1297/MAX($B$2:B1297,100000)</f>
        <v/>
      </c>
      <c r="H1297" s="2" t="n"/>
      <c r="I1297" s="2" t="n"/>
    </row>
    <row r="1298">
      <c r="A1298" s="2" t="n">
        <v>45604</v>
      </c>
      <c r="B1298" t="n">
        <v>2991190</v>
      </c>
      <c r="C1298" t="n">
        <v>50598.65</v>
      </c>
      <c r="D1298" t="n">
        <v>0</v>
      </c>
      <c r="E1298">
        <f>D1298/MAX($B$2:B1298,100000)</f>
        <v/>
      </c>
      <c r="H1298" s="2" t="n"/>
      <c r="I1298" s="2" t="n"/>
    </row>
    <row r="1299">
      <c r="A1299" s="2" t="n">
        <v>45611</v>
      </c>
      <c r="B1299" t="n">
        <v>3002594.5</v>
      </c>
      <c r="C1299" t="n">
        <v>50598.65</v>
      </c>
      <c r="D1299" t="n">
        <v>0</v>
      </c>
      <c r="E1299">
        <f>D1299/MAX($B$2:B1299,100000)</f>
        <v/>
      </c>
      <c r="H1299" s="2" t="n"/>
      <c r="I1299" s="2" t="n"/>
    </row>
    <row r="1300">
      <c r="A1300" s="2" t="n">
        <v>45618</v>
      </c>
      <c r="B1300" t="n">
        <v>3035373</v>
      </c>
      <c r="C1300" t="n">
        <v>50598.65</v>
      </c>
      <c r="D1300" t="n">
        <v>0</v>
      </c>
      <c r="E1300">
        <f>D1300/MAX($B$2:B1300,100000)</f>
        <v/>
      </c>
      <c r="H1300" s="2" t="n"/>
      <c r="I1300" s="2" t="n"/>
    </row>
    <row r="1301">
      <c r="A1301" s="2" t="n">
        <v>45625</v>
      </c>
      <c r="B1301" t="n">
        <v>3164892.5</v>
      </c>
      <c r="C1301" t="n">
        <v>50598.65</v>
      </c>
      <c r="D1301" t="n">
        <v>0</v>
      </c>
      <c r="E1301">
        <f>D1301/MAX($B$2:B1301,100000)</f>
        <v/>
      </c>
      <c r="H1301" s="2" t="n"/>
      <c r="I1301" s="2" t="n"/>
    </row>
    <row r="1302">
      <c r="A1302" s="2" t="n">
        <v>45632</v>
      </c>
      <c r="B1302" t="n">
        <v>3195011.75</v>
      </c>
      <c r="C1302" t="n">
        <v>50598.65</v>
      </c>
      <c r="D1302" t="n">
        <v>0</v>
      </c>
      <c r="E1302">
        <f>D1302/MAX($B$2:B1302,100000)</f>
        <v/>
      </c>
      <c r="H1302" s="2" t="n"/>
      <c r="I1302" s="2" t="n"/>
    </row>
    <row r="1303">
      <c r="A1303" s="2" t="n">
        <v>45639</v>
      </c>
      <c r="B1303" t="n">
        <v>3051494.5</v>
      </c>
      <c r="C1303" t="n">
        <v>50598.65</v>
      </c>
      <c r="D1303" t="n">
        <v>-143517.25</v>
      </c>
      <c r="E1303">
        <f>D1303/MAX($B$2:B1303,100000)</f>
        <v/>
      </c>
      <c r="H1303" s="2" t="n"/>
      <c r="I1303" s="2" t="n"/>
    </row>
    <row r="1304">
      <c r="A1304" s="2" t="n">
        <v>45646</v>
      </c>
      <c r="B1304" t="n">
        <v>3015058.25</v>
      </c>
      <c r="C1304" t="n">
        <v>50598.65</v>
      </c>
      <c r="D1304" t="n">
        <v>-179953.5</v>
      </c>
      <c r="E1304">
        <f>D1304/MAX($B$2:B1304,100000)</f>
        <v/>
      </c>
      <c r="H1304" s="2" t="n"/>
      <c r="I1304" s="2" t="n"/>
    </row>
    <row r="1305">
      <c r="A1305" s="2" t="n">
        <v>45653</v>
      </c>
      <c r="B1305" t="n">
        <v>3086102</v>
      </c>
      <c r="C1305" t="n">
        <v>50598.65</v>
      </c>
      <c r="D1305" t="n">
        <v>-108909.75</v>
      </c>
      <c r="E1305">
        <f>D1305/MAX($B$2:B1305,100000)</f>
        <v/>
      </c>
      <c r="H1305" s="2" t="n"/>
      <c r="I1305" s="2" t="n"/>
    </row>
    <row r="1306">
      <c r="A1306" s="2" t="n">
        <v>45660</v>
      </c>
      <c r="B1306" t="n">
        <v>3077381.25</v>
      </c>
      <c r="C1306" t="n">
        <v>496585.94</v>
      </c>
      <c r="D1306" t="n">
        <v>-117630.5</v>
      </c>
      <c r="E1306">
        <f>D1306/MAX($B$2:B1306,100000)</f>
        <v/>
      </c>
      <c r="H1306" s="2" t="n"/>
      <c r="I1306" s="2" t="n"/>
    </row>
    <row r="1307">
      <c r="A1307" s="2" t="n">
        <v>45667</v>
      </c>
      <c r="B1307" t="n">
        <v>3085816.25</v>
      </c>
      <c r="C1307" t="n">
        <v>496585.94</v>
      </c>
      <c r="D1307" t="n">
        <v>-109195.5</v>
      </c>
      <c r="E1307">
        <f>D1307/MAX($B$2:B1307,100000)</f>
        <v/>
      </c>
      <c r="H1307" s="2" t="n"/>
      <c r="I1307" s="2" t="n"/>
    </row>
    <row r="1308">
      <c r="A1308" s="2" t="n">
        <v>45674</v>
      </c>
      <c r="B1308" t="n">
        <v>3081609.75</v>
      </c>
      <c r="C1308" t="n">
        <v>304778.53</v>
      </c>
      <c r="D1308" t="n">
        <v>-113402</v>
      </c>
      <c r="E1308">
        <f>D1308/MAX($B$2:B1308,100000)</f>
        <v/>
      </c>
      <c r="H1308" s="2" t="n"/>
      <c r="I1308" s="2" t="n"/>
    </row>
    <row r="1309">
      <c r="A1309" s="2" t="n">
        <v>45681</v>
      </c>
      <c r="B1309" t="n">
        <v>3154310.75</v>
      </c>
      <c r="C1309" t="n">
        <v>111140.3</v>
      </c>
      <c r="D1309" t="n">
        <v>-40701</v>
      </c>
      <c r="E1309">
        <f>D1309/MAX($B$2:B1309,100000)</f>
        <v/>
      </c>
      <c r="H1309" s="2" t="n"/>
      <c r="I1309" s="2" t="n"/>
    </row>
    <row r="1310">
      <c r="A1310" s="2" t="n">
        <v>45688</v>
      </c>
      <c r="B1310" t="n">
        <v>3209008.5</v>
      </c>
      <c r="C1310" t="n">
        <v>111140.3</v>
      </c>
      <c r="D1310" t="n">
        <v>0</v>
      </c>
      <c r="E1310">
        <f>D1310/MAX($B$2:B1310,100000)</f>
        <v/>
      </c>
      <c r="H1310" s="2" t="n"/>
      <c r="I1310" s="2" t="n"/>
    </row>
    <row r="1311">
      <c r="A1311" s="2" t="n">
        <v>45695</v>
      </c>
      <c r="B1311" t="n">
        <v>3177904.75</v>
      </c>
      <c r="C1311" t="n">
        <v>111140.3</v>
      </c>
      <c r="D1311" t="n">
        <v>-31103.75</v>
      </c>
      <c r="E1311">
        <f>D1311/MAX($B$2:B1311,100000)</f>
        <v/>
      </c>
      <c r="H1311" s="2" t="n"/>
      <c r="I1311" s="2" t="n"/>
    </row>
    <row r="1312">
      <c r="A1312" s="2" t="n">
        <v>45702</v>
      </c>
      <c r="B1312" t="n">
        <v>3218513.75</v>
      </c>
      <c r="C1312" t="n">
        <v>111140.3</v>
      </c>
      <c r="D1312" t="n">
        <v>0</v>
      </c>
      <c r="E1312">
        <f>D1312/MAX($B$2:B1312,100000)</f>
        <v/>
      </c>
      <c r="H1312" s="2" t="n"/>
      <c r="I1312" s="2" t="n"/>
    </row>
    <row r="1313">
      <c r="A1313" s="2" t="n">
        <v>45709</v>
      </c>
      <c r="B1313" t="n">
        <v>3182315.25</v>
      </c>
      <c r="C1313" t="n">
        <v>54626</v>
      </c>
      <c r="D1313" t="n">
        <v>-36198.5</v>
      </c>
      <c r="E1313">
        <f>D1313/MAX($B$2:B1313,100000)</f>
        <v/>
      </c>
      <c r="H1313" s="2" t="n"/>
      <c r="I1313" s="2" t="n"/>
    </row>
    <row r="1314">
      <c r="A1314" s="2" t="n">
        <v>45716</v>
      </c>
      <c r="B1314" t="n">
        <v>3155973</v>
      </c>
      <c r="C1314" t="n">
        <v>54626</v>
      </c>
      <c r="D1314" t="n">
        <v>-62540.75</v>
      </c>
      <c r="E1314">
        <f>D1314/MAX($B$2:B1314,100000)</f>
        <v/>
      </c>
      <c r="H1314" s="2" t="n"/>
      <c r="I1314" s="2" t="n"/>
    </row>
    <row r="1315">
      <c r="A1315" s="2" t="n">
        <v>45723</v>
      </c>
      <c r="B1315" t="n">
        <v>3110816</v>
      </c>
      <c r="C1315" t="n">
        <v>500142.63</v>
      </c>
      <c r="D1315" t="n">
        <v>-107697.75</v>
      </c>
      <c r="E1315">
        <f>D1315/MAX($B$2:B1315,100000)</f>
        <v/>
      </c>
      <c r="H1315" s="2" t="n"/>
      <c r="I1315" s="2" t="n"/>
    </row>
    <row r="1316">
      <c r="A1316" s="2" t="n">
        <v>45730</v>
      </c>
      <c r="B1316" t="n">
        <v>3102195.25</v>
      </c>
      <c r="C1316" t="n">
        <v>1083603.13</v>
      </c>
      <c r="D1316" t="n">
        <v>-116318.5</v>
      </c>
      <c r="E1316">
        <f>D1316/MAX($B$2:B1316,100000)</f>
        <v/>
      </c>
      <c r="H1316" s="2" t="n"/>
      <c r="I1316" s="2" t="n"/>
    </row>
    <row r="1317">
      <c r="A1317" s="2" t="n">
        <v>45737</v>
      </c>
      <c r="B1317" t="n">
        <v>3146647.75</v>
      </c>
      <c r="C1317" t="n">
        <v>1346884.38</v>
      </c>
      <c r="D1317" t="n">
        <v>-71866</v>
      </c>
      <c r="E1317">
        <f>D1317/MAX($B$2:B1317,100000)</f>
        <v/>
      </c>
      <c r="H1317" s="2" t="n"/>
      <c r="I1317" s="2" t="n"/>
    </row>
    <row r="1318">
      <c r="A1318" s="2" t="n">
        <v>45744</v>
      </c>
      <c r="B1318" t="n">
        <v>3164757</v>
      </c>
      <c r="C1318" t="n">
        <v>1564535.75</v>
      </c>
      <c r="D1318" t="n">
        <v>-53756.75</v>
      </c>
      <c r="E1318">
        <f>D1318/MAX($B$2:B1318,100000)</f>
        <v/>
      </c>
      <c r="H1318" s="2" t="n"/>
      <c r="I1318" s="2" t="n"/>
    </row>
    <row r="1319">
      <c r="A1319" s="2" t="n">
        <v>45751</v>
      </c>
      <c r="B1319" t="n">
        <v>3090127</v>
      </c>
      <c r="C1319" t="n">
        <v>1564535.75</v>
      </c>
      <c r="D1319" t="n">
        <v>-128386.75</v>
      </c>
      <c r="E1319">
        <f>D1319/MAX($B$2:B1319,100000)</f>
        <v/>
      </c>
      <c r="H1319" s="2" t="n"/>
      <c r="I1319" s="2" t="n"/>
    </row>
    <row r="1320">
      <c r="A1320" s="2" t="n">
        <v>45758</v>
      </c>
      <c r="B1320" t="n">
        <v>3103747.75</v>
      </c>
      <c r="C1320" t="n">
        <v>1564535.75</v>
      </c>
      <c r="D1320" t="n">
        <v>-114766</v>
      </c>
      <c r="E1320">
        <f>D1320/MAX($B$2:B1320,100000)</f>
        <v/>
      </c>
      <c r="H1320" s="2" t="n"/>
      <c r="I1320" s="2" t="n"/>
    </row>
    <row r="1321">
      <c r="A1321" s="2" t="n">
        <v>45764</v>
      </c>
      <c r="B1321" t="n">
        <v>3127940</v>
      </c>
      <c r="C1321" t="n">
        <v>1906749.13</v>
      </c>
      <c r="D1321" t="n">
        <v>-90573.75</v>
      </c>
      <c r="E1321">
        <f>D1321/MAX($B$2:B1321,100000)</f>
        <v/>
      </c>
      <c r="H1321" s="2" t="n"/>
      <c r="I1321" s="2" t="n"/>
    </row>
    <row r="1322">
      <c r="A1322" s="2" t="n">
        <v>45771</v>
      </c>
      <c r="B1322" t="n">
        <v>3146404.5</v>
      </c>
      <c r="C1322" t="n">
        <v>2161879</v>
      </c>
      <c r="D1322" t="n">
        <v>-72109.25</v>
      </c>
      <c r="E1322">
        <f>D1322/MAX($B$2:B1322,100000)</f>
        <v/>
      </c>
      <c r="H1322" s="2" t="n"/>
      <c r="I1322" s="2" t="n"/>
    </row>
    <row r="1323">
      <c r="A1323" s="2" t="n">
        <v>45779</v>
      </c>
      <c r="B1323" t="n">
        <v>3184171.75</v>
      </c>
      <c r="C1323" t="n">
        <v>2161879</v>
      </c>
      <c r="D1323" t="n">
        <v>-34342</v>
      </c>
      <c r="E1323">
        <f>D1323/MAX($B$2:B1323,100000)</f>
        <v/>
      </c>
      <c r="H1323" s="2" t="n"/>
      <c r="I1323" s="2" t="n"/>
    </row>
    <row r="1324">
      <c r="A1324" s="2" t="n">
        <v>45786</v>
      </c>
      <c r="B1324" t="n">
        <v>3260469.5</v>
      </c>
      <c r="C1324" t="n">
        <v>171667.63</v>
      </c>
      <c r="D1324" t="n">
        <v>0</v>
      </c>
      <c r="E1324">
        <f>D1324/MAX($B$2:B1324,100000)</f>
        <v/>
      </c>
      <c r="H1324" s="2" t="n"/>
      <c r="I1324" s="2" t="n"/>
    </row>
    <row r="1325">
      <c r="A1325" s="2" t="n">
        <v>45793</v>
      </c>
      <c r="B1325" t="n">
        <v>3240861.5</v>
      </c>
      <c r="C1325" t="n">
        <v>171667.63</v>
      </c>
      <c r="D1325" t="n">
        <v>-19608</v>
      </c>
      <c r="E1325">
        <f>D1325/MAX($B$2:B1325,100000)</f>
        <v/>
      </c>
      <c r="H1325" s="2" t="n"/>
      <c r="I1325" s="2" t="n"/>
    </row>
    <row r="1326">
      <c r="A1326" s="2" t="n">
        <v>45800</v>
      </c>
      <c r="B1326" t="n">
        <v>3267804.25</v>
      </c>
      <c r="C1326" t="n">
        <v>171667.63</v>
      </c>
      <c r="D1326" t="n">
        <v>0</v>
      </c>
      <c r="E1326">
        <f>D1326/MAX($B$2:B1326,100000)</f>
        <v/>
      </c>
      <c r="H1326" s="2" t="n"/>
      <c r="I1326" s="2" t="n"/>
    </row>
    <row r="1327">
      <c r="A1327" s="2" t="n">
        <v>45807</v>
      </c>
      <c r="B1327" t="n">
        <v>3280497</v>
      </c>
      <c r="C1327" t="n">
        <v>171667.63</v>
      </c>
      <c r="D1327" t="n">
        <v>0</v>
      </c>
      <c r="E1327">
        <f>D1327/MAX($B$2:B1327,100000)</f>
        <v/>
      </c>
      <c r="H1327" s="2" t="n"/>
      <c r="I1327" s="2" t="n"/>
    </row>
    <row r="1328">
      <c r="A1328" s="2" t="n">
        <v>45814</v>
      </c>
      <c r="B1328" t="n">
        <v>3323332.75</v>
      </c>
      <c r="C1328" t="n">
        <v>171667.63</v>
      </c>
      <c r="D1328" t="n">
        <v>0</v>
      </c>
      <c r="E1328">
        <f>D1328/MAX($B$2:B1328,100000)</f>
        <v/>
      </c>
      <c r="H1328" s="2" t="n"/>
      <c r="I1328" s="2" t="n"/>
    </row>
    <row r="1329">
      <c r="A1329" s="2" t="n">
        <v>45821</v>
      </c>
      <c r="B1329" t="n">
        <v>3340920.75</v>
      </c>
      <c r="C1329" t="n">
        <v>171667.63</v>
      </c>
      <c r="D1329" t="n">
        <v>0</v>
      </c>
      <c r="E1329">
        <f>D1329/MAX($B$2:B1329,100000)</f>
        <v/>
      </c>
      <c r="H1329" s="2" t="n"/>
      <c r="I1329" s="2" t="n"/>
    </row>
    <row r="1330">
      <c r="A1330" s="2" t="n">
        <v>45828</v>
      </c>
      <c r="B1330" t="n">
        <v>3363845.75</v>
      </c>
      <c r="C1330" t="n">
        <v>171667.63</v>
      </c>
      <c r="D1330" t="n">
        <v>0</v>
      </c>
      <c r="E1330">
        <f>D1330/MAX($B$2:B1330,100000)</f>
        <v/>
      </c>
      <c r="H1330" s="2" t="n"/>
      <c r="I1330" s="2" t="n"/>
    </row>
    <row r="1331">
      <c r="A1331" s="2" t="n">
        <v>45835</v>
      </c>
      <c r="B1331" t="n">
        <v>3390923.75</v>
      </c>
      <c r="C1331" t="n">
        <v>171667.63</v>
      </c>
      <c r="D1331" t="n">
        <v>0</v>
      </c>
      <c r="E1331">
        <f>D1331/MAX($B$2:B1331,100000)</f>
        <v/>
      </c>
      <c r="H1331" s="2" t="n"/>
      <c r="I1331" s="2" t="n"/>
    </row>
    <row r="1332">
      <c r="A1332" s="2" t="n">
        <v>45842</v>
      </c>
      <c r="B1332" t="n">
        <v>3373933.25</v>
      </c>
      <c r="C1332" t="n">
        <v>171667.63</v>
      </c>
      <c r="D1332" t="n">
        <v>-16990.5</v>
      </c>
      <c r="E1332">
        <f>D1332/MAX($B$2:B1332,100000)</f>
        <v/>
      </c>
      <c r="H1332" s="2" t="n"/>
      <c r="I1332" s="2" t="n"/>
    </row>
    <row r="1333">
      <c r="A1333" s="2" t="n">
        <v>45849</v>
      </c>
      <c r="B1333" t="n">
        <v>3322968.25</v>
      </c>
      <c r="C1333" t="n">
        <v>171667.63</v>
      </c>
      <c r="D1333" t="n">
        <v>-67955.5</v>
      </c>
      <c r="E1333">
        <f>D1333/MAX($B$2:B1333,100000)</f>
        <v/>
      </c>
      <c r="I1333" s="2" t="n"/>
    </row>
    <row r="1334">
      <c r="A1334" s="2" t="n">
        <v>45856</v>
      </c>
      <c r="B1334" t="n">
        <v>3397570.25</v>
      </c>
      <c r="C1334" t="n">
        <v>171667.63</v>
      </c>
      <c r="D1334" t="n">
        <v>0</v>
      </c>
      <c r="E1334">
        <f>D1334/MAX($B$2:B1334,100000)</f>
        <v/>
      </c>
      <c r="I1334" s="2" t="n"/>
    </row>
    <row r="1335">
      <c r="A1335" s="2" t="n">
        <v>45863</v>
      </c>
      <c r="B1335" t="n">
        <v>3289731</v>
      </c>
      <c r="C1335" t="n">
        <v>171667.63</v>
      </c>
      <c r="D1335" t="n">
        <v>-107839.25</v>
      </c>
      <c r="E1335">
        <f>D1335/MAX($B$2:B1335,100000)</f>
        <v/>
      </c>
      <c r="I1335" s="2" t="n"/>
    </row>
    <row r="1336">
      <c r="A1336" s="2" t="n">
        <v>45870</v>
      </c>
      <c r="B1336" t="n">
        <v>3255188</v>
      </c>
      <c r="C1336" t="n">
        <v>171667.63</v>
      </c>
      <c r="D1336" t="n">
        <v>-142382.25</v>
      </c>
      <c r="E1336">
        <f>D1336/MAX($B$2:B1336,100000)</f>
        <v/>
      </c>
      <c r="I1336" s="2" t="n"/>
    </row>
    <row r="1337">
      <c r="A1337" s="2" t="n">
        <v>45873</v>
      </c>
      <c r="B1337" t="n">
        <v>3257788.5</v>
      </c>
      <c r="C1337" t="n">
        <v>265364.30953</v>
      </c>
      <c r="D1337">
        <f>B1337-MAX(B2:B1337,100000)</f>
        <v/>
      </c>
      <c r="E1337">
        <f>D1337/MAX($B$2:B1337,100000)</f>
        <v/>
      </c>
    </row>
    <row r="1338">
      <c r="A1338" s="2" t="n">
        <v>45877</v>
      </c>
      <c r="B1338" t="n">
        <v>3300533.2</v>
      </c>
      <c r="C1338" t="n">
        <v>265364.30953</v>
      </c>
      <c r="D1338">
        <f>B1338-MAX(B3:B1338,100000)</f>
        <v/>
      </c>
      <c r="E1338">
        <f>D1338/MAX($B$2:B1338,100000)</f>
        <v/>
      </c>
    </row>
    <row r="1339">
      <c r="A1339" s="2" t="n">
        <v>45880</v>
      </c>
      <c r="B1339" t="n">
        <v>3295930.5</v>
      </c>
      <c r="C1339" t="n">
        <v>50992.39177000002</v>
      </c>
      <c r="D1339">
        <f>B1339-MAX(B4:B1339,100000)</f>
        <v/>
      </c>
      <c r="E1339">
        <f>D1339/MAX($B$2:B1339,100000)</f>
        <v/>
      </c>
    </row>
    <row r="1340">
      <c r="A1340" s="2" t="n">
        <v>45884</v>
      </c>
      <c r="B1340" t="n">
        <v>3334191.2</v>
      </c>
      <c r="C1340" t="n">
        <v>50992.39177000002</v>
      </c>
      <c r="D1340">
        <f>B1340-MAX(B5:B1340,100000)</f>
        <v/>
      </c>
      <c r="E1340">
        <f>D1340/MAX($B$2:B1340,100000)</f>
        <v/>
      </c>
    </row>
    <row r="1341">
      <c r="A1341" s="2" t="n">
        <v>45887</v>
      </c>
      <c r="B1341" t="n">
        <v>3339868.5</v>
      </c>
      <c r="C1341" t="n">
        <v>50992.39177000002</v>
      </c>
      <c r="D1341">
        <f>B1341-MAX(B6:B1341,100000)</f>
        <v/>
      </c>
      <c r="E1341">
        <f>D1341/MAX($B$2:B1341,100000)</f>
        <v/>
      </c>
    </row>
    <row r="1342">
      <c r="A1342" s="2" t="n">
        <v>45891</v>
      </c>
      <c r="B1342" t="n">
        <v>3377940</v>
      </c>
      <c r="C1342" t="n">
        <v>50992.39177000002</v>
      </c>
      <c r="D1342">
        <f>B1342-MAX(B7:B1342,100000)</f>
        <v/>
      </c>
      <c r="E1342">
        <f>D1342/MAX($B$2:B1342,100000)</f>
        <v/>
      </c>
    </row>
    <row r="1343">
      <c r="A1343" s="2" t="n">
        <v>45894</v>
      </c>
      <c r="B1343" t="n">
        <v>3375944.8</v>
      </c>
      <c r="C1343" t="n">
        <v>19589.14227000001</v>
      </c>
      <c r="D1343">
        <f>B1343-MAX(B8:B1343,100000)</f>
        <v/>
      </c>
      <c r="E1343">
        <f>D1343/MAX($B$2:B1343,100000)</f>
        <v/>
      </c>
    </row>
    <row r="1344">
      <c r="A1344" s="2" t="n">
        <v>45898</v>
      </c>
      <c r="B1344" t="n">
        <v>3334891.2</v>
      </c>
      <c r="C1344" t="n">
        <v>19589.14227000001</v>
      </c>
      <c r="D1344">
        <f>B1344-MAX(B9:B1344,100000)</f>
        <v/>
      </c>
      <c r="E1344">
        <f>D1344/MAX($B$2:B1344,100000)</f>
        <v/>
      </c>
    </row>
    <row r="1345">
      <c r="A1345" s="2" t="n">
        <v>45900</v>
      </c>
      <c r="B1345" t="n">
        <v>3334891.2</v>
      </c>
      <c r="C1345" t="n">
        <v>19589.14227</v>
      </c>
      <c r="D1345">
        <f>B1345-MAX(B10:B1345,100000)</f>
        <v/>
      </c>
      <c r="E1345">
        <f>D1345/MAX($B$2:B1345,100000)</f>
        <v/>
      </c>
    </row>
    <row r="1346">
      <c r="A1346" s="2" t="n">
        <v>45901</v>
      </c>
      <c r="B1346" t="n">
        <v>3308680.8</v>
      </c>
      <c r="C1346" t="n">
        <v>19589.14227</v>
      </c>
      <c r="D1346">
        <f>B1346-MAX(B11:B1346,100000)</f>
        <v/>
      </c>
      <c r="E1346">
        <f>D1346/MAX($B$2:B1346,100000)</f>
        <v/>
      </c>
    </row>
    <row r="1347">
      <c r="A1347" s="2" t="n">
        <v>45905</v>
      </c>
      <c r="B1347" t="n">
        <v>3317966.2</v>
      </c>
      <c r="C1347" t="n">
        <v>19589.14227</v>
      </c>
      <c r="D1347">
        <f>B1347-MAX(B12:B1347,100000)</f>
        <v/>
      </c>
      <c r="E1347">
        <f>D1347/MAX($B$2:B1347,100000)</f>
        <v/>
      </c>
    </row>
    <row r="1348">
      <c r="A1348" s="2" t="n">
        <v>45908</v>
      </c>
      <c r="B1348" t="n">
        <v>3321645.8</v>
      </c>
      <c r="C1348" t="n">
        <v>19589.14227</v>
      </c>
      <c r="D1348">
        <f>B1348-MAX(B13:B1348,100000)</f>
        <v/>
      </c>
      <c r="E1348">
        <f>D1348/MAX($B$2:B1348,100000)</f>
        <v/>
      </c>
    </row>
    <row r="1349">
      <c r="A1349" s="2" t="n">
        <v>45912</v>
      </c>
      <c r="B1349" t="n">
        <v>3353383.2</v>
      </c>
      <c r="C1349" t="n">
        <v>19589.14227</v>
      </c>
      <c r="D1349">
        <f>B1349-MAX(B14:B1349,100000)</f>
        <v/>
      </c>
      <c r="E1349">
        <f>D1349/MAX($B$2:B1349,100000)</f>
        <v/>
      </c>
    </row>
    <row r="1350">
      <c r="A1350" s="2" t="n">
        <v>45915</v>
      </c>
      <c r="B1350" t="n">
        <v>3349287</v>
      </c>
      <c r="C1350" t="n">
        <v>19589.14227</v>
      </c>
      <c r="D1350">
        <f>B1350-MAX(B15:B1350,100000)</f>
        <v/>
      </c>
      <c r="E1350">
        <f>D1350/MAX($B$2:B1350,100000)</f>
        <v/>
      </c>
    </row>
    <row r="1351">
      <c r="A1351" s="2" t="n">
        <v>45919</v>
      </c>
      <c r="B1351" t="n">
        <v>3337597.5</v>
      </c>
      <c r="C1351" t="n">
        <v>19589.14227</v>
      </c>
      <c r="D1351">
        <f>B1351-MAX(B16:B1351,100000)</f>
        <v/>
      </c>
      <c r="E1351">
        <f>D1351/MAX($B$2:B1351,100000)</f>
        <v/>
      </c>
    </row>
    <row r="1352">
      <c r="A1352" s="2" t="n">
        <v>45922</v>
      </c>
      <c r="B1352" t="n">
        <v>3321918.8</v>
      </c>
      <c r="C1352" t="n">
        <v>19589.14227</v>
      </c>
      <c r="D1352">
        <f>B1352-MAX(B17:B1352,100000)</f>
        <v/>
      </c>
      <c r="E1352">
        <f>D1352/MAX($B$2:B1352,100000)</f>
        <v/>
      </c>
    </row>
    <row r="1353">
      <c r="A1353" s="2" t="n">
        <v>45926</v>
      </c>
      <c r="B1353" t="n">
        <v>3276719.5</v>
      </c>
      <c r="C1353" t="n">
        <v>19589.14227</v>
      </c>
      <c r="D1353">
        <f>B1353-MAX(B18:B1353,100000)</f>
        <v/>
      </c>
      <c r="E1353">
        <f>D1353/MAX($B$2:B1353,100000)</f>
        <v/>
      </c>
    </row>
    <row r="1354">
      <c r="A1354" s="2" t="n">
        <v>45929</v>
      </c>
      <c r="B1354" t="n">
        <v>3305463.2</v>
      </c>
      <c r="C1354" t="n">
        <v>-33779.04259999997</v>
      </c>
      <c r="D1354">
        <f>B1354-MAX(B19:B1354,100000)</f>
        <v/>
      </c>
      <c r="E1354">
        <f>D1354/MAX($B$2:B1354,100000)</f>
        <v/>
      </c>
    </row>
    <row r="1355">
      <c r="A1355" s="2" t="n">
        <v>45930</v>
      </c>
      <c r="B1355" t="n">
        <v>3290729.8</v>
      </c>
      <c r="C1355" t="n">
        <v>-33779.04259999997</v>
      </c>
      <c r="D1355">
        <f>B1355-MAX(B20:B1355,100000)</f>
        <v/>
      </c>
      <c r="E1355">
        <f>D1355/MAX($B$2:B1355,100000)</f>
        <v/>
      </c>
    </row>
    <row r="1356">
      <c r="A1356" s="2" t="n">
        <v>45933</v>
      </c>
      <c r="B1356" t="n">
        <v>3379895.2</v>
      </c>
      <c r="C1356" t="n">
        <v>-33779.04259999997</v>
      </c>
      <c r="D1356">
        <f>B1356-MAX(B20:B1356,100000)</f>
        <v/>
      </c>
      <c r="E1356">
        <f>D1356/MAX($B$2:B1356,100000)</f>
        <v/>
      </c>
    </row>
    <row r="1357">
      <c r="A1357" s="2" t="n">
        <v>45936</v>
      </c>
      <c r="B1357" t="n">
        <v>3356323.2</v>
      </c>
      <c r="C1357" t="n">
        <v>-33779.04259999997</v>
      </c>
      <c r="D1357">
        <f>B1357-MAX(B21:B1357,100000)</f>
        <v/>
      </c>
      <c r="E1357">
        <f>D1357/MAX($B$2:B1357,100000)</f>
        <v/>
      </c>
    </row>
    <row r="1358">
      <c r="A1358" s="2" t="n">
        <v>45940</v>
      </c>
      <c r="B1358" t="n">
        <v>3370347.5</v>
      </c>
      <c r="C1358" t="n">
        <v>-33779.04259999997</v>
      </c>
      <c r="D1358">
        <f>B1358-MAX(B22:B1358,100000)</f>
        <v/>
      </c>
      <c r="E1358">
        <f>D1358/MAX($B$2:B1358,100000)</f>
        <v/>
      </c>
    </row>
    <row r="1359">
      <c r="A1359" s="2" t="n">
        <v>45943</v>
      </c>
      <c r="B1359" t="n">
        <v>3329144.2</v>
      </c>
      <c r="C1359" t="n">
        <v>-33779.04259999997</v>
      </c>
      <c r="D1359">
        <f>B1359-MAX(B23:B1359,100000)</f>
        <v/>
      </c>
      <c r="E1359">
        <f>D1359/MAX($B$2:B1359,100000)</f>
        <v/>
      </c>
    </row>
    <row r="1360">
      <c r="A1360" s="2" t="n">
        <v>45947</v>
      </c>
      <c r="B1360" t="n">
        <v>3288455</v>
      </c>
      <c r="C1360" t="n">
        <v>-33779.04259999997</v>
      </c>
      <c r="D1360">
        <f>B1360-MAX(B24:B1360,100000)</f>
        <v/>
      </c>
      <c r="E1360">
        <f>D1360/MAX($B$2:B1360,100000)</f>
        <v/>
      </c>
    </row>
    <row r="1361">
      <c r="A1361" s="2" t="n">
        <v>45950</v>
      </c>
      <c r="B1361" t="n">
        <v>3325949.8</v>
      </c>
      <c r="C1361" t="n">
        <v>-33779.04259999997</v>
      </c>
      <c r="D1361">
        <f>B1361-MAX(B25:B1361,100000)</f>
        <v/>
      </c>
      <c r="E1361">
        <f>D1361/MAX($B$2:B1361,100000)</f>
        <v/>
      </c>
    </row>
    <row r="1362">
      <c r="A1362" s="2" t="n">
        <v>45954</v>
      </c>
      <c r="B1362" t="n">
        <v>3310039.5</v>
      </c>
      <c r="C1362" t="n">
        <v>-33779.04259999997</v>
      </c>
      <c r="D1362">
        <f>B1362-MAX(B26:B1362,100000)</f>
        <v/>
      </c>
      <c r="E1362">
        <f>D1362/MAX($B$2:B1362,100000)</f>
        <v/>
      </c>
    </row>
    <row r="1363">
      <c r="A1363" s="2" t="n">
        <v>45957</v>
      </c>
      <c r="B1363" t="n">
        <v>3336336</v>
      </c>
      <c r="C1363" t="n">
        <v>-33779.04259999997</v>
      </c>
      <c r="D1363">
        <f>B1363-MAX(B27:B1363,100000)</f>
        <v/>
      </c>
      <c r="E1363">
        <f>D1363/MAX($B$2:B1363,100000)</f>
        <v/>
      </c>
    </row>
    <row r="1364">
      <c r="A1364" s="2" t="n">
        <v>45961</v>
      </c>
      <c r="B1364" t="n">
        <v>3302075</v>
      </c>
      <c r="C1364" t="n">
        <v>-33779.04259999997</v>
      </c>
      <c r="D1364">
        <f>B1364-MAX(B28:B1364,100000)</f>
        <v/>
      </c>
      <c r="E1364">
        <f>D1364/MAX($B$2:B1364,100000)</f>
        <v/>
      </c>
    </row>
    <row r="1365">
      <c r="A1365" s="2" t="n">
        <v>45964</v>
      </c>
      <c r="B1365" t="n">
        <v>3290491</v>
      </c>
      <c r="C1365" t="n">
        <v>-33779.04259999997</v>
      </c>
      <c r="D1365">
        <f>B1365-MAX(B29:B1365,100000)</f>
        <v/>
      </c>
      <c r="E1365">
        <f>D1365/MAX($B$2:B1365,100000)</f>
        <v/>
      </c>
    </row>
    <row r="1366">
      <c r="A1366" s="2" t="n">
        <v>45968</v>
      </c>
      <c r="B1366" t="n">
        <v>3210776.2</v>
      </c>
      <c r="C1366" t="n">
        <v>-33779.04259999997</v>
      </c>
      <c r="D1366">
        <f>B1366-MAX(B30:B1366,100000)</f>
        <v/>
      </c>
      <c r="E1366">
        <f>D1366/MAX($B$2:B1366,100000)</f>
        <v/>
      </c>
    </row>
    <row r="1367">
      <c r="A1367" s="2" t="n">
        <v>45971</v>
      </c>
      <c r="B1367" t="n">
        <v>3216886.8</v>
      </c>
      <c r="C1367" t="n">
        <v>506988.7596593</v>
      </c>
      <c r="D1367">
        <f>B1367-MAX(B31:B1367,100000)</f>
        <v/>
      </c>
      <c r="E1367">
        <f>D1367/MAX($B$2:B1367,100000)</f>
        <v/>
      </c>
    </row>
    <row r="1368">
      <c r="A1368" s="2" t="n">
        <v>45975</v>
      </c>
      <c r="B1368" t="n">
        <v>3121855.2</v>
      </c>
      <c r="C1368" t="n">
        <v>506988.7596593</v>
      </c>
      <c r="D1368">
        <f>B1368-MAX(B32:B1368,100000)</f>
        <v/>
      </c>
      <c r="E1368">
        <f>D1368/MAX($B$2:B1368,100000)</f>
        <v/>
      </c>
    </row>
    <row r="1369">
      <c r="A1369" s="2" t="n">
        <v>45978</v>
      </c>
      <c r="B1369" t="n">
        <v>3120507.5</v>
      </c>
      <c r="C1369" t="n">
        <v>872191.4114392999</v>
      </c>
      <c r="D1369">
        <f>B1369-MAX(B33:B1369,100000)</f>
        <v/>
      </c>
      <c r="E1369">
        <f>D1369/MAX($B$2:B1369,100000)</f>
        <v/>
      </c>
    </row>
    <row r="1370">
      <c r="A1370" s="2" t="n">
        <v>45982</v>
      </c>
      <c r="B1370" t="n">
        <v>3074196</v>
      </c>
      <c r="C1370" t="n">
        <v>872191.4114392999</v>
      </c>
      <c r="D1370">
        <f>B1370-MAX(B34:B1370,100000)</f>
        <v/>
      </c>
      <c r="E1370">
        <f>D1370/MAX($B$2:B1370,100000)</f>
        <v/>
      </c>
    </row>
    <row r="1371">
      <c r="A1371" s="2" t="n">
        <v>45985</v>
      </c>
      <c r="B1371" t="n">
        <v>3116226.5</v>
      </c>
      <c r="C1371" t="n">
        <v>872191.4114392999</v>
      </c>
      <c r="D1371">
        <f>B1371-MAX(B35:B1371,100000)</f>
        <v/>
      </c>
      <c r="E1371">
        <f>D1371/MAX($B$2:B1371,100000)</f>
        <v/>
      </c>
    </row>
    <row r="1372">
      <c r="A1372" s="2" t="n">
        <v>45989</v>
      </c>
      <c r="B1372" t="n">
        <v>3113035.8</v>
      </c>
      <c r="C1372" t="n">
        <v>872191.4114392999</v>
      </c>
      <c r="D1372">
        <f>B1372-MAX(B36:B1372,100000)</f>
        <v/>
      </c>
      <c r="E1372">
        <f>D1372/MAX($B$2:B1372,100000)</f>
        <v/>
      </c>
    </row>
    <row r="1373">
      <c r="A1373" s="2" t="n">
        <v>45991</v>
      </c>
      <c r="B1373" t="n">
        <v>3113035.8</v>
      </c>
      <c r="C1373" t="n">
        <v>872191.4114393</v>
      </c>
      <c r="D1373">
        <f>B1373-MAX(B37:B1373,100000)</f>
        <v/>
      </c>
      <c r="E1373">
        <f>D1373/MAX($B$2:B1373,100000)</f>
        <v/>
      </c>
    </row>
    <row r="1374">
      <c r="A1374" s="2" t="n">
        <v>45992</v>
      </c>
      <c r="B1374" t="n">
        <v>3097146.8</v>
      </c>
      <c r="C1374" t="n">
        <v>872191.4114393</v>
      </c>
      <c r="D1374">
        <f>B1374-MAX(B38:B1374,100000)</f>
        <v/>
      </c>
      <c r="E1374">
        <f>D1374/MAX($B$2:B1374,100000)</f>
        <v/>
      </c>
    </row>
    <row r="1375">
      <c r="A1375" s="2" t="n">
        <v>45998</v>
      </c>
      <c r="B1375" t="n">
        <v>3089384.8</v>
      </c>
      <c r="C1375" t="n">
        <v>872191.4114393</v>
      </c>
      <c r="D1375">
        <f>B1375-MAX(B39:B1375,100000)</f>
        <v/>
      </c>
      <c r="E1375">
        <f>D1375/MAX($B$2:B1375,100000)</f>
        <v/>
      </c>
    </row>
    <row r="1376">
      <c r="A1376" s="2" t="n">
        <v>45999</v>
      </c>
      <c r="B1376" t="n">
        <v>3084862.5</v>
      </c>
      <c r="C1376" s="27" t="n">
        <v>1250485.8782993</v>
      </c>
      <c r="D1376">
        <f>B1376-MAX(B40:B1376,100000)</f>
        <v/>
      </c>
      <c r="E1376">
        <f>D1376/MAX($B$2:B1376,100000)</f>
        <v/>
      </c>
    </row>
    <row r="1377">
      <c r="A1377" s="2" t="n">
        <v>46005</v>
      </c>
      <c r="B1377" t="n">
        <v>3079463.5</v>
      </c>
      <c r="C1377" s="27" t="n">
        <v>1250485.8782993</v>
      </c>
      <c r="D1377">
        <f>B1377-MAX(B41:B1377,100000)</f>
        <v/>
      </c>
      <c r="E1377">
        <f>D1377/MAX($B$2:B1377,100000)</f>
        <v/>
      </c>
    </row>
    <row r="1378">
      <c r="A1378" s="2" t="n">
        <v>46006</v>
      </c>
      <c r="B1378" t="n">
        <v>3067763</v>
      </c>
      <c r="C1378" s="27" t="n">
        <v>1446027.7207193</v>
      </c>
      <c r="D1378">
        <f>B1378-MAX(B42:B1378,100000)</f>
        <v/>
      </c>
      <c r="E1378">
        <f>D1378/MAX($B$2:B1378,100000)</f>
        <v/>
      </c>
    </row>
    <row r="1379">
      <c r="A1379" s="2" t="n">
        <v>46012</v>
      </c>
      <c r="B1379" t="n">
        <v>3089656.5</v>
      </c>
      <c r="C1379" s="27" t="n">
        <v>1446027.7207193</v>
      </c>
      <c r="D1379">
        <f>B1379-MAX(B43:B1379,100000)</f>
        <v/>
      </c>
      <c r="E1379">
        <f>D1379/MAX($B$2:B1379,100000)</f>
        <v/>
      </c>
    </row>
    <row r="1380">
      <c r="A1380" s="2" t="n">
        <v>46013</v>
      </c>
      <c r="B1380" t="n">
        <v>3098257</v>
      </c>
      <c r="C1380" s="27" t="n">
        <v>1446027.7207193</v>
      </c>
      <c r="D1380">
        <f>B1380-MAX(B44:B1380,100000)</f>
        <v/>
      </c>
      <c r="E1380">
        <f>D1380/MAX($B$2:B1380,100000)</f>
        <v/>
      </c>
    </row>
    <row r="1381">
      <c r="A1381" s="2" t="n">
        <v>46019</v>
      </c>
      <c r="B1381" t="n">
        <v>3098774.5</v>
      </c>
      <c r="C1381" s="27" t="n">
        <v>1446027.7207193</v>
      </c>
      <c r="D1381">
        <f>B1381-MAX(B45:B1381,100000)</f>
        <v/>
      </c>
      <c r="E1381">
        <f>D1381/MAX($B$2:B1381,100000)</f>
        <v/>
      </c>
      <c r="J1381" s="27" t="n"/>
    </row>
    <row r="1382">
      <c r="A1382" s="2" t="n">
        <v>46022</v>
      </c>
      <c r="B1382" t="n">
        <v>3075287.2</v>
      </c>
      <c r="C1382" t="n">
        <v>1657827.2092193</v>
      </c>
      <c r="D1382">
        <f>B1382-MAX(B46:B1382,100000)</f>
        <v/>
      </c>
      <c r="E1382">
        <f>D1382/MAX($B$2:B1382,100000)</f>
        <v/>
      </c>
    </row>
    <row r="1383">
      <c r="A1383" s="2" t="n">
        <v>46026</v>
      </c>
      <c r="B1383" t="n">
        <v>3080462.5</v>
      </c>
      <c r="C1383" t="n">
        <v>1657827.2092193</v>
      </c>
      <c r="D1383">
        <f>B1383-MAX(B47:B1383,100000)</f>
        <v/>
      </c>
      <c r="E1383">
        <f>D1383/MAX($B$2:B1383,100000)</f>
        <v/>
      </c>
    </row>
    <row r="1384">
      <c r="A1384" s="2" t="n">
        <v>46027</v>
      </c>
      <c r="B1384" t="n">
        <v>3080611.5</v>
      </c>
      <c r="C1384" t="n">
        <v>1657827.2092193</v>
      </c>
      <c r="D1384">
        <f>B1384-MAX(B48:B1384,100000)</f>
        <v/>
      </c>
      <c r="E1384">
        <f>D1384/MAX($B$2:B1384,100000)</f>
        <v/>
      </c>
    </row>
    <row r="1385">
      <c r="A1385" s="2" t="n">
        <v>46033</v>
      </c>
      <c r="B1385" t="n">
        <v>3068973</v>
      </c>
      <c r="C1385" t="n">
        <v>1657827.2092193</v>
      </c>
      <c r="D1385">
        <f>B1385-MAX(B49:B1385,100000)</f>
        <v/>
      </c>
      <c r="E1385">
        <f>D1385/MAX($B$2:B1385,100000)</f>
        <v/>
      </c>
    </row>
    <row r="1386">
      <c r="A1386" s="2" t="n">
        <v>46034</v>
      </c>
      <c r="B1386" t="n">
        <v>3076543</v>
      </c>
      <c r="C1386" t="n">
        <v>1657827.2092193</v>
      </c>
      <c r="D1386">
        <f>B1386-MAX(B50:B1386,100000)</f>
        <v/>
      </c>
      <c r="E1386">
        <f>D1386/MAX($B$2:B1386,100000)</f>
        <v/>
      </c>
    </row>
    <row r="1387">
      <c r="A1387" s="2" t="n">
        <v>46040</v>
      </c>
      <c r="B1387" t="n">
        <v>3094212.5</v>
      </c>
      <c r="C1387" t="n">
        <v>1657827.2092193</v>
      </c>
      <c r="D1387">
        <f>B1387-MAX(B51:B1387,100000)</f>
        <v/>
      </c>
      <c r="E1387">
        <f>D1387/MAX($B$2:B1387,100000)</f>
        <v/>
      </c>
    </row>
    <row r="1388">
      <c r="A1388" s="2" t="n">
        <v>46041</v>
      </c>
      <c r="B1388" t="inlineStr">
        <is>
          <t>3086114.8</t>
        </is>
      </c>
      <c r="C1388" t="n">
        <v>-200396.4280506999</v>
      </c>
      <c r="D1388">
        <f>B1388-MAX(B52:B1388,100000)</f>
        <v/>
      </c>
      <c r="E1388">
        <f>D1388/MAX($B$2:B1388,100000)</f>
        <v/>
      </c>
    </row>
    <row r="1389">
      <c r="A1389" s="2" t="n">
        <v>46047</v>
      </c>
      <c r="B1389" t="n">
        <v>3121849.2</v>
      </c>
      <c r="C1389" t="n">
        <v>-200396.4280506999</v>
      </c>
      <c r="D1389">
        <f>B1389-MAX(B53:B1389,100000)</f>
        <v/>
      </c>
      <c r="E1389">
        <f>D1389/MAX($B$2:B1389,100000)</f>
        <v/>
      </c>
    </row>
    <row r="1390">
      <c r="A1390" s="2" t="n">
        <v>46049</v>
      </c>
      <c r="B1390" t="n">
        <v>3128356</v>
      </c>
      <c r="C1390" t="n">
        <v>-200396.4280506999</v>
      </c>
      <c r="D1390">
        <f>B1390-MAX(B54:B1390,100000)</f>
        <v/>
      </c>
      <c r="E1390">
        <f>D1390/MAX($B$2:B1390,100000)</f>
        <v/>
      </c>
    </row>
    <row r="1391">
      <c r="A1391" s="2" t="n">
        <v>46053</v>
      </c>
      <c r="B1391" t="n">
        <v>3047522.5</v>
      </c>
      <c r="C1391" t="n">
        <v>-200396.4280506999</v>
      </c>
      <c r="D1391">
        <f>B1391-MAX(B55:B1391,100000)</f>
        <v/>
      </c>
      <c r="E1391">
        <f>D1391/MAX($B$2:B1391,100000)</f>
        <v/>
      </c>
    </row>
    <row r="1392">
      <c r="A1392" s="2" t="n">
        <v>46054</v>
      </c>
      <c r="B1392" t="n">
        <v>3047522.5</v>
      </c>
      <c r="C1392" t="n">
        <v>-200396.4280506999</v>
      </c>
      <c r="D1392">
        <f>B1392-MAX(B56:B1392,100000)</f>
        <v/>
      </c>
      <c r="E1392">
        <f>D1392/MAX($B$2:B1392,100000)</f>
        <v/>
      </c>
    </row>
    <row r="1393">
      <c r="A1393" s="2" t="n">
        <v>46055</v>
      </c>
      <c r="B1393" t="n">
        <v>2961225</v>
      </c>
      <c r="C1393" t="n">
        <v>-200396.4280506999</v>
      </c>
      <c r="D1393">
        <f>B1393-MAX(B57:B1393,100000)</f>
        <v/>
      </c>
      <c r="E1393">
        <f>D1393/MAX($B$2:B1393,100000)</f>
        <v/>
      </c>
    </row>
    <row r="1394">
      <c r="A1394" s="2" t="n">
        <v>46061</v>
      </c>
      <c r="B1394" t="n">
        <v>2818038.8</v>
      </c>
      <c r="C1394" t="n">
        <v>-200396.4280506999</v>
      </c>
      <c r="D1394">
        <f>B1394-MAX(B58:B1394,100000)</f>
        <v/>
      </c>
      <c r="E1394">
        <f>D1394/MAX($B$2:B1394,100000)</f>
        <v/>
      </c>
    </row>
    <row r="1395">
      <c r="A1395" s="2" t="n">
        <v>46062</v>
      </c>
      <c r="B1395" t="n">
        <v>2887450</v>
      </c>
      <c r="C1395" t="n">
        <v>1160195.8377293</v>
      </c>
      <c r="D1395">
        <f>B1395-MAX(B59:B1395,100000)</f>
        <v/>
      </c>
      <c r="E1395">
        <f>D1395/MAX($B$2:B1395,100000)</f>
        <v/>
      </c>
    </row>
    <row r="1396">
      <c r="A1396" s="2" t="n">
        <v>46068</v>
      </c>
      <c r="B1396" t="n">
        <v>2872438</v>
      </c>
      <c r="C1396" t="n">
        <v>1160195.8377293</v>
      </c>
      <c r="D1396">
        <f>B1396-MAX(B60:B1396,100000)</f>
        <v/>
      </c>
      <c r="E1396">
        <f>D1396/MAX($B$2:B1396,100000)</f>
        <v/>
      </c>
    </row>
    <row r="1397">
      <c r="A1397" s="2" t="n">
        <v>46069</v>
      </c>
      <c r="B1397" t="n">
        <v>2858926</v>
      </c>
      <c r="C1397" t="n">
        <v>-179091.6117707002</v>
      </c>
      <c r="D1397">
        <f>B1397-MAX(B61:B1397,100000)</f>
        <v/>
      </c>
      <c r="E1397">
        <f>D1397/MAX($B$2:B1397,100000)</f>
        <v/>
      </c>
    </row>
    <row r="1398">
      <c r="A1398" s="2" t="n">
        <v>46075</v>
      </c>
      <c r="B1398" t="n">
        <v>2903681.2</v>
      </c>
      <c r="C1398" t="n">
        <v>-179091.6117707002</v>
      </c>
      <c r="D1398">
        <f>B1398-MAX(B62:B1398,100000)</f>
        <v/>
      </c>
      <c r="E1398">
        <f>D1398/MAX($B$2:B1398,100000)</f>
        <v/>
      </c>
    </row>
    <row r="1399">
      <c r="A1399" s="2" t="n">
        <v>46076</v>
      </c>
      <c r="B1399" t="n">
        <v>2895415.2</v>
      </c>
      <c r="C1399" t="n">
        <v>-179091.6117707002</v>
      </c>
      <c r="D1399">
        <f>B1399-MAX(B63:B1399,100000)</f>
        <v/>
      </c>
      <c r="E1399">
        <f>D1399/MAX($B$2:B1399,100000)</f>
        <v/>
      </c>
    </row>
    <row r="1400">
      <c r="A1400" s="2" t="n">
        <v>46081</v>
      </c>
      <c r="B1400" t="n">
        <v>2918133</v>
      </c>
      <c r="C1400" t="n">
        <v>-179091.6117707002</v>
      </c>
      <c r="D1400">
        <f>B1400-MAX(B64:B1400,100000)</f>
        <v/>
      </c>
      <c r="E1400">
        <f>D1400/MAX($B$2:B1400,100000)</f>
        <v/>
      </c>
    </row>
    <row r="1401">
      <c r="A1401" s="2" t="n">
        <v>46082</v>
      </c>
      <c r="B1401" t="n">
        <v>2918133</v>
      </c>
      <c r="C1401" t="n">
        <v>-179091.6117707002</v>
      </c>
      <c r="D1401">
        <f>B1401-MAX(B65:B1401,100000)</f>
        <v/>
      </c>
      <c r="E1401">
        <f>D1401/MAX($B$2:B1401,100000)</f>
        <v/>
      </c>
    </row>
    <row r="1402">
      <c r="A1402" s="2" t="n">
        <v>46083</v>
      </c>
      <c r="B1402" t="n">
        <v>2887285.5</v>
      </c>
      <c r="C1402" t="n">
        <v>-179091.6117707002</v>
      </c>
      <c r="D1402">
        <f>B1402-MAX(B66:B1402,100000)</f>
        <v/>
      </c>
      <c r="E1402">
        <f>D1402/MAX($B$2:B1402,100000)</f>
        <v/>
      </c>
    </row>
    <row r="1403">
      <c r="A1403" s="2" t="n">
        <v>46089</v>
      </c>
      <c r="B1403" t="n">
        <v>2740333</v>
      </c>
      <c r="C1403" t="n">
        <v>-179091.6117707002</v>
      </c>
      <c r="D1403">
        <f>B1403-MAX(B67:B1403,100000)</f>
        <v/>
      </c>
      <c r="E1403">
        <f>D1403/MAX($B$2:B1403,100000)</f>
        <v/>
      </c>
    </row>
    <row r="1404">
      <c r="A1404" s="2" t="n">
        <v>46090</v>
      </c>
      <c r="B1404" t="n">
        <v>2638117</v>
      </c>
      <c r="C1404" t="n">
        <v>-152244.4141107002</v>
      </c>
      <c r="D1404">
        <f>B1404-MAX(B68:B1404,100000)</f>
        <v/>
      </c>
      <c r="E1404">
        <f>D1404/MAX($B$2:B1404,100000)</f>
        <v/>
      </c>
    </row>
    <row r="1405">
      <c r="A1405" s="2" t="n">
        <v>46096</v>
      </c>
      <c r="B1405" t="n">
        <v>2655017.8</v>
      </c>
      <c r="C1405" t="n">
        <v>-152244.4141107002</v>
      </c>
      <c r="D1405">
        <f>B1405-MAX(B69:B1405,100000)</f>
        <v/>
      </c>
      <c r="E1405">
        <f>D1405/MAX($B$2:B1405,100000)</f>
        <v/>
      </c>
    </row>
    <row r="1406">
      <c r="A1406" s="2" t="n">
        <v>46097</v>
      </c>
      <c r="B1406" t="n">
        <v>2634266.8</v>
      </c>
      <c r="C1406" s="27" t="n">
        <v>788957.8215093</v>
      </c>
      <c r="D1406">
        <f>B1406-MAX(B70:B1406,100000)</f>
        <v/>
      </c>
      <c r="E1406">
        <f>D1406/MAX($B$2:B1406,100000)</f>
        <v/>
      </c>
    </row>
    <row r="1410">
      <c r="C1410" s="27" t="n"/>
    </row>
  </sheetData>
  <pageMargins left="0.75" right="0.75" top="1" bottom="1" header="0.5" footer="0.5"/>
  <pageSetup orientation="portrait" paperSize="9"/>
</worksheet>
</file>

<file path=xl/worksheets/sheet6.xml><?xml version="1.0" encoding="utf-8"?>
<worksheet xmlns="http://schemas.openxmlformats.org/spreadsheetml/2006/main">
  <sheetPr>
    <outlinePr summaryBelow="1" summaryRight="1"/>
    <pageSetUpPr/>
  </sheetPr>
  <dimension ref="A1:K399"/>
  <sheetViews>
    <sheetView workbookViewId="0">
      <selection activeCell="A1" sqref="A1"/>
    </sheetView>
  </sheetViews>
  <sheetFormatPr baseColWidth="8" defaultRowHeight="15"/>
  <sheetData>
    <row r="1">
      <c r="A1" s="29" t="inlineStr">
        <is>
          <t>Code:</t>
        </is>
      </c>
      <c r="B1" s="29" t="inlineStr">
        <is>
          <t>Company Name:</t>
        </is>
      </c>
      <c r="C1" s="29" t="inlineStr">
        <is>
          <t>Trade:</t>
        </is>
      </c>
      <c r="D1" s="29" t="inlineStr">
        <is>
          <t>Date:</t>
        </is>
      </c>
      <c r="E1" s="29" t="inlineStr">
        <is>
          <t>Price:</t>
        </is>
      </c>
      <c r="F1" s="29" t="inlineStr">
        <is>
          <t>Ex. Date:</t>
        </is>
      </c>
      <c r="G1" s="29" t="inlineStr">
        <is>
          <t>Ex. Price:</t>
        </is>
      </c>
      <c r="H1" s="29" t="inlineStr">
        <is>
          <t>% chg:</t>
        </is>
      </c>
      <c r="I1" s="29" t="inlineStr">
        <is>
          <t>Profit:</t>
        </is>
      </c>
      <c r="J1" s="29" t="inlineStr">
        <is>
          <t>% Profit:</t>
        </is>
      </c>
      <c r="K1" s="29" t="inlineStr">
        <is>
          <t>Shares:</t>
        </is>
      </c>
    </row>
    <row r="2">
      <c r="A2" t="inlineStr">
        <is>
          <t>RHC.ASX</t>
        </is>
      </c>
      <c r="B2" t="inlineStr">
        <is>
          <t>Ramsay Health Care Limited Ordinary</t>
        </is>
      </c>
      <c r="C2" t="inlineStr">
        <is>
          <t>Open</t>
        </is>
      </c>
      <c r="D2" s="35" t="n">
        <v>46090</v>
      </c>
      <c r="E2" t="n">
        <v>42.52</v>
      </c>
      <c r="F2" s="35" t="n">
        <v>46096</v>
      </c>
      <c r="G2" t="n">
        <v>42.23</v>
      </c>
      <c r="H2" t="n">
        <v>-0.006820319849482726</v>
      </c>
      <c r="I2" t="n">
        <v>-1553.415680000023</v>
      </c>
      <c r="J2" t="n">
        <v>-0.008820319849482726</v>
      </c>
      <c r="K2" t="n">
        <v>4142</v>
      </c>
    </row>
    <row r="3">
      <c r="A3" t="inlineStr">
        <is>
          <t>RIO.ASX</t>
        </is>
      </c>
      <c r="B3" t="inlineStr">
        <is>
          <t>Rio Tinto Limited Ordinary</t>
        </is>
      </c>
      <c r="C3" t="inlineStr">
        <is>
          <t>Open</t>
        </is>
      </c>
      <c r="D3" s="35" t="n">
        <v>46069</v>
      </c>
      <c r="E3" t="n">
        <v>168.93</v>
      </c>
      <c r="F3" s="35" t="n">
        <v>46096</v>
      </c>
      <c r="G3" t="n">
        <v>157.89</v>
      </c>
      <c r="H3" t="n">
        <v>-0.06535251287515553</v>
      </c>
      <c r="I3" t="n">
        <v>-12834.22608000003</v>
      </c>
      <c r="J3" t="n">
        <v>-0.06735251287515553</v>
      </c>
      <c r="K3" t="n">
        <v>1128</v>
      </c>
    </row>
    <row r="4">
      <c r="A4" t="inlineStr">
        <is>
          <t>DBI.ASX</t>
        </is>
      </c>
      <c r="B4" t="inlineStr">
        <is>
          <t>Dalrymple Bay Infrastructure Limited Ordinary/Notes Stapled Securities</t>
        </is>
      </c>
      <c r="C4" t="inlineStr">
        <is>
          <t>Open</t>
        </is>
      </c>
      <c r="D4" s="35" t="n">
        <v>46069</v>
      </c>
      <c r="E4" t="n">
        <v>5.11</v>
      </c>
      <c r="F4" s="35" t="n">
        <v>46096</v>
      </c>
      <c r="G4" t="n">
        <v>4.93</v>
      </c>
      <c r="H4" t="n">
        <v>-0.03522504892367917</v>
      </c>
      <c r="I4" t="n">
        <v>-7170.533120000021</v>
      </c>
      <c r="J4" t="n">
        <v>-0.03722504892367917</v>
      </c>
      <c r="K4" t="n">
        <v>37696</v>
      </c>
    </row>
    <row r="5">
      <c r="A5" t="inlineStr">
        <is>
          <t>ANZ.ASX</t>
        </is>
      </c>
      <c r="B5" t="inlineStr">
        <is>
          <t>ANZ Group Holdings Limited Ordinary</t>
        </is>
      </c>
      <c r="C5" t="inlineStr">
        <is>
          <t>Open</t>
        </is>
      </c>
      <c r="D5" s="35" t="n">
        <v>46069</v>
      </c>
      <c r="E5" t="n">
        <v>40.21</v>
      </c>
      <c r="F5" s="35" t="n">
        <v>46096</v>
      </c>
      <c r="G5" t="n">
        <v>37.2</v>
      </c>
      <c r="H5" t="n">
        <v>-0.07485700074608304</v>
      </c>
      <c r="I5" t="n">
        <v>-14472.43685999999</v>
      </c>
      <c r="J5" t="n">
        <v>-0.07685700074608304</v>
      </c>
      <c r="K5" t="n">
        <v>4683</v>
      </c>
    </row>
    <row r="6">
      <c r="A6" t="inlineStr">
        <is>
          <t>AGL.ASX</t>
        </is>
      </c>
      <c r="B6" t="inlineStr">
        <is>
          <t>AGL Energy Limited Ordinary</t>
        </is>
      </c>
      <c r="C6" t="inlineStr">
        <is>
          <t>Open</t>
        </is>
      </c>
      <c r="D6" s="35" t="n">
        <v>46069</v>
      </c>
      <c r="E6" t="n">
        <v>10.41</v>
      </c>
      <c r="F6" s="35" t="n">
        <v>46096</v>
      </c>
      <c r="G6" t="n">
        <v>8.93</v>
      </c>
      <c r="H6" t="n">
        <v>-0.1421709894332374</v>
      </c>
      <c r="I6" t="n">
        <v>-27580.56914000002</v>
      </c>
      <c r="J6" t="n">
        <v>-0.1441709894332374</v>
      </c>
      <c r="K6" t="n">
        <v>18377</v>
      </c>
    </row>
    <row r="7">
      <c r="A7" t="inlineStr">
        <is>
          <t>NAB.ASX</t>
        </is>
      </c>
      <c r="B7" t="inlineStr">
        <is>
          <t>National Australia Bank Limited Ordinary</t>
        </is>
      </c>
      <c r="C7" t="inlineStr">
        <is>
          <t>Open</t>
        </is>
      </c>
      <c r="D7" s="35" t="n">
        <v>46069</v>
      </c>
      <c r="E7" t="n">
        <v>45.95</v>
      </c>
      <c r="F7" s="35" t="n">
        <v>46096</v>
      </c>
      <c r="G7" t="n">
        <v>47.11</v>
      </c>
      <c r="H7" t="n">
        <v>0.02524483133841127</v>
      </c>
      <c r="I7" t="n">
        <v>4445.43219999999</v>
      </c>
      <c r="J7" t="n">
        <v>0.02324483133841126</v>
      </c>
      <c r="K7" t="n">
        <v>4162</v>
      </c>
    </row>
    <row r="8">
      <c r="A8" t="inlineStr">
        <is>
          <t>AAI.ASX</t>
        </is>
      </c>
      <c r="B8" t="inlineStr">
        <is>
          <t>Alcoa Corporation CDI 1:1 Foreign Exempt NYSE</t>
        </is>
      </c>
      <c r="C8" t="inlineStr">
        <is>
          <t>Open</t>
        </is>
      </c>
      <c r="D8" s="35" t="n">
        <v>46041</v>
      </c>
      <c r="E8" t="n">
        <v>89.22</v>
      </c>
      <c r="F8" s="35" t="n">
        <v>46096</v>
      </c>
      <c r="G8" t="n">
        <v>93.7</v>
      </c>
      <c r="H8" t="n">
        <v>0.05021295673615778</v>
      </c>
      <c r="I8" t="n">
        <v>9308.575839999992</v>
      </c>
      <c r="J8" t="n">
        <v>0.04821295673615777</v>
      </c>
      <c r="K8" t="n">
        <v>2164</v>
      </c>
    </row>
    <row r="9">
      <c r="A9" t="inlineStr">
        <is>
          <t>DMP.ASX</t>
        </is>
      </c>
      <c r="B9" t="inlineStr">
        <is>
          <t>Domino's Pizza Enterprises Limited Ordinary</t>
        </is>
      </c>
      <c r="C9" t="inlineStr">
        <is>
          <t>Open</t>
        </is>
      </c>
      <c r="D9" s="35" t="n">
        <v>46041</v>
      </c>
      <c r="E9" t="n">
        <v>23.96</v>
      </c>
      <c r="F9" s="35" t="n">
        <v>46096</v>
      </c>
      <c r="G9" t="n">
        <v>18.6</v>
      </c>
      <c r="H9" t="n">
        <v>-0.2237061769616027</v>
      </c>
      <c r="I9" t="n">
        <v>-46535.1516</v>
      </c>
      <c r="J9" t="n">
        <v>-0.2257061769616027</v>
      </c>
      <c r="K9" t="n">
        <v>8605</v>
      </c>
    </row>
    <row r="10">
      <c r="A10" t="inlineStr">
        <is>
          <t>S32.ASX</t>
        </is>
      </c>
      <c r="B10" t="inlineStr">
        <is>
          <t>South32 Limited Ordinary</t>
        </is>
      </c>
      <c r="C10" t="inlineStr">
        <is>
          <t>Open</t>
        </is>
      </c>
      <c r="D10" s="35" t="n">
        <v>46041</v>
      </c>
      <c r="E10" t="n">
        <v>4.2</v>
      </c>
      <c r="F10" s="35" t="n">
        <v>46096</v>
      </c>
      <c r="G10" t="n">
        <v>4.41</v>
      </c>
      <c r="H10" t="n">
        <v>0.05000000000000004</v>
      </c>
      <c r="I10" t="n">
        <v>9996.537600000009</v>
      </c>
      <c r="J10" t="n">
        <v>0.04800000000000004</v>
      </c>
      <c r="K10" t="n">
        <v>49586</v>
      </c>
    </row>
    <row r="11">
      <c r="A11" t="inlineStr">
        <is>
          <t>BWP.ASX</t>
        </is>
      </c>
      <c r="B11" t="inlineStr">
        <is>
          <t>BWP Trust Ordinary Units</t>
        </is>
      </c>
      <c r="C11" t="inlineStr">
        <is>
          <t>Open</t>
        </is>
      </c>
      <c r="D11" s="35" t="n">
        <v>45786</v>
      </c>
      <c r="E11" t="n">
        <v>3.64</v>
      </c>
      <c r="F11" s="35" t="n">
        <v>46096</v>
      </c>
      <c r="G11" t="n">
        <v>3.75</v>
      </c>
      <c r="H11" t="n">
        <v>0.03021978021978011</v>
      </c>
      <c r="I11" t="n">
        <v>5762.797439999978</v>
      </c>
      <c r="J11" t="n">
        <v>0.02821978021978011</v>
      </c>
      <c r="K11" t="n">
        <v>56102</v>
      </c>
    </row>
    <row r="12">
      <c r="A12" t="inlineStr">
        <is>
          <t>AMC.ASX</t>
        </is>
      </c>
      <c r="B12" t="inlineStr">
        <is>
          <t>Amcor PLC CDI 1:1 Foreign Exempt NYSE</t>
        </is>
      </c>
      <c r="C12" t="inlineStr">
        <is>
          <t>Closed</t>
        </is>
      </c>
      <c r="D12" s="35" t="n">
        <v>46069</v>
      </c>
      <c r="E12" t="n">
        <v>70.8</v>
      </c>
      <c r="F12" s="35" t="n">
        <v>46097</v>
      </c>
      <c r="G12" t="n">
        <v>57.94</v>
      </c>
      <c r="H12" t="inlineStr">
        <is>
          <t>-</t>
        </is>
      </c>
      <c r="I12" t="inlineStr">
        <is>
          <t>-</t>
        </is>
      </c>
      <c r="J12" t="inlineStr">
        <is>
          <t>-</t>
        </is>
      </c>
      <c r="K12" t="n">
        <v>2733</v>
      </c>
    </row>
    <row r="13">
      <c r="A13" t="inlineStr">
        <is>
          <t>JHX.ASX</t>
        </is>
      </c>
      <c r="B13" t="inlineStr">
        <is>
          <t>James Hardie Industries PLC CDI 1:1</t>
        </is>
      </c>
      <c r="C13" t="inlineStr">
        <is>
          <t>Closed</t>
        </is>
      </c>
      <c r="D13" s="35" t="n">
        <v>46069</v>
      </c>
      <c r="E13" t="n">
        <v>36.34</v>
      </c>
      <c r="F13" s="35" t="n">
        <v>46097</v>
      </c>
      <c r="G13" t="n">
        <v>28.15</v>
      </c>
      <c r="H13" t="inlineStr">
        <is>
          <t>-</t>
        </is>
      </c>
      <c r="I13" t="inlineStr">
        <is>
          <t>-</t>
        </is>
      </c>
      <c r="J13" t="inlineStr">
        <is>
          <t>-</t>
        </is>
      </c>
      <c r="K13" t="n">
        <v>5240</v>
      </c>
    </row>
    <row r="14">
      <c r="A14" t="inlineStr">
        <is>
          <t>SGM.ASX</t>
        </is>
      </c>
      <c r="B14" t="inlineStr">
        <is>
          <t>Sims Limited Ordinary</t>
        </is>
      </c>
      <c r="C14" t="inlineStr">
        <is>
          <t>Closed</t>
        </is>
      </c>
      <c r="D14" s="35" t="n">
        <v>46041</v>
      </c>
      <c r="E14" t="n">
        <v>20.15</v>
      </c>
      <c r="F14" s="35" t="n">
        <v>46097</v>
      </c>
      <c r="G14" t="n">
        <v>18.16</v>
      </c>
      <c r="H14" t="inlineStr">
        <is>
          <t>-</t>
        </is>
      </c>
      <c r="I14" t="inlineStr">
        <is>
          <t>-</t>
        </is>
      </c>
      <c r="J14" t="inlineStr">
        <is>
          <t>-</t>
        </is>
      </c>
      <c r="K14" t="n">
        <v>10278</v>
      </c>
    </row>
    <row r="15">
      <c r="A15" t="inlineStr">
        <is>
          <t>CGF.ASX</t>
        </is>
      </c>
      <c r="B15" t="inlineStr">
        <is>
          <t>Challenger Limited Ordinary</t>
        </is>
      </c>
      <c r="C15" t="inlineStr">
        <is>
          <t>Closed</t>
        </is>
      </c>
      <c r="D15" s="35" t="n">
        <v>45786</v>
      </c>
      <c r="E15" t="n">
        <v>7.23</v>
      </c>
      <c r="F15" s="35" t="n">
        <v>46097</v>
      </c>
      <c r="G15" t="n">
        <v>7.43</v>
      </c>
      <c r="H15" t="inlineStr">
        <is>
          <t>-</t>
        </is>
      </c>
      <c r="I15" t="inlineStr">
        <is>
          <t>-</t>
        </is>
      </c>
      <c r="J15" t="inlineStr">
        <is>
          <t>-</t>
        </is>
      </c>
      <c r="K15" t="n">
        <v>27498</v>
      </c>
    </row>
    <row r="16">
      <c r="A16" t="inlineStr">
        <is>
          <t>DOW.ASX</t>
        </is>
      </c>
      <c r="B16" t="inlineStr">
        <is>
          <t>Downer EDI Limited Ordinary</t>
        </is>
      </c>
      <c r="C16" t="inlineStr">
        <is>
          <t>Closed</t>
        </is>
      </c>
      <c r="D16" s="35" t="n">
        <v>45128</v>
      </c>
      <c r="E16" t="n">
        <v>4.268218</v>
      </c>
      <c r="F16" s="35" t="n">
        <v>46097</v>
      </c>
      <c r="G16" t="n">
        <v>7.47</v>
      </c>
      <c r="H16" t="inlineStr">
        <is>
          <t>-</t>
        </is>
      </c>
      <c r="I16" t="inlineStr">
        <is>
          <t>-</t>
        </is>
      </c>
      <c r="J16" t="inlineStr">
        <is>
          <t>-</t>
        </is>
      </c>
      <c r="K16" t="n">
        <v>32842</v>
      </c>
    </row>
    <row r="17">
      <c r="A17" t="inlineStr">
        <is>
          <t>CIP.ASX</t>
        </is>
      </c>
      <c r="B17" t="inlineStr">
        <is>
          <t>Centuria Industrial Reit Ordinary Units</t>
        </is>
      </c>
      <c r="C17" t="inlineStr">
        <is>
          <t>Closed</t>
        </is>
      </c>
      <c r="D17" s="35" t="n">
        <v>45786</v>
      </c>
      <c r="E17" t="n">
        <v>3.07</v>
      </c>
      <c r="F17" s="35" t="n">
        <v>46090</v>
      </c>
      <c r="G17" t="n">
        <v>3.1</v>
      </c>
      <c r="H17" t="n">
        <v>0.009771986970684043</v>
      </c>
      <c r="I17" t="n">
        <v>1565.096700000001</v>
      </c>
      <c r="J17" t="n">
        <v>0.007771986970684043</v>
      </c>
      <c r="K17" t="n">
        <v>65595</v>
      </c>
    </row>
    <row r="18">
      <c r="A18" t="inlineStr">
        <is>
          <t>LTR.ASX</t>
        </is>
      </c>
      <c r="B18" t="inlineStr">
        <is>
          <t>Liontown Limited Ordinary</t>
        </is>
      </c>
      <c r="C18" t="inlineStr">
        <is>
          <t>Closed</t>
        </is>
      </c>
      <c r="D18" s="35" t="n">
        <v>46041</v>
      </c>
      <c r="E18" t="n">
        <v>2.09</v>
      </c>
      <c r="F18" s="35" t="n">
        <v>46062</v>
      </c>
      <c r="G18" t="n">
        <v>1.7</v>
      </c>
      <c r="H18" t="n">
        <v>-0.1866028708133971</v>
      </c>
      <c r="I18" t="n">
        <v>-37819.20591999999</v>
      </c>
      <c r="J18" t="n">
        <v>-0.1886028708133971</v>
      </c>
      <c r="K18" t="n">
        <v>95944</v>
      </c>
    </row>
    <row r="19">
      <c r="A19" t="inlineStr">
        <is>
          <t>GGP.ASX</t>
        </is>
      </c>
      <c r="B19" t="inlineStr">
        <is>
          <t>Greatland Resources Limited Ordinary</t>
        </is>
      </c>
      <c r="C19" t="inlineStr">
        <is>
          <t>Closed</t>
        </is>
      </c>
      <c r="D19" s="35" t="n">
        <v>46041</v>
      </c>
      <c r="E19" t="n">
        <v>12.7</v>
      </c>
      <c r="F19" s="35" t="n">
        <v>46062</v>
      </c>
      <c r="G19" t="n">
        <v>12.4</v>
      </c>
      <c r="H19" t="n">
        <v>-0.02362204724409445</v>
      </c>
      <c r="I19" t="n">
        <v>-5277.011799999991</v>
      </c>
      <c r="J19" t="n">
        <v>-0.02562204724409445</v>
      </c>
      <c r="K19" t="n">
        <v>16217</v>
      </c>
    </row>
    <row r="20">
      <c r="A20" t="inlineStr">
        <is>
          <t>MIN.ASX</t>
        </is>
      </c>
      <c r="B20" t="inlineStr">
        <is>
          <t>Mineral Resources Limited Ordinary</t>
        </is>
      </c>
      <c r="C20" t="inlineStr">
        <is>
          <t>Closed</t>
        </is>
      </c>
      <c r="D20" s="35" t="n">
        <v>46041</v>
      </c>
      <c r="E20" t="n">
        <v>60.1</v>
      </c>
      <c r="F20" s="35" t="n">
        <v>46062</v>
      </c>
      <c r="G20" t="n">
        <v>53.13</v>
      </c>
      <c r="H20" t="n">
        <v>-0.115973377703827</v>
      </c>
      <c r="I20" t="n">
        <v>-24461.19000000001</v>
      </c>
      <c r="J20" t="n">
        <v>-0.117973377703827</v>
      </c>
      <c r="K20" t="n">
        <v>3450</v>
      </c>
    </row>
    <row r="21">
      <c r="A21" t="inlineStr">
        <is>
          <t>WAF.ASX</t>
        </is>
      </c>
      <c r="B21" t="inlineStr">
        <is>
          <t>West African Resources Limited Ordinary</t>
        </is>
      </c>
      <c r="C21" t="inlineStr">
        <is>
          <t>Closed</t>
        </is>
      </c>
      <c r="D21" s="35" t="n">
        <v>46041</v>
      </c>
      <c r="E21" t="n">
        <v>3.4</v>
      </c>
      <c r="F21" s="35" t="n">
        <v>46062</v>
      </c>
      <c r="G21" t="n">
        <v>3.33</v>
      </c>
      <c r="H21" t="n">
        <v>-0.02058823529411757</v>
      </c>
      <c r="I21" t="n">
        <v>-4632.268799999985</v>
      </c>
      <c r="J21" t="n">
        <v>-0.02258823529411758</v>
      </c>
      <c r="K21" t="n">
        <v>60316</v>
      </c>
    </row>
    <row r="22">
      <c r="A22" t="inlineStr">
        <is>
          <t>EMR.ASX</t>
        </is>
      </c>
      <c r="B22" t="inlineStr">
        <is>
          <t>Emerald Resources NL Ordinary</t>
        </is>
      </c>
      <c r="C22" t="inlineStr">
        <is>
          <t>Closed</t>
        </is>
      </c>
      <c r="D22" s="35" t="n">
        <v>46041</v>
      </c>
      <c r="E22" t="n">
        <v>6.84</v>
      </c>
      <c r="F22" s="35" t="n">
        <v>46062</v>
      </c>
      <c r="G22" t="n">
        <v>6.58</v>
      </c>
      <c r="H22" t="n">
        <v>-0.03801169590643272</v>
      </c>
      <c r="I22" t="n">
        <v>-8253.641439999994</v>
      </c>
      <c r="J22" t="n">
        <v>-0.04001169590643272</v>
      </c>
      <c r="K22" t="n">
        <v>30158</v>
      </c>
    </row>
    <row r="23">
      <c r="A23" t="inlineStr">
        <is>
          <t>ALX.ASX</t>
        </is>
      </c>
      <c r="B23" t="inlineStr">
        <is>
          <t>Atlas Arteria FPO Stap US Prohibited Excluding QIB/QP</t>
        </is>
      </c>
      <c r="C23" t="inlineStr">
        <is>
          <t>Closed</t>
        </is>
      </c>
      <c r="D23" s="35" t="n">
        <v>45786</v>
      </c>
      <c r="E23" t="n">
        <v>5.18</v>
      </c>
      <c r="F23" s="35" t="n">
        <v>46062</v>
      </c>
      <c r="G23" t="n">
        <v>4.62</v>
      </c>
      <c r="H23" t="n">
        <v>-0.108108108108108</v>
      </c>
      <c r="I23" t="n">
        <v>-21896.12039999998</v>
      </c>
      <c r="J23" t="n">
        <v>-0.110108108108108</v>
      </c>
      <c r="K23" t="n">
        <v>38390</v>
      </c>
    </row>
    <row r="24">
      <c r="A24" t="inlineStr">
        <is>
          <t>VNT.ASX</t>
        </is>
      </c>
      <c r="B24" t="inlineStr">
        <is>
          <t>Ventia Services Group Limited Ordinary</t>
        </is>
      </c>
      <c r="C24" t="inlineStr">
        <is>
          <t>Closed</t>
        </is>
      </c>
      <c r="D24" s="35" t="n">
        <v>45786</v>
      </c>
      <c r="E24" t="n">
        <v>4.35</v>
      </c>
      <c r="F24" s="35" t="n">
        <v>46062</v>
      </c>
      <c r="G24" t="n">
        <v>5.2</v>
      </c>
      <c r="H24" t="n">
        <v>0.1954022988505748</v>
      </c>
      <c r="I24" t="n">
        <v>38474.33160000001</v>
      </c>
      <c r="J24" t="n">
        <v>0.1934022988505748</v>
      </c>
      <c r="K24" t="n">
        <v>45732</v>
      </c>
    </row>
    <row r="25">
      <c r="A25" t="inlineStr">
        <is>
          <t>EVT.ASX</t>
        </is>
      </c>
      <c r="B25" t="inlineStr">
        <is>
          <t>EVT Limited Ordinary</t>
        </is>
      </c>
      <c r="C25" t="inlineStr">
        <is>
          <t>Closed</t>
        </is>
      </c>
      <c r="D25" s="35" t="n">
        <v>45709</v>
      </c>
      <c r="E25" t="n">
        <v>12.2315</v>
      </c>
      <c r="F25" s="35" t="n">
        <v>46020</v>
      </c>
      <c r="G25" t="n">
        <v>12.9</v>
      </c>
      <c r="H25" t="n">
        <v>0.0546539672157953</v>
      </c>
      <c r="I25" t="n">
        <v>10584.748095</v>
      </c>
      <c r="J25" t="n">
        <v>0.05265396721579529</v>
      </c>
      <c r="K25" t="n">
        <v>16435</v>
      </c>
    </row>
    <row r="26">
      <c r="A26" t="inlineStr">
        <is>
          <t>SOL.ASX</t>
        </is>
      </c>
      <c r="B26" t="inlineStr">
        <is>
          <t>Washington H Soul Pattinson &amp; Company Limited Ordinary</t>
        </is>
      </c>
      <c r="C26" t="inlineStr">
        <is>
          <t>Closed</t>
        </is>
      </c>
      <c r="D26" s="35" t="n">
        <v>44876</v>
      </c>
      <c r="E26" t="n">
        <v>25.92189</v>
      </c>
      <c r="F26" s="35" t="n">
        <v>46006</v>
      </c>
      <c r="G26" t="n">
        <v>35.37</v>
      </c>
      <c r="H26" t="n">
        <v>0.3644838397200203</v>
      </c>
      <c r="I26" t="n">
        <v>51998.93726147999</v>
      </c>
      <c r="J26" t="n">
        <v>0.3624838397200203</v>
      </c>
      <c r="K26" t="n">
        <v>5534</v>
      </c>
    </row>
    <row r="27">
      <c r="A27" t="inlineStr">
        <is>
          <t>MGR.ASX</t>
        </is>
      </c>
      <c r="B27" t="inlineStr">
        <is>
          <t>Mirvac Group Ordinary/Units Stapled Securities</t>
        </is>
      </c>
      <c r="C27" t="inlineStr">
        <is>
          <t>Closed</t>
        </is>
      </c>
      <c r="D27" s="35" t="n">
        <v>45786</v>
      </c>
      <c r="E27" t="n">
        <v>2.3</v>
      </c>
      <c r="F27" s="35" t="n">
        <v>45999</v>
      </c>
      <c r="G27" t="n">
        <v>2.03</v>
      </c>
      <c r="H27" t="n">
        <v>-0.1173913043478261</v>
      </c>
      <c r="I27" t="n">
        <v>-24237.569</v>
      </c>
      <c r="J27" t="n">
        <v>-0.1193913043478261</v>
      </c>
      <c r="K27" t="n">
        <v>88265</v>
      </c>
    </row>
    <row r="28">
      <c r="A28" t="inlineStr">
        <is>
          <t>MPL.ASX</t>
        </is>
      </c>
      <c r="B28" t="inlineStr">
        <is>
          <t>Medibank Private Limited Ordinary</t>
        </is>
      </c>
      <c r="C28" t="inlineStr">
        <is>
          <t>Closed</t>
        </is>
      </c>
      <c r="D28" s="35" t="n">
        <v>45037</v>
      </c>
      <c r="E28" t="n">
        <v>3.214968</v>
      </c>
      <c r="F28" s="35" t="n">
        <v>45999</v>
      </c>
      <c r="G28" t="n">
        <v>4.49</v>
      </c>
      <c r="H28" t="n">
        <v>0.3965924388671989</v>
      </c>
      <c r="I28" t="n">
        <v>56365.25830558402</v>
      </c>
      <c r="J28" t="n">
        <v>0.3945924388671989</v>
      </c>
      <c r="K28" t="n">
        <v>44431</v>
      </c>
    </row>
    <row r="29">
      <c r="A29" t="inlineStr">
        <is>
          <t>360.ASX</t>
        </is>
      </c>
      <c r="B29" t="inlineStr">
        <is>
          <t>Life360 Inc. CDI 3:1 Foreign Exempt Xngs</t>
        </is>
      </c>
      <c r="C29" t="inlineStr">
        <is>
          <t>Closed</t>
        </is>
      </c>
      <c r="D29" s="35" t="n">
        <v>45894</v>
      </c>
      <c r="E29" t="n">
        <v>46</v>
      </c>
      <c r="F29" s="35" t="n">
        <v>45975</v>
      </c>
      <c r="G29" t="n">
        <v>36.3</v>
      </c>
      <c r="H29" t="n">
        <v>-0.2108695652173914</v>
      </c>
      <c r="I29" t="n">
        <v>-48930.62400000003</v>
      </c>
      <c r="J29" t="n">
        <v>-0.2128695652173914</v>
      </c>
      <c r="K29" t="n">
        <v>4997</v>
      </c>
    </row>
    <row r="30">
      <c r="A30" t="inlineStr">
        <is>
          <t>CBA.ASX</t>
        </is>
      </c>
      <c r="B30" t="inlineStr">
        <is>
          <t>Commonwealth Bank of Australia. Ordinary</t>
        </is>
      </c>
      <c r="C30" t="inlineStr">
        <is>
          <t>Closed</t>
        </is>
      </c>
      <c r="D30" s="35" t="n">
        <v>45786</v>
      </c>
      <c r="E30" t="n">
        <v>169.28</v>
      </c>
      <c r="F30" s="35" t="n">
        <v>45975</v>
      </c>
      <c r="G30" t="n">
        <v>156.88</v>
      </c>
      <c r="H30" t="n">
        <v>-0.07325141776937616</v>
      </c>
      <c r="I30" t="n">
        <v>-14955.06944</v>
      </c>
      <c r="J30" t="n">
        <v>-0.07525141776937616</v>
      </c>
      <c r="K30" t="n">
        <v>1174</v>
      </c>
    </row>
    <row r="31">
      <c r="A31" t="inlineStr">
        <is>
          <t>SDF.ASX</t>
        </is>
      </c>
      <c r="B31" t="inlineStr">
        <is>
          <t>Steadfast Group Limited Ordinary</t>
        </is>
      </c>
      <c r="C31" t="inlineStr">
        <is>
          <t>Closed</t>
        </is>
      </c>
      <c r="D31" s="35" t="n">
        <v>44785</v>
      </c>
      <c r="E31" t="n">
        <v>4.98117</v>
      </c>
      <c r="F31" s="35" t="n">
        <v>45971</v>
      </c>
      <c r="G31" t="n">
        <v>5.31</v>
      </c>
      <c r="H31" t="n">
        <v>0.06601461102512052</v>
      </c>
      <c r="I31" t="n">
        <v>9561.565652759986</v>
      </c>
      <c r="J31" t="n">
        <v>0.06401461102512052</v>
      </c>
      <c r="K31" t="n">
        <v>29986</v>
      </c>
    </row>
    <row r="32">
      <c r="A32" t="inlineStr">
        <is>
          <t>IPX.ASX</t>
        </is>
      </c>
      <c r="B32" t="inlineStr">
        <is>
          <t>Iperionx Limited Ordinary</t>
        </is>
      </c>
      <c r="C32" t="inlineStr">
        <is>
          <t>Closed</t>
        </is>
      </c>
      <c r="D32" s="35" t="n">
        <v>45929</v>
      </c>
      <c r="E32" t="n">
        <v>7.63</v>
      </c>
      <c r="F32" s="35" t="n">
        <v>45971</v>
      </c>
      <c r="G32" t="n">
        <v>5.69</v>
      </c>
      <c r="H32" t="n">
        <v>-0.254259501965924</v>
      </c>
      <c r="I32" t="n">
        <v>-55468.77093999999</v>
      </c>
      <c r="J32" t="n">
        <v>-0.256259501965924</v>
      </c>
      <c r="K32" t="n">
        <v>28369</v>
      </c>
    </row>
    <row r="33">
      <c r="A33" t="inlineStr">
        <is>
          <t>ZIP.ASX</t>
        </is>
      </c>
      <c r="B33" t="inlineStr">
        <is>
          <t>Zip Co Limited. Ordinary</t>
        </is>
      </c>
      <c r="C33" t="inlineStr">
        <is>
          <t>Closed</t>
        </is>
      </c>
      <c r="D33" s="35" t="n">
        <v>45880</v>
      </c>
      <c r="E33" t="n">
        <v>3.28</v>
      </c>
      <c r="F33" s="35" t="n">
        <v>45971</v>
      </c>
      <c r="G33" t="n">
        <v>3.41</v>
      </c>
      <c r="H33" t="n">
        <v>0.03963414634146356</v>
      </c>
      <c r="I33" t="n">
        <v>8059.64448000003</v>
      </c>
      <c r="J33" t="n">
        <v>0.03763414634146356</v>
      </c>
      <c r="K33" t="n">
        <v>65292</v>
      </c>
    </row>
    <row r="34">
      <c r="A34" t="inlineStr">
        <is>
          <t>WOW.ASX</t>
        </is>
      </c>
      <c r="B34" t="inlineStr">
        <is>
          <t>Woolworths Group Limited Ordinary</t>
        </is>
      </c>
      <c r="C34" t="inlineStr">
        <is>
          <t>Closed</t>
        </is>
      </c>
      <c r="D34" s="35" t="n">
        <v>45786</v>
      </c>
      <c r="E34" t="n">
        <v>32.71</v>
      </c>
      <c r="F34" s="35" t="n">
        <v>45929</v>
      </c>
      <c r="G34" t="n">
        <v>26.85</v>
      </c>
      <c r="H34" t="n">
        <v>-0.1791501070009172</v>
      </c>
      <c r="I34" t="n">
        <v>-36002.85192</v>
      </c>
      <c r="J34" t="n">
        <v>-0.1811501070009172</v>
      </c>
      <c r="K34" t="n">
        <v>6076</v>
      </c>
    </row>
    <row r="35">
      <c r="A35" t="inlineStr">
        <is>
          <t>ING.ASX</t>
        </is>
      </c>
      <c r="B35" t="inlineStr">
        <is>
          <t>Inghams Group Limited Ordinary</t>
        </is>
      </c>
      <c r="C35" t="inlineStr">
        <is>
          <t>Closed</t>
        </is>
      </c>
      <c r="D35" s="35" t="n">
        <v>45786</v>
      </c>
      <c r="E35" t="n">
        <v>3.5</v>
      </c>
      <c r="F35" s="35" t="n">
        <v>45884</v>
      </c>
      <c r="G35" t="n">
        <v>2.86</v>
      </c>
      <c r="H35" t="n">
        <v>-0.1828571428571429</v>
      </c>
      <c r="I35" t="n">
        <v>-36765.77500000002</v>
      </c>
      <c r="J35" t="n">
        <v>-0.1848571428571429</v>
      </c>
      <c r="K35" t="n">
        <v>56825</v>
      </c>
    </row>
    <row r="36">
      <c r="A36" t="inlineStr">
        <is>
          <t>BOE.ASX</t>
        </is>
      </c>
      <c r="B36" t="inlineStr">
        <is>
          <t>Boss Energy Ltd Ordinary</t>
        </is>
      </c>
      <c r="C36" t="inlineStr">
        <is>
          <t>Closed</t>
        </is>
      </c>
      <c r="D36" s="35" t="n">
        <v>45786</v>
      </c>
      <c r="E36" t="n">
        <v>3.57</v>
      </c>
      <c r="F36" s="35" t="n">
        <v>45873</v>
      </c>
      <c r="G36" t="n">
        <v>1.685</v>
      </c>
      <c r="H36" t="n">
        <v>-0.5280112044817926</v>
      </c>
      <c r="I36" t="n">
        <v>-105215.37381</v>
      </c>
      <c r="J36" t="n">
        <v>-0.5300112044817926</v>
      </c>
      <c r="K36" t="n">
        <v>55662</v>
      </c>
    </row>
    <row r="37">
      <c r="A37" t="inlineStr">
        <is>
          <t>DEG-202504.ASX</t>
        </is>
      </c>
      <c r="B37" t="inlineStr">
        <is>
          <t>De Grey Mining Limited Ordinary</t>
        </is>
      </c>
      <c r="C37" t="inlineStr">
        <is>
          <t>Closed</t>
        </is>
      </c>
      <c r="D37" s="35" t="n">
        <v>45681</v>
      </c>
      <c r="E37" t="n">
        <v>2.03</v>
      </c>
      <c r="F37" s="35" t="n">
        <v>45770</v>
      </c>
      <c r="G37" t="n">
        <v>2.68</v>
      </c>
      <c r="H37" t="n">
        <v>0.3202</v>
      </c>
      <c r="I37" t="n">
        <v>61491.62</v>
      </c>
      <c r="J37" t="n">
        <v>0.3179</v>
      </c>
      <c r="K37" t="n">
        <v>95293</v>
      </c>
    </row>
    <row r="38">
      <c r="A38" t="inlineStr">
        <is>
          <t>BPT.ASX</t>
        </is>
      </c>
      <c r="B38" t="inlineStr">
        <is>
          <t>Beach Energy Limited Ordinary</t>
        </is>
      </c>
      <c r="C38" t="inlineStr">
        <is>
          <t>Closed</t>
        </is>
      </c>
      <c r="D38" s="35" t="n">
        <v>45674</v>
      </c>
      <c r="E38" t="n">
        <v>1.404468</v>
      </c>
      <c r="F38" s="35" t="n">
        <v>45758</v>
      </c>
      <c r="G38" t="n">
        <v>1.165</v>
      </c>
      <c r="H38" t="n">
        <v>-0.1705</v>
      </c>
      <c r="I38" t="n">
        <v>-33021.9</v>
      </c>
      <c r="J38" t="n">
        <v>-0.1723</v>
      </c>
      <c r="K38" t="n">
        <v>136433</v>
      </c>
    </row>
    <row r="39">
      <c r="A39" t="inlineStr">
        <is>
          <t>SGH.ASX</t>
        </is>
      </c>
      <c r="B39" t="inlineStr">
        <is>
          <t>SGH Limited Ordinary</t>
        </is>
      </c>
      <c r="C39" t="inlineStr">
        <is>
          <t>Closed</t>
        </is>
      </c>
      <c r="D39" s="35" t="n">
        <v>45268</v>
      </c>
      <c r="E39" t="n">
        <v>32.16671</v>
      </c>
      <c r="F39" s="35" t="n">
        <v>45758</v>
      </c>
      <c r="G39" t="n">
        <v>41.93</v>
      </c>
      <c r="H39" t="n">
        <v>0.3035</v>
      </c>
      <c r="I39" t="n">
        <v>42428.98</v>
      </c>
      <c r="J39" t="n">
        <v>0.3012</v>
      </c>
      <c r="K39" t="n">
        <v>4379</v>
      </c>
    </row>
    <row r="40">
      <c r="A40" t="inlineStr">
        <is>
          <t>CPU.ASX</t>
        </is>
      </c>
      <c r="B40" t="inlineStr">
        <is>
          <t>Computershare Limited Ordinary</t>
        </is>
      </c>
      <c r="C40" t="inlineStr">
        <is>
          <t>Closed</t>
        </is>
      </c>
      <c r="D40" s="35" t="n">
        <v>45177</v>
      </c>
      <c r="E40" t="n">
        <v>24.51428</v>
      </c>
      <c r="F40" s="35" t="n">
        <v>45737</v>
      </c>
      <c r="G40" t="n">
        <v>37.3</v>
      </c>
      <c r="H40" t="n">
        <v>0.5216</v>
      </c>
      <c r="I40" t="n">
        <v>74320.33</v>
      </c>
      <c r="J40" t="n">
        <v>0.519</v>
      </c>
      <c r="K40" t="n">
        <v>5841</v>
      </c>
    </row>
    <row r="41">
      <c r="A41" t="inlineStr">
        <is>
          <t>SUN.ASX</t>
        </is>
      </c>
      <c r="B41" t="inlineStr">
        <is>
          <t>Suncorp Group Limited Ordinary</t>
        </is>
      </c>
      <c r="C41" t="inlineStr">
        <is>
          <t>Closed</t>
        </is>
      </c>
      <c r="D41" s="35" t="n">
        <v>44876</v>
      </c>
      <c r="E41" t="n">
        <v>10.24905</v>
      </c>
      <c r="F41" s="35" t="n">
        <v>45730</v>
      </c>
      <c r="G41" t="n">
        <v>18.83</v>
      </c>
      <c r="H41" t="n">
        <v>0.8372000000000001</v>
      </c>
      <c r="I41" t="n">
        <v>119691.99</v>
      </c>
      <c r="J41" t="n">
        <v>0.8344</v>
      </c>
      <c r="K41" t="n">
        <v>13996</v>
      </c>
    </row>
    <row r="42">
      <c r="A42" t="inlineStr">
        <is>
          <t>PME.ASX</t>
        </is>
      </c>
      <c r="B42" t="inlineStr">
        <is>
          <t>Pro Medicus Limited Ordinary</t>
        </is>
      </c>
      <c r="C42" t="inlineStr">
        <is>
          <t>Closed</t>
        </is>
      </c>
      <c r="D42" s="35" t="n">
        <v>45527</v>
      </c>
      <c r="E42" t="n">
        <v>149.6061</v>
      </c>
      <c r="F42" s="35" t="n">
        <v>45723</v>
      </c>
      <c r="G42" t="n">
        <v>261.91</v>
      </c>
      <c r="H42" t="n">
        <v>0.7507</v>
      </c>
      <c r="I42" t="n">
        <v>126438.39</v>
      </c>
      <c r="J42" t="n">
        <v>0.7479</v>
      </c>
      <c r="K42" t="n">
        <v>1130</v>
      </c>
    </row>
    <row r="43">
      <c r="A43" t="inlineStr">
        <is>
          <t>PNI.ASX</t>
        </is>
      </c>
      <c r="B43" t="inlineStr">
        <is>
          <t>Pinnacle Investment Management Group Limited Ordinary</t>
        </is>
      </c>
      <c r="C43" t="inlineStr">
        <is>
          <t>Closed</t>
        </is>
      </c>
      <c r="D43" s="35" t="n">
        <v>45429</v>
      </c>
      <c r="E43" t="n">
        <v>12.11786</v>
      </c>
      <c r="F43" s="35" t="n">
        <v>45723</v>
      </c>
      <c r="G43" t="n">
        <v>22.49093</v>
      </c>
      <c r="H43" t="n">
        <v>0.856</v>
      </c>
      <c r="I43" t="n">
        <v>132425.35</v>
      </c>
      <c r="J43" t="n">
        <v>0.8532</v>
      </c>
      <c r="K43" t="n">
        <v>12809</v>
      </c>
    </row>
    <row r="44">
      <c r="A44" t="inlineStr">
        <is>
          <t>HLS.ASX</t>
        </is>
      </c>
      <c r="B44" t="inlineStr">
        <is>
          <t>Healius Limited Ordinary</t>
        </is>
      </c>
      <c r="C44" t="inlineStr">
        <is>
          <t>Closed</t>
        </is>
      </c>
      <c r="D44" s="35" t="n">
        <v>45471</v>
      </c>
      <c r="E44" t="n">
        <v>1.123341</v>
      </c>
      <c r="F44" s="35" t="n">
        <v>45716</v>
      </c>
      <c r="G44" t="n">
        <v>0.9294091</v>
      </c>
      <c r="H44" t="n">
        <v>-0.1726</v>
      </c>
      <c r="I44" t="n">
        <v>-28245.11</v>
      </c>
      <c r="J44" t="n">
        <v>-0.1745</v>
      </c>
      <c r="K44" t="n">
        <v>144119</v>
      </c>
    </row>
    <row r="45">
      <c r="A45" t="inlineStr">
        <is>
          <t>AGL.ASX</t>
        </is>
      </c>
      <c r="B45" t="inlineStr">
        <is>
          <t>AGL Energy Limited Ordinary</t>
        </is>
      </c>
      <c r="C45" t="inlineStr">
        <is>
          <t>Closed</t>
        </is>
      </c>
      <c r="D45" s="35" t="n">
        <v>45429</v>
      </c>
      <c r="E45" t="n">
        <v>9.780805000000001</v>
      </c>
      <c r="F45" s="35" t="n">
        <v>45716</v>
      </c>
      <c r="G45" t="n">
        <v>10.35343</v>
      </c>
      <c r="H45" t="n">
        <v>0.0585</v>
      </c>
      <c r="I45" t="n">
        <v>8767</v>
      </c>
      <c r="J45" t="n">
        <v>0.0565</v>
      </c>
      <c r="K45" t="n">
        <v>15868</v>
      </c>
    </row>
    <row r="46">
      <c r="A46" t="inlineStr">
        <is>
          <t>SUL.ASX</t>
        </is>
      </c>
      <c r="B46" t="inlineStr">
        <is>
          <t>Super Retail Group Limited Ordinary</t>
        </is>
      </c>
      <c r="C46" t="inlineStr">
        <is>
          <t>Closed</t>
        </is>
      </c>
      <c r="D46" s="35" t="n">
        <v>45268</v>
      </c>
      <c r="E46" t="n">
        <v>12.95567</v>
      </c>
      <c r="F46" s="35" t="n">
        <v>45716</v>
      </c>
      <c r="G46" t="n">
        <v>13.58675</v>
      </c>
      <c r="H46" t="n">
        <v>0.0487</v>
      </c>
      <c r="I46" t="n">
        <v>6573.14</v>
      </c>
      <c r="J46" t="n">
        <v>0.0467</v>
      </c>
      <c r="K46" t="n">
        <v>10873</v>
      </c>
    </row>
    <row r="47">
      <c r="A47" t="inlineStr">
        <is>
          <t>AUB.ASX</t>
        </is>
      </c>
      <c r="B47" t="inlineStr">
        <is>
          <t>AUB Group Limited Ordinary</t>
        </is>
      </c>
      <c r="C47" t="inlineStr">
        <is>
          <t>Closed</t>
        </is>
      </c>
      <c r="D47" s="35" t="n">
        <v>45527</v>
      </c>
      <c r="E47" t="n">
        <v>33.57828</v>
      </c>
      <c r="F47" s="35" t="n">
        <v>45709</v>
      </c>
      <c r="G47" t="n">
        <v>28.76415</v>
      </c>
      <c r="H47" t="n">
        <v>-0.1434</v>
      </c>
      <c r="I47" t="n">
        <v>-24557.92</v>
      </c>
      <c r="J47" t="n">
        <v>-0.1452</v>
      </c>
      <c r="K47" t="n">
        <v>5036</v>
      </c>
    </row>
    <row r="48">
      <c r="A48" t="inlineStr">
        <is>
          <t>ZIP.ASX</t>
        </is>
      </c>
      <c r="B48" t="inlineStr">
        <is>
          <t>Zip Co Limited. Ordinary</t>
        </is>
      </c>
      <c r="C48" t="inlineStr">
        <is>
          <t>Closed</t>
        </is>
      </c>
      <c r="D48" s="35" t="n">
        <v>45527</v>
      </c>
      <c r="E48" t="n">
        <v>2.2</v>
      </c>
      <c r="F48" s="35" t="n">
        <v>45653</v>
      </c>
      <c r="G48" t="n">
        <v>2.89</v>
      </c>
      <c r="H48" t="n">
        <v>0.3136</v>
      </c>
      <c r="I48" t="n">
        <v>52661.36</v>
      </c>
      <c r="J48" t="n">
        <v>0.3113</v>
      </c>
      <c r="K48" t="n">
        <v>76888</v>
      </c>
    </row>
    <row r="49">
      <c r="A49" t="inlineStr">
        <is>
          <t>360.ASX</t>
        </is>
      </c>
      <c r="B49" t="inlineStr">
        <is>
          <t>Life360 Inc. CDI 3:1 Foreign Exempt Xngs</t>
        </is>
      </c>
      <c r="C49" t="inlineStr">
        <is>
          <t>Closed</t>
        </is>
      </c>
      <c r="D49" s="35" t="n">
        <v>45429</v>
      </c>
      <c r="E49" t="n">
        <v>15.35</v>
      </c>
      <c r="F49" s="35" t="n">
        <v>45653</v>
      </c>
      <c r="G49" t="n">
        <v>22.17</v>
      </c>
      <c r="H49" t="n">
        <v>0.4443</v>
      </c>
      <c r="I49" t="n">
        <v>68598</v>
      </c>
      <c r="J49" t="n">
        <v>0.4419</v>
      </c>
      <c r="K49" t="n">
        <v>10114</v>
      </c>
    </row>
    <row r="50">
      <c r="A50" t="inlineStr">
        <is>
          <t>AZJ.ASX</t>
        </is>
      </c>
      <c r="B50" t="inlineStr">
        <is>
          <t>Aurizon Holdings Limited Ordinary</t>
        </is>
      </c>
      <c r="C50" t="inlineStr">
        <is>
          <t>Closed</t>
        </is>
      </c>
      <c r="D50" s="35" t="n">
        <v>44659</v>
      </c>
      <c r="E50" t="n">
        <v>3.186753</v>
      </c>
      <c r="F50" s="35" t="n">
        <v>45527</v>
      </c>
      <c r="G50" t="n">
        <v>3.250987</v>
      </c>
      <c r="H50" t="n">
        <v>0.0202</v>
      </c>
      <c r="I50" t="n">
        <v>2972.46</v>
      </c>
      <c r="J50" t="n">
        <v>0.0181</v>
      </c>
      <c r="K50" t="n">
        <v>51429</v>
      </c>
    </row>
    <row r="51">
      <c r="A51" t="inlineStr">
        <is>
          <t>PME.ASX</t>
        </is>
      </c>
      <c r="B51" t="inlineStr">
        <is>
          <t>Pro Medicus Limited Ordinary</t>
        </is>
      </c>
      <c r="C51" t="inlineStr">
        <is>
          <t>Closed</t>
        </is>
      </c>
      <c r="D51" s="35" t="n">
        <v>44785</v>
      </c>
      <c r="E51" t="n">
        <v>52.91396</v>
      </c>
      <c r="F51" s="35" t="n">
        <v>45520</v>
      </c>
      <c r="G51" t="n">
        <v>129.1145</v>
      </c>
      <c r="H51" t="n">
        <v>1.4401</v>
      </c>
      <c r="I51" t="n">
        <v>214372.2</v>
      </c>
      <c r="J51" t="n">
        <v>1.4366</v>
      </c>
      <c r="K51" t="n">
        <v>2820</v>
      </c>
    </row>
    <row r="52">
      <c r="A52" t="inlineStr">
        <is>
          <t>PDN.ASX</t>
        </is>
      </c>
      <c r="B52" t="inlineStr">
        <is>
          <t>Paladin Energy Ltd Ordinary</t>
        </is>
      </c>
      <c r="C52" t="inlineStr">
        <is>
          <t>Closed</t>
        </is>
      </c>
      <c r="D52" s="35" t="n">
        <v>45429</v>
      </c>
      <c r="E52" t="n">
        <v>16.25</v>
      </c>
      <c r="F52" s="35" t="n">
        <v>45450</v>
      </c>
      <c r="G52" t="n">
        <v>16.07</v>
      </c>
      <c r="H52" t="n">
        <v>-0.0111</v>
      </c>
      <c r="I52" t="n">
        <v>-2028.29</v>
      </c>
      <c r="J52" t="n">
        <v>-0.0131</v>
      </c>
      <c r="K52" t="n">
        <v>9553</v>
      </c>
    </row>
    <row r="53">
      <c r="A53" t="inlineStr">
        <is>
          <t>SPK.ASX</t>
        </is>
      </c>
      <c r="B53" t="inlineStr">
        <is>
          <t>Spark New Zealand Limited Ordinary Foreign Exempt NZX</t>
        </is>
      </c>
      <c r="C53" t="inlineStr">
        <is>
          <t>Closed</t>
        </is>
      </c>
      <c r="D53" s="35" t="n">
        <v>44211</v>
      </c>
      <c r="E53" t="n">
        <v>3.444477</v>
      </c>
      <c r="F53" s="35" t="n">
        <v>45429</v>
      </c>
      <c r="G53" t="n">
        <v>3.618726</v>
      </c>
      <c r="H53" t="n">
        <v>0.0506</v>
      </c>
      <c r="I53" t="n">
        <v>6743.94</v>
      </c>
      <c r="J53" t="n">
        <v>0.0485</v>
      </c>
      <c r="K53" t="n">
        <v>40338</v>
      </c>
    </row>
    <row r="54">
      <c r="A54" t="inlineStr">
        <is>
          <t>GMD.ASX</t>
        </is>
      </c>
      <c r="B54" t="inlineStr">
        <is>
          <t>Genesis Minerals Limited Ordinary</t>
        </is>
      </c>
      <c r="C54" t="inlineStr">
        <is>
          <t>Closed</t>
        </is>
      </c>
      <c r="D54" s="35" t="n">
        <v>45268</v>
      </c>
      <c r="E54" t="n">
        <v>1.83</v>
      </c>
      <c r="F54" s="35" t="n">
        <v>45415</v>
      </c>
      <c r="G54" t="n">
        <v>1.765</v>
      </c>
      <c r="H54" t="n">
        <v>-0.0355</v>
      </c>
      <c r="I54" t="n">
        <v>-5279.21</v>
      </c>
      <c r="J54" t="n">
        <v>-0.0375</v>
      </c>
      <c r="K54" t="n">
        <v>76962</v>
      </c>
    </row>
    <row r="55">
      <c r="A55" t="inlineStr">
        <is>
          <t>NEU.ASX</t>
        </is>
      </c>
      <c r="B55" t="inlineStr">
        <is>
          <t>Neuren Pharmaceuticals Limited Ordinary</t>
        </is>
      </c>
      <c r="C55" t="inlineStr">
        <is>
          <t>Closed</t>
        </is>
      </c>
      <c r="D55" s="35" t="n">
        <v>45268</v>
      </c>
      <c r="E55" t="n">
        <v>16.3</v>
      </c>
      <c r="F55" s="35" t="n">
        <v>45408</v>
      </c>
      <c r="G55" t="n">
        <v>19.29</v>
      </c>
      <c r="H55" t="n">
        <v>0.1834</v>
      </c>
      <c r="I55" t="n">
        <v>25523.15</v>
      </c>
      <c r="J55" t="n">
        <v>0.1813</v>
      </c>
      <c r="K55" t="n">
        <v>8639</v>
      </c>
    </row>
    <row r="56">
      <c r="A56" t="inlineStr">
        <is>
          <t>RWC.ASX</t>
        </is>
      </c>
      <c r="B56" t="inlineStr">
        <is>
          <t>Reliance Worldwide Corporation Limited Ordinary</t>
        </is>
      </c>
      <c r="C56" t="inlineStr">
        <is>
          <t>Closed</t>
        </is>
      </c>
      <c r="D56" s="35" t="n">
        <v>45037</v>
      </c>
      <c r="E56" t="n">
        <v>3.839792</v>
      </c>
      <c r="F56" s="35" t="n">
        <v>45408</v>
      </c>
      <c r="G56" t="n">
        <v>5.082048</v>
      </c>
      <c r="H56" t="n">
        <v>0.3235</v>
      </c>
      <c r="I56" t="n">
        <v>45887.43</v>
      </c>
      <c r="J56" t="n">
        <v>0.3212</v>
      </c>
      <c r="K56" t="n">
        <v>37206</v>
      </c>
    </row>
    <row r="57">
      <c r="A57" t="inlineStr">
        <is>
          <t>MP1.ASX</t>
        </is>
      </c>
      <c r="B57" t="inlineStr">
        <is>
          <t>Megaport Limited Ordinary</t>
        </is>
      </c>
      <c r="C57" t="inlineStr">
        <is>
          <t>Closed</t>
        </is>
      </c>
      <c r="D57" s="35" t="n">
        <v>45128</v>
      </c>
      <c r="E57" t="n">
        <v>9.56</v>
      </c>
      <c r="F57" s="35" t="n">
        <v>45233</v>
      </c>
      <c r="G57" t="n">
        <v>9.35</v>
      </c>
      <c r="H57" t="n">
        <v>-0.022</v>
      </c>
      <c r="I57" t="n">
        <v>-3356.74</v>
      </c>
      <c r="J57" t="n">
        <v>-0.0239</v>
      </c>
      <c r="K57" t="n">
        <v>14664</v>
      </c>
    </row>
    <row r="58">
      <c r="A58" t="inlineStr">
        <is>
          <t>REA.ASX</t>
        </is>
      </c>
      <c r="B58" t="inlineStr">
        <is>
          <t>REA Group Ltd Ordinary</t>
        </is>
      </c>
      <c r="C58" t="inlineStr">
        <is>
          <t>Closed</t>
        </is>
      </c>
      <c r="D58" s="35" t="n">
        <v>45037</v>
      </c>
      <c r="E58" t="n">
        <v>142.0361</v>
      </c>
      <c r="F58" s="35" t="n">
        <v>45233</v>
      </c>
      <c r="G58" t="n">
        <v>139.3167</v>
      </c>
      <c r="H58" t="n">
        <v>-0.0191</v>
      </c>
      <c r="I58" t="n">
        <v>-3015.76</v>
      </c>
      <c r="J58" t="n">
        <v>-0.0211</v>
      </c>
      <c r="K58" t="n">
        <v>1005</v>
      </c>
    </row>
    <row r="59">
      <c r="A59" t="inlineStr">
        <is>
          <t>BXB.ASX</t>
        </is>
      </c>
      <c r="B59" t="inlineStr">
        <is>
          <t>Brambles Limited Ordinary</t>
        </is>
      </c>
      <c r="C59" t="inlineStr">
        <is>
          <t>Closed</t>
        </is>
      </c>
      <c r="D59" s="35" t="n">
        <v>44799</v>
      </c>
      <c r="E59" t="n">
        <v>11.85766</v>
      </c>
      <c r="F59" s="35" t="n">
        <v>45233</v>
      </c>
      <c r="G59" t="n">
        <v>12.39839</v>
      </c>
      <c r="H59" t="n">
        <v>0.0456</v>
      </c>
      <c r="I59" t="n">
        <v>6416.16</v>
      </c>
      <c r="J59" t="n">
        <v>0.0436</v>
      </c>
      <c r="K59" t="n">
        <v>12423</v>
      </c>
    </row>
    <row r="60">
      <c r="A60" t="inlineStr">
        <is>
          <t>KAR.ASX</t>
        </is>
      </c>
      <c r="B60" t="inlineStr">
        <is>
          <t>Karoon Energy Ltd Ordinary</t>
        </is>
      </c>
      <c r="C60" t="inlineStr">
        <is>
          <t>Closed</t>
        </is>
      </c>
      <c r="D60" s="35" t="n">
        <v>45177</v>
      </c>
      <c r="E60" t="n">
        <v>2.390586</v>
      </c>
      <c r="F60" s="35" t="n">
        <v>45212</v>
      </c>
      <c r="G60" t="n">
        <v>2.4186</v>
      </c>
      <c r="H60" t="n">
        <v>0.0117</v>
      </c>
      <c r="I60" t="n">
        <v>1389.88</v>
      </c>
      <c r="J60" t="n">
        <v>0.0097</v>
      </c>
      <c r="K60" t="n">
        <v>59896</v>
      </c>
    </row>
    <row r="61">
      <c r="A61" t="inlineStr">
        <is>
          <t>WTC.ASX</t>
        </is>
      </c>
      <c r="B61" t="inlineStr">
        <is>
          <t>Wisetech Global Limited Ordinary</t>
        </is>
      </c>
      <c r="C61" t="inlineStr">
        <is>
          <t>Closed</t>
        </is>
      </c>
      <c r="D61" s="35" t="n">
        <v>45100</v>
      </c>
      <c r="E61" t="n">
        <v>79.89801</v>
      </c>
      <c r="F61" s="35" t="n">
        <v>45170</v>
      </c>
      <c r="G61" t="n">
        <v>71.51179999999999</v>
      </c>
      <c r="H61" t="n">
        <v>-0.105</v>
      </c>
      <c r="I61" t="n">
        <v>-15342.08</v>
      </c>
      <c r="J61" t="n">
        <v>-0.1069</v>
      </c>
      <c r="K61" t="n">
        <v>1797</v>
      </c>
    </row>
    <row r="62">
      <c r="A62" t="inlineStr">
        <is>
          <t>IGO.ASX</t>
        </is>
      </c>
      <c r="B62" t="inlineStr">
        <is>
          <t>IGO Limited Ordinary</t>
        </is>
      </c>
      <c r="C62" t="inlineStr">
        <is>
          <t>Closed</t>
        </is>
      </c>
      <c r="D62" s="35" t="n">
        <v>45128</v>
      </c>
      <c r="E62" t="n">
        <v>13.76401</v>
      </c>
      <c r="F62" s="35" t="n">
        <v>45163</v>
      </c>
      <c r="G62" t="n">
        <v>10.9844</v>
      </c>
      <c r="H62" t="n">
        <v>-0.2019</v>
      </c>
      <c r="I62" t="n">
        <v>-28556.78</v>
      </c>
      <c r="J62" t="n">
        <v>-0.2037</v>
      </c>
      <c r="K62" t="n">
        <v>10183</v>
      </c>
    </row>
    <row r="63">
      <c r="A63" t="inlineStr">
        <is>
          <t>AMP.ASX</t>
        </is>
      </c>
      <c r="B63" t="inlineStr">
        <is>
          <t>AMP Limited Ordinary</t>
        </is>
      </c>
      <c r="C63" t="inlineStr">
        <is>
          <t>Closed</t>
        </is>
      </c>
      <c r="D63" s="35" t="n">
        <v>44876</v>
      </c>
      <c r="E63" t="n">
        <v>1.170632</v>
      </c>
      <c r="F63" s="35" t="n">
        <v>45121</v>
      </c>
      <c r="G63" t="n">
        <v>0.9455732</v>
      </c>
      <c r="H63" t="n">
        <v>-0.1923</v>
      </c>
      <c r="I63" t="n">
        <v>-27844.39</v>
      </c>
      <c r="J63" t="n">
        <v>-0.1941</v>
      </c>
      <c r="K63" t="n">
        <v>122568</v>
      </c>
    </row>
    <row r="64">
      <c r="A64" t="inlineStr">
        <is>
          <t>LTR.ASX</t>
        </is>
      </c>
      <c r="B64" t="inlineStr">
        <is>
          <t>Liontown Resources Limited Ordinary</t>
        </is>
      </c>
      <c r="C64" t="inlineStr">
        <is>
          <t>Closed</t>
        </is>
      </c>
      <c r="D64" s="35" t="n">
        <v>45100</v>
      </c>
      <c r="E64" t="n">
        <v>3.13</v>
      </c>
      <c r="F64" s="35" t="n">
        <v>45107</v>
      </c>
      <c r="G64" t="n">
        <v>2.83</v>
      </c>
      <c r="H64" t="n">
        <v>-0.0958</v>
      </c>
      <c r="I64" t="n">
        <v>-14038.06</v>
      </c>
      <c r="J64" t="n">
        <v>-0.0978</v>
      </c>
      <c r="K64" t="n">
        <v>45882</v>
      </c>
    </row>
    <row r="65">
      <c r="A65" t="inlineStr">
        <is>
          <t>CTD.ASX</t>
        </is>
      </c>
      <c r="B65" t="inlineStr">
        <is>
          <t>Corporate Travel Management Limited Ordinary</t>
        </is>
      </c>
      <c r="C65" t="inlineStr">
        <is>
          <t>Closed</t>
        </is>
      </c>
      <c r="D65" s="35" t="n">
        <v>45037</v>
      </c>
      <c r="E65" t="n">
        <v>20.96614</v>
      </c>
      <c r="F65" s="35" t="n">
        <v>45107</v>
      </c>
      <c r="G65" t="n">
        <v>17.2634</v>
      </c>
      <c r="H65" t="n">
        <v>-0.1766</v>
      </c>
      <c r="I65" t="n">
        <v>-25490.97</v>
      </c>
      <c r="J65" t="n">
        <v>-0.1784</v>
      </c>
      <c r="K65" t="n">
        <v>6814</v>
      </c>
    </row>
    <row r="66">
      <c r="A66" t="inlineStr">
        <is>
          <t>LTR.ASX</t>
        </is>
      </c>
      <c r="B66" t="inlineStr">
        <is>
          <t>Liontown Resources Limited Ordinary</t>
        </is>
      </c>
      <c r="C66" t="inlineStr">
        <is>
          <t>Closed</t>
        </is>
      </c>
      <c r="D66" s="35" t="n">
        <v>45037</v>
      </c>
      <c r="E66" t="n">
        <v>2.72</v>
      </c>
      <c r="F66" s="35" t="n">
        <v>45079</v>
      </c>
      <c r="G66" t="n">
        <v>2.72</v>
      </c>
      <c r="H66" t="n">
        <v>0</v>
      </c>
      <c r="I66" t="n">
        <v>-285.62</v>
      </c>
      <c r="J66" t="n">
        <v>-0.002</v>
      </c>
      <c r="K66" t="n">
        <v>52504</v>
      </c>
    </row>
    <row r="67">
      <c r="A67" t="inlineStr">
        <is>
          <t>TWE.ASX</t>
        </is>
      </c>
      <c r="B67" t="inlineStr">
        <is>
          <t>Treasury Wine Estates Limited Ordinary</t>
        </is>
      </c>
      <c r="C67" t="inlineStr">
        <is>
          <t>Closed</t>
        </is>
      </c>
      <c r="D67" s="35" t="n">
        <v>44785</v>
      </c>
      <c r="E67" t="n">
        <v>11.05894</v>
      </c>
      <c r="F67" s="35" t="n">
        <v>45079</v>
      </c>
      <c r="G67" t="n">
        <v>11.05359</v>
      </c>
      <c r="H67" t="n">
        <v>-0.0005</v>
      </c>
      <c r="I67" t="n">
        <v>-370.83</v>
      </c>
      <c r="J67" t="n">
        <v>-0.0025</v>
      </c>
      <c r="K67" t="n">
        <v>13503</v>
      </c>
    </row>
    <row r="68">
      <c r="A68" t="inlineStr">
        <is>
          <t>AKE-202312.ASX</t>
        </is>
      </c>
      <c r="B68" t="inlineStr">
        <is>
          <t>Allkem Limited Ordinary</t>
        </is>
      </c>
      <c r="C68" t="inlineStr">
        <is>
          <t>Closed</t>
        </is>
      </c>
      <c r="D68" s="35" t="n">
        <v>44883</v>
      </c>
      <c r="E68" t="n">
        <v>16.34</v>
      </c>
      <c r="F68" s="35" t="n">
        <v>45009</v>
      </c>
      <c r="G68" t="n">
        <v>10.44</v>
      </c>
      <c r="H68" t="n">
        <v>-0.3611</v>
      </c>
      <c r="I68" t="n">
        <v>-52612.03</v>
      </c>
      <c r="J68" t="n">
        <v>-0.3627</v>
      </c>
      <c r="K68" t="n">
        <v>8877</v>
      </c>
    </row>
    <row r="69">
      <c r="A69" t="inlineStr">
        <is>
          <t>MIN.ASX</t>
        </is>
      </c>
      <c r="B69" t="inlineStr">
        <is>
          <t>Mineral Resources Limited Ordinary</t>
        </is>
      </c>
      <c r="C69" t="inlineStr">
        <is>
          <t>Closed</t>
        </is>
      </c>
      <c r="D69" s="35" t="n">
        <v>44883</v>
      </c>
      <c r="E69" t="n">
        <v>80.90588</v>
      </c>
      <c r="F69" s="35" t="n">
        <v>45009</v>
      </c>
      <c r="G69" t="n">
        <v>78.48851999999999</v>
      </c>
      <c r="H69" t="n">
        <v>-0.0299</v>
      </c>
      <c r="I69" t="n">
        <v>-4620.19</v>
      </c>
      <c r="J69" t="n">
        <v>-0.0318</v>
      </c>
      <c r="K69" t="n">
        <v>1793</v>
      </c>
    </row>
    <row r="70">
      <c r="A70" t="inlineStr">
        <is>
          <t>WDS.ASX</t>
        </is>
      </c>
      <c r="B70" t="inlineStr">
        <is>
          <t>Woodside Energy Group Ltd Ordinary</t>
        </is>
      </c>
      <c r="C70" t="inlineStr">
        <is>
          <t>Closed</t>
        </is>
      </c>
      <c r="D70" s="35" t="n">
        <v>44806</v>
      </c>
      <c r="E70" t="n">
        <v>27.90669</v>
      </c>
      <c r="F70" s="35" t="n">
        <v>45009</v>
      </c>
      <c r="G70" t="n">
        <v>27.20552</v>
      </c>
      <c r="H70" t="n">
        <v>-0.0251</v>
      </c>
      <c r="I70" t="n">
        <v>-3926.62</v>
      </c>
      <c r="J70" t="n">
        <v>-0.0271</v>
      </c>
      <c r="K70" t="n">
        <v>5192</v>
      </c>
    </row>
    <row r="71">
      <c r="A71" t="inlineStr">
        <is>
          <t>KAR.ASX</t>
        </is>
      </c>
      <c r="B71" t="inlineStr">
        <is>
          <t>Karoon Energy Ltd Ordinary</t>
        </is>
      </c>
      <c r="C71" t="inlineStr">
        <is>
          <t>Closed</t>
        </is>
      </c>
      <c r="D71" s="35" t="n">
        <v>44883</v>
      </c>
      <c r="E71" t="n">
        <v>2.166468</v>
      </c>
      <c r="F71" s="35" t="n">
        <v>45002</v>
      </c>
      <c r="G71" t="n">
        <v>1.942351</v>
      </c>
      <c r="H71" t="n">
        <v>-0.1034</v>
      </c>
      <c r="I71" t="n">
        <v>-15279.03</v>
      </c>
      <c r="J71" t="n">
        <v>-0.1053</v>
      </c>
      <c r="K71" t="n">
        <v>66947</v>
      </c>
    </row>
    <row r="72">
      <c r="A72" t="inlineStr">
        <is>
          <t>LTR.ASX</t>
        </is>
      </c>
      <c r="B72" t="inlineStr">
        <is>
          <t>Liontown Resources Limited Ordinary</t>
        </is>
      </c>
      <c r="C72" t="inlineStr">
        <is>
          <t>Closed</t>
        </is>
      </c>
      <c r="D72" s="35" t="n">
        <v>44883</v>
      </c>
      <c r="E72" t="n">
        <v>2.1</v>
      </c>
      <c r="F72" s="35" t="n">
        <v>45002</v>
      </c>
      <c r="G72" t="n">
        <v>1.52</v>
      </c>
      <c r="H72" t="n">
        <v>-0.2762</v>
      </c>
      <c r="I72" t="n">
        <v>-40318.22</v>
      </c>
      <c r="J72" t="n">
        <v>-0.2779</v>
      </c>
      <c r="K72" t="n">
        <v>69083</v>
      </c>
    </row>
    <row r="73">
      <c r="A73" t="inlineStr">
        <is>
          <t>CRN.ASX</t>
        </is>
      </c>
      <c r="B73" t="inlineStr">
        <is>
          <t>Coronado Global Resources Inc. CDI 10:1</t>
        </is>
      </c>
      <c r="C73" t="inlineStr">
        <is>
          <t>Closed</t>
        </is>
      </c>
      <c r="D73" s="35" t="n">
        <v>44876</v>
      </c>
      <c r="E73" t="n">
        <v>1.897201</v>
      </c>
      <c r="F73" s="35" t="n">
        <v>44995</v>
      </c>
      <c r="G73" t="n">
        <v>1.882422</v>
      </c>
      <c r="H73" t="n">
        <v>-0.0078</v>
      </c>
      <c r="I73" t="n">
        <v>-1403.74</v>
      </c>
      <c r="J73" t="n">
        <v>-0.0098</v>
      </c>
      <c r="K73" t="n">
        <v>75638</v>
      </c>
    </row>
    <row r="74">
      <c r="A74" t="inlineStr">
        <is>
          <t>MPL.ASX</t>
        </is>
      </c>
      <c r="B74" t="inlineStr">
        <is>
          <t>Medibank Private Limited Ordinary</t>
        </is>
      </c>
      <c r="C74" t="inlineStr">
        <is>
          <t>Closed</t>
        </is>
      </c>
      <c r="D74" s="35" t="n">
        <v>44799</v>
      </c>
      <c r="E74" t="n">
        <v>3.232004</v>
      </c>
      <c r="F74" s="35" t="n">
        <v>44869</v>
      </c>
      <c r="G74" t="n">
        <v>2.523315</v>
      </c>
      <c r="H74" t="n">
        <v>-0.2193</v>
      </c>
      <c r="I74" t="n">
        <v>-32560.09</v>
      </c>
      <c r="J74" t="n">
        <v>-0.2211</v>
      </c>
      <c r="K74" t="n">
        <v>45574</v>
      </c>
    </row>
    <row r="75">
      <c r="A75" t="inlineStr">
        <is>
          <t>NHC.ASX</t>
        </is>
      </c>
      <c r="B75" t="inlineStr">
        <is>
          <t>New Hope Corporation Limited Ordinary</t>
        </is>
      </c>
      <c r="C75" t="inlineStr">
        <is>
          <t>Closed</t>
        </is>
      </c>
      <c r="D75" s="35" t="n">
        <v>44799</v>
      </c>
      <c r="E75" t="n">
        <v>3.545772</v>
      </c>
      <c r="F75" s="35" t="n">
        <v>44869</v>
      </c>
      <c r="G75" t="n">
        <v>4.398766</v>
      </c>
      <c r="H75" t="n">
        <v>0.2406</v>
      </c>
      <c r="I75" t="n">
        <v>35113.5</v>
      </c>
      <c r="J75" t="n">
        <v>0.2383</v>
      </c>
      <c r="K75" t="n">
        <v>41552</v>
      </c>
    </row>
    <row r="76">
      <c r="A76" t="inlineStr">
        <is>
          <t>WHC.ASX</t>
        </is>
      </c>
      <c r="B76" t="inlineStr">
        <is>
          <t>Whitehaven Coal Limited Ordinary</t>
        </is>
      </c>
      <c r="C76" t="inlineStr">
        <is>
          <t>Closed</t>
        </is>
      </c>
      <c r="D76" s="35" t="n">
        <v>44792</v>
      </c>
      <c r="E76" t="n">
        <v>5.478709</v>
      </c>
      <c r="F76" s="35" t="n">
        <v>44869</v>
      </c>
      <c r="G76" t="n">
        <v>8.014309000000001</v>
      </c>
      <c r="H76" t="n">
        <v>0.4628</v>
      </c>
      <c r="I76" t="n">
        <v>68828.33</v>
      </c>
      <c r="J76" t="n">
        <v>0.4603</v>
      </c>
      <c r="K76" t="n">
        <v>27290</v>
      </c>
    </row>
    <row r="77">
      <c r="A77" t="inlineStr">
        <is>
          <t>CUV.ASX</t>
        </is>
      </c>
      <c r="B77" t="inlineStr">
        <is>
          <t>Clinuvel Pharmaceuticals Limited Ordinary</t>
        </is>
      </c>
      <c r="C77" t="inlineStr">
        <is>
          <t>Closed</t>
        </is>
      </c>
      <c r="D77" s="35" t="n">
        <v>44820</v>
      </c>
      <c r="E77" t="n">
        <v>21.2708</v>
      </c>
      <c r="F77" s="35" t="n">
        <v>44834</v>
      </c>
      <c r="G77" t="n">
        <v>17.4838</v>
      </c>
      <c r="H77" t="n">
        <v>-0.178</v>
      </c>
      <c r="I77" t="n">
        <v>-26994.52</v>
      </c>
      <c r="J77" t="n">
        <v>-0.1799</v>
      </c>
      <c r="K77" t="n">
        <v>7056</v>
      </c>
    </row>
    <row r="78">
      <c r="A78" t="inlineStr">
        <is>
          <t>CAR.ASX</t>
        </is>
      </c>
      <c r="B78" t="inlineStr">
        <is>
          <t>Car Group Limited Ordinary</t>
        </is>
      </c>
      <c r="C78" t="inlineStr">
        <is>
          <t>Closed</t>
        </is>
      </c>
      <c r="D78" s="35" t="n">
        <v>44785</v>
      </c>
      <c r="E78" t="n">
        <v>19.68436</v>
      </c>
      <c r="F78" s="35" t="n">
        <v>44834</v>
      </c>
      <c r="G78" t="n">
        <v>18.13722</v>
      </c>
      <c r="H78" t="n">
        <v>-0.0786</v>
      </c>
      <c r="I78" t="n">
        <v>-12018.76</v>
      </c>
      <c r="J78" t="n">
        <v>-0.0805</v>
      </c>
      <c r="K78" t="n">
        <v>7583</v>
      </c>
    </row>
    <row r="79">
      <c r="A79" t="inlineStr">
        <is>
          <t>PNI.ASX</t>
        </is>
      </c>
      <c r="B79" t="inlineStr">
        <is>
          <t>Pinnacle Investment Management Group Limited Ordinary</t>
        </is>
      </c>
      <c r="C79" t="inlineStr">
        <is>
          <t>Closed</t>
        </is>
      </c>
      <c r="D79" s="35" t="n">
        <v>44785</v>
      </c>
      <c r="E79" t="n">
        <v>9.891912</v>
      </c>
      <c r="F79" s="35" t="n">
        <v>44834</v>
      </c>
      <c r="G79" t="n">
        <v>7.820386</v>
      </c>
      <c r="H79" t="n">
        <v>-0.2094</v>
      </c>
      <c r="I79" t="n">
        <v>-31530.75</v>
      </c>
      <c r="J79" t="n">
        <v>-0.2112</v>
      </c>
      <c r="K79" t="n">
        <v>15092</v>
      </c>
    </row>
    <row r="80">
      <c r="A80" t="inlineStr">
        <is>
          <t>TNE.ASX</t>
        </is>
      </c>
      <c r="B80" t="inlineStr">
        <is>
          <t>Technology One Limited Ordinary</t>
        </is>
      </c>
      <c r="C80" t="inlineStr">
        <is>
          <t>Closed</t>
        </is>
      </c>
      <c r="D80" s="35" t="n">
        <v>44785</v>
      </c>
      <c r="E80" t="n">
        <v>11.84326</v>
      </c>
      <c r="F80" s="35" t="n">
        <v>44834</v>
      </c>
      <c r="G80" t="n">
        <v>10.23312</v>
      </c>
      <c r="H80" t="n">
        <v>-0.136</v>
      </c>
      <c r="I80" t="n">
        <v>-20582.25</v>
      </c>
      <c r="J80" t="n">
        <v>-0.1378</v>
      </c>
      <c r="K80" t="n">
        <v>12610</v>
      </c>
    </row>
    <row r="81">
      <c r="A81" t="inlineStr">
        <is>
          <t>WTC.ASX</t>
        </is>
      </c>
      <c r="B81" t="inlineStr">
        <is>
          <t>Wisetech Global Limited Ordinary</t>
        </is>
      </c>
      <c r="C81" t="inlineStr">
        <is>
          <t>Closed</t>
        </is>
      </c>
      <c r="D81" s="35" t="n">
        <v>44806</v>
      </c>
      <c r="E81" t="n">
        <v>56.39325</v>
      </c>
      <c r="F81" s="35" t="n">
        <v>44827</v>
      </c>
      <c r="G81" t="n">
        <v>54.84264</v>
      </c>
      <c r="H81" t="n">
        <v>-0.0275</v>
      </c>
      <c r="I81" t="n">
        <v>-4269.28</v>
      </c>
      <c r="J81" t="n">
        <v>-0.0295</v>
      </c>
      <c r="K81" t="n">
        <v>2569</v>
      </c>
    </row>
    <row r="82">
      <c r="A82" t="inlineStr">
        <is>
          <t>TLX.ASX</t>
        </is>
      </c>
      <c r="B82" t="inlineStr">
        <is>
          <t>Telix Pharmaceuticals Limited Ordinary</t>
        </is>
      </c>
      <c r="C82" t="inlineStr">
        <is>
          <t>Closed</t>
        </is>
      </c>
      <c r="D82" s="35" t="n">
        <v>44785</v>
      </c>
      <c r="E82" t="n">
        <v>7.97</v>
      </c>
      <c r="F82" s="35" t="n">
        <v>44813</v>
      </c>
      <c r="G82" t="n">
        <v>5.88</v>
      </c>
      <c r="H82" t="n">
        <v>-0.2622</v>
      </c>
      <c r="I82" t="n">
        <v>-39432.46</v>
      </c>
      <c r="J82" t="n">
        <v>-0.264</v>
      </c>
      <c r="K82" t="n">
        <v>18743</v>
      </c>
    </row>
    <row r="83">
      <c r="A83" t="inlineStr">
        <is>
          <t>TPG.ASX</t>
        </is>
      </c>
      <c r="B83" t="inlineStr">
        <is>
          <t>TPG Telecom Limited Ordinary</t>
        </is>
      </c>
      <c r="C83" t="inlineStr">
        <is>
          <t>Closed</t>
        </is>
      </c>
      <c r="D83" s="35" t="n">
        <v>44785</v>
      </c>
      <c r="E83" t="n">
        <v>5.80278</v>
      </c>
      <c r="F83" s="35" t="n">
        <v>44806</v>
      </c>
      <c r="G83" t="n">
        <v>4.701326</v>
      </c>
      <c r="H83" t="n">
        <v>-0.1898</v>
      </c>
      <c r="I83" t="n">
        <v>-28611.79</v>
      </c>
      <c r="J83" t="n">
        <v>-0.1916</v>
      </c>
      <c r="K83" t="n">
        <v>25731</v>
      </c>
    </row>
    <row r="84">
      <c r="A84" t="inlineStr">
        <is>
          <t>UWL-202207.ASX</t>
        </is>
      </c>
      <c r="B84" t="inlineStr">
        <is>
          <t>Uniti Group Limited Ordinary</t>
        </is>
      </c>
      <c r="C84" t="inlineStr">
        <is>
          <t>Closed</t>
        </is>
      </c>
      <c r="D84" s="35" t="n">
        <v>44652</v>
      </c>
      <c r="E84" t="n">
        <v>4.75</v>
      </c>
      <c r="F84" s="35" t="n">
        <v>44763</v>
      </c>
      <c r="G84" t="n">
        <v>4.99</v>
      </c>
      <c r="H84" t="n">
        <v>0.0505</v>
      </c>
      <c r="I84" t="n">
        <v>7874.43</v>
      </c>
      <c r="J84" t="n">
        <v>0.0485</v>
      </c>
      <c r="K84" t="n">
        <v>34198</v>
      </c>
    </row>
    <row r="85">
      <c r="A85" t="inlineStr">
        <is>
          <t>WHC.ASX</t>
        </is>
      </c>
      <c r="B85" t="inlineStr">
        <is>
          <t>Whitehaven Coal Limited Ordinary</t>
        </is>
      </c>
      <c r="C85" t="inlineStr">
        <is>
          <t>Closed</t>
        </is>
      </c>
      <c r="D85" s="35" t="n">
        <v>44652</v>
      </c>
      <c r="E85" t="n">
        <v>3.663327</v>
      </c>
      <c r="F85" s="35" t="n">
        <v>44743</v>
      </c>
      <c r="G85" t="n">
        <v>3.793579</v>
      </c>
      <c r="H85" t="n">
        <v>0.0356</v>
      </c>
      <c r="I85" t="n">
        <v>5449.16</v>
      </c>
      <c r="J85" t="n">
        <v>0.0335</v>
      </c>
      <c r="K85" t="n">
        <v>44376</v>
      </c>
    </row>
    <row r="86">
      <c r="A86" t="inlineStr">
        <is>
          <t>AMP.ASX</t>
        </is>
      </c>
      <c r="B86" t="inlineStr">
        <is>
          <t>AMP Limited Ordinary</t>
        </is>
      </c>
      <c r="C86" t="inlineStr">
        <is>
          <t>Closed</t>
        </is>
      </c>
      <c r="D86" s="35" t="n">
        <v>44687</v>
      </c>
      <c r="E86" t="n">
        <v>1.042092</v>
      </c>
      <c r="F86" s="35" t="n">
        <v>44736</v>
      </c>
      <c r="G86" t="n">
        <v>0.8997797</v>
      </c>
      <c r="H86" t="n">
        <v>-0.1366</v>
      </c>
      <c r="I86" t="n">
        <v>-22139.26</v>
      </c>
      <c r="J86" t="n">
        <v>-0.1384</v>
      </c>
      <c r="K86" t="n">
        <v>153474</v>
      </c>
    </row>
    <row r="87">
      <c r="A87" t="inlineStr">
        <is>
          <t>JBH.ASX</t>
        </is>
      </c>
      <c r="B87" t="inlineStr">
        <is>
          <t>JB HI-FI Limited Ordinary</t>
        </is>
      </c>
      <c r="C87" t="inlineStr">
        <is>
          <t>Closed</t>
        </is>
      </c>
      <c r="D87" s="35" t="n">
        <v>44652</v>
      </c>
      <c r="E87" t="n">
        <v>45.20444</v>
      </c>
      <c r="F87" s="35" t="n">
        <v>44729</v>
      </c>
      <c r="G87" t="n">
        <v>32.82925</v>
      </c>
      <c r="H87" t="n">
        <v>-0.2738</v>
      </c>
      <c r="I87" t="n">
        <v>-44744.43</v>
      </c>
      <c r="J87" t="n">
        <v>-0.2755</v>
      </c>
      <c r="K87" t="n">
        <v>3593</v>
      </c>
    </row>
    <row r="88">
      <c r="A88" t="inlineStr">
        <is>
          <t>CWN-202206.ASX</t>
        </is>
      </c>
      <c r="B88" t="inlineStr">
        <is>
          <t>Crown Resorts Limited Ordinary</t>
        </is>
      </c>
      <c r="C88" t="inlineStr">
        <is>
          <t>Closed</t>
        </is>
      </c>
      <c r="D88" s="35" t="n">
        <v>44561</v>
      </c>
      <c r="E88" t="n">
        <v>11.86</v>
      </c>
      <c r="F88" s="35" t="n">
        <v>44727</v>
      </c>
      <c r="G88" t="n">
        <v>13.05</v>
      </c>
      <c r="H88" t="n">
        <v>0.1003</v>
      </c>
      <c r="I88" t="n">
        <v>16363.69</v>
      </c>
      <c r="J88" t="n">
        <v>0.0982</v>
      </c>
      <c r="K88" t="n">
        <v>14045</v>
      </c>
    </row>
    <row r="89">
      <c r="A89" t="inlineStr">
        <is>
          <t>ORG.ASX</t>
        </is>
      </c>
      <c r="B89" t="inlineStr">
        <is>
          <t>Origin Energy Limited Ordinary</t>
        </is>
      </c>
      <c r="C89" t="inlineStr">
        <is>
          <t>Closed</t>
        </is>
      </c>
      <c r="D89" s="35" t="n">
        <v>44652</v>
      </c>
      <c r="E89" t="n">
        <v>5.468838</v>
      </c>
      <c r="F89" s="35" t="n">
        <v>44722</v>
      </c>
      <c r="G89" t="n">
        <v>5.204355</v>
      </c>
      <c r="H89" t="n">
        <v>-0.0484</v>
      </c>
      <c r="I89" t="n">
        <v>-8175.99</v>
      </c>
      <c r="J89" t="n">
        <v>-0.0503</v>
      </c>
      <c r="K89" t="n">
        <v>29714</v>
      </c>
    </row>
    <row r="90">
      <c r="A90" t="inlineStr">
        <is>
          <t>DNL.ASX</t>
        </is>
      </c>
      <c r="B90" t="inlineStr">
        <is>
          <t>Dyno Nobel Limited Ordinary</t>
        </is>
      </c>
      <c r="C90" t="inlineStr">
        <is>
          <t>Closed</t>
        </is>
      </c>
      <c r="D90" s="35" t="n">
        <v>44652</v>
      </c>
      <c r="E90" t="n">
        <v>3.122525</v>
      </c>
      <c r="F90" s="35" t="n">
        <v>44715</v>
      </c>
      <c r="G90" t="n">
        <v>2.749687</v>
      </c>
      <c r="H90" t="n">
        <v>-0.1194</v>
      </c>
      <c r="I90" t="n">
        <v>-19706.56</v>
      </c>
      <c r="J90" t="n">
        <v>-0.1213</v>
      </c>
      <c r="K90" t="n">
        <v>52036</v>
      </c>
    </row>
    <row r="91">
      <c r="A91" t="inlineStr">
        <is>
          <t>NUF.ASX</t>
        </is>
      </c>
      <c r="B91" t="inlineStr">
        <is>
          <t>Nufarm Limited Ordinary</t>
        </is>
      </c>
      <c r="C91" t="inlineStr">
        <is>
          <t>Closed</t>
        </is>
      </c>
      <c r="D91" s="35" t="n">
        <v>44645</v>
      </c>
      <c r="E91" t="n">
        <v>5.728204</v>
      </c>
      <c r="F91" s="35" t="n">
        <v>44708</v>
      </c>
      <c r="G91" t="n">
        <v>5.537264</v>
      </c>
      <c r="H91" t="n">
        <v>-0.0333</v>
      </c>
      <c r="I91" t="n">
        <v>-5707.65</v>
      </c>
      <c r="J91" t="n">
        <v>-0.0353</v>
      </c>
      <c r="K91" t="n">
        <v>28227</v>
      </c>
    </row>
    <row r="92">
      <c r="A92" t="inlineStr">
        <is>
          <t>CIA.ASX</t>
        </is>
      </c>
      <c r="B92" t="inlineStr">
        <is>
          <t>Champion Iron Limited Ordinary</t>
        </is>
      </c>
      <c r="C92" t="inlineStr">
        <is>
          <t>Closed</t>
        </is>
      </c>
      <c r="D92" s="35" t="n">
        <v>44652</v>
      </c>
      <c r="E92" t="n">
        <v>6.656162</v>
      </c>
      <c r="F92" s="35" t="n">
        <v>44701</v>
      </c>
      <c r="G92" t="n">
        <v>6.133757</v>
      </c>
      <c r="H92" t="n">
        <v>-0.0785</v>
      </c>
      <c r="I92" t="n">
        <v>-13072.67</v>
      </c>
      <c r="J92" t="n">
        <v>-0.0804</v>
      </c>
      <c r="K92" t="n">
        <v>24426</v>
      </c>
    </row>
    <row r="93">
      <c r="A93" t="inlineStr">
        <is>
          <t>NEC.ASX</t>
        </is>
      </c>
      <c r="B93" t="inlineStr">
        <is>
          <t>Nine Entertainment Co. Holdings Limited Ordinary</t>
        </is>
      </c>
      <c r="C93" t="inlineStr">
        <is>
          <t>Closed</t>
        </is>
      </c>
      <c r="D93" s="35" t="n">
        <v>44120</v>
      </c>
      <c r="E93" t="n">
        <v>1.538698</v>
      </c>
      <c r="F93" s="35" t="n">
        <v>44694</v>
      </c>
      <c r="G93" t="n">
        <v>2.037215</v>
      </c>
      <c r="H93" t="n">
        <v>0.324</v>
      </c>
      <c r="I93" t="n">
        <v>42798.55</v>
      </c>
      <c r="J93" t="n">
        <v>0.3217</v>
      </c>
      <c r="K93" t="n">
        <v>86472</v>
      </c>
    </row>
    <row r="94">
      <c r="A94" t="inlineStr">
        <is>
          <t>IGO.ASX</t>
        </is>
      </c>
      <c r="B94" t="inlineStr">
        <is>
          <t>IGO Limited Ordinary</t>
        </is>
      </c>
      <c r="C94" t="inlineStr">
        <is>
          <t>Closed</t>
        </is>
      </c>
      <c r="D94" s="35" t="n">
        <v>44659</v>
      </c>
      <c r="E94" t="n">
        <v>12.89307</v>
      </c>
      <c r="F94" s="35" t="n">
        <v>44694</v>
      </c>
      <c r="G94" t="n">
        <v>10.41837</v>
      </c>
      <c r="H94" t="n">
        <v>-0.1919</v>
      </c>
      <c r="I94" t="n">
        <v>-31757.22</v>
      </c>
      <c r="J94" t="n">
        <v>-0.1937</v>
      </c>
      <c r="K94" t="n">
        <v>12713</v>
      </c>
    </row>
    <row r="95">
      <c r="A95" t="inlineStr">
        <is>
          <t>SGM.ASX</t>
        </is>
      </c>
      <c r="B95" t="inlineStr">
        <is>
          <t>Sims Limited Ordinary</t>
        </is>
      </c>
      <c r="C95" t="inlineStr">
        <is>
          <t>Closed</t>
        </is>
      </c>
      <c r="D95" s="35" t="n">
        <v>44652</v>
      </c>
      <c r="E95" t="n">
        <v>19.84331</v>
      </c>
      <c r="F95" s="35" t="n">
        <v>44694</v>
      </c>
      <c r="G95" t="n">
        <v>17.29929</v>
      </c>
      <c r="H95" t="n">
        <v>-0.1282</v>
      </c>
      <c r="I95" t="n">
        <v>-21139.72</v>
      </c>
      <c r="J95" t="n">
        <v>-0.1301</v>
      </c>
      <c r="K95" t="n">
        <v>8190</v>
      </c>
    </row>
    <row r="96">
      <c r="A96" t="inlineStr">
        <is>
          <t>SLR-202406.ASX</t>
        </is>
      </c>
      <c r="B96" t="inlineStr">
        <is>
          <t>Silver Lake Resources Limited Ordinary</t>
        </is>
      </c>
      <c r="C96" t="inlineStr">
        <is>
          <t>Closed</t>
        </is>
      </c>
      <c r="D96" s="35" t="n">
        <v>44645</v>
      </c>
      <c r="E96" t="n">
        <v>2.2</v>
      </c>
      <c r="F96" s="35" t="n">
        <v>44694</v>
      </c>
      <c r="G96" t="n">
        <v>1.59</v>
      </c>
      <c r="H96" t="n">
        <v>-0.2773</v>
      </c>
      <c r="I96" t="n">
        <v>-45106.2</v>
      </c>
      <c r="J96" t="n">
        <v>-0.279</v>
      </c>
      <c r="K96" t="n">
        <v>73488</v>
      </c>
    </row>
    <row r="97">
      <c r="A97" t="inlineStr">
        <is>
          <t>AVZ-202205.ASX</t>
        </is>
      </c>
      <c r="B97" t="inlineStr">
        <is>
          <t>AVZ Minerals Limited Ordinary</t>
        </is>
      </c>
      <c r="C97" t="inlineStr">
        <is>
          <t>Closed</t>
        </is>
      </c>
      <c r="D97" s="35" t="n">
        <v>44652</v>
      </c>
      <c r="E97" t="n">
        <v>1.145</v>
      </c>
      <c r="F97" s="35" t="n">
        <v>44687</v>
      </c>
      <c r="G97" t="n">
        <v>1.15</v>
      </c>
      <c r="H97" t="n">
        <v>0.0044</v>
      </c>
      <c r="I97" t="n">
        <v>384</v>
      </c>
      <c r="J97" t="n">
        <v>0.0024</v>
      </c>
      <c r="K97" t="n">
        <v>141960</v>
      </c>
    </row>
    <row r="98">
      <c r="A98" t="inlineStr">
        <is>
          <t>APE.ASX</t>
        </is>
      </c>
      <c r="B98" t="inlineStr">
        <is>
          <t>Eagers Automotive Limited Ordinary</t>
        </is>
      </c>
      <c r="C98" t="inlineStr">
        <is>
          <t>Closed</t>
        </is>
      </c>
      <c r="D98" s="35" t="n">
        <v>44274</v>
      </c>
      <c r="E98" t="n">
        <v>12.137</v>
      </c>
      <c r="F98" s="35" t="n">
        <v>44638</v>
      </c>
      <c r="G98" t="n">
        <v>10.31175</v>
      </c>
      <c r="H98" t="n">
        <v>-0.1504</v>
      </c>
      <c r="I98" t="n">
        <v>-21551.56</v>
      </c>
      <c r="J98" t="n">
        <v>-0.1522</v>
      </c>
      <c r="K98" t="n">
        <v>11664</v>
      </c>
    </row>
    <row r="99">
      <c r="A99" t="inlineStr">
        <is>
          <t>ALD.ASX</t>
        </is>
      </c>
      <c r="B99" t="inlineStr">
        <is>
          <t>Ampol Limited Ordinary</t>
        </is>
      </c>
      <c r="C99" t="inlineStr">
        <is>
          <t>Closed</t>
        </is>
      </c>
      <c r="D99" s="35" t="n">
        <v>44498</v>
      </c>
      <c r="E99" t="n">
        <v>25.64195</v>
      </c>
      <c r="F99" s="35" t="n">
        <v>44624</v>
      </c>
      <c r="G99" t="n">
        <v>23.87155</v>
      </c>
      <c r="H99" t="n">
        <v>-0.06900000000000001</v>
      </c>
      <c r="I99" t="n">
        <v>-11805.78</v>
      </c>
      <c r="J99" t="n">
        <v>-0.07099999999999999</v>
      </c>
      <c r="K99" t="n">
        <v>6487</v>
      </c>
    </row>
    <row r="100">
      <c r="A100" t="inlineStr">
        <is>
          <t>AUB.ASX</t>
        </is>
      </c>
      <c r="B100" t="inlineStr">
        <is>
          <t>AUB Group Limited Ordinary</t>
        </is>
      </c>
      <c r="C100" t="inlineStr">
        <is>
          <t>Closed</t>
        </is>
      </c>
      <c r="D100" s="35" t="n">
        <v>44120</v>
      </c>
      <c r="E100" t="n">
        <v>15.53369</v>
      </c>
      <c r="F100" s="35" t="n">
        <v>44624</v>
      </c>
      <c r="G100" t="n">
        <v>19.69113</v>
      </c>
      <c r="H100" t="n">
        <v>0.2676</v>
      </c>
      <c r="I100" t="n">
        <v>35294.41</v>
      </c>
      <c r="J100" t="n">
        <v>0.2654</v>
      </c>
      <c r="K100" t="n">
        <v>8562</v>
      </c>
    </row>
    <row r="101">
      <c r="A101" t="inlineStr">
        <is>
          <t>ORG.ASX</t>
        </is>
      </c>
      <c r="B101" t="inlineStr">
        <is>
          <t>Origin Energy Limited Ordinary</t>
        </is>
      </c>
      <c r="C101" t="inlineStr">
        <is>
          <t>Closed</t>
        </is>
      </c>
      <c r="D101" s="35" t="n">
        <v>44498</v>
      </c>
      <c r="E101" t="n">
        <v>4.372586</v>
      </c>
      <c r="F101" s="35" t="n">
        <v>44617</v>
      </c>
      <c r="G101" t="n">
        <v>4.647959</v>
      </c>
      <c r="H101" t="n">
        <v>0.063</v>
      </c>
      <c r="I101" t="n">
        <v>10133.65</v>
      </c>
      <c r="J101" t="n">
        <v>0.0609</v>
      </c>
      <c r="K101" t="n">
        <v>38046</v>
      </c>
    </row>
    <row r="102">
      <c r="A102" t="inlineStr">
        <is>
          <t>BLD-202406.ASX</t>
        </is>
      </c>
      <c r="B102" t="inlineStr">
        <is>
          <t>Boral Limited Ordinary</t>
        </is>
      </c>
      <c r="C102" t="inlineStr">
        <is>
          <t>Closed</t>
        </is>
      </c>
      <c r="D102" s="35" t="n">
        <v>44120</v>
      </c>
      <c r="E102" t="n">
        <v>2.779515</v>
      </c>
      <c r="F102" s="35" t="n">
        <v>44617</v>
      </c>
      <c r="G102" t="n">
        <v>3.520267</v>
      </c>
      <c r="H102" t="n">
        <v>0.2665</v>
      </c>
      <c r="I102" t="n">
        <v>35161.9</v>
      </c>
      <c r="J102" t="n">
        <v>0.2642</v>
      </c>
      <c r="K102" t="n">
        <v>47875</v>
      </c>
    </row>
    <row r="103">
      <c r="A103" t="inlineStr">
        <is>
          <t>PLS.ASX</t>
        </is>
      </c>
      <c r="B103" t="inlineStr">
        <is>
          <t>Pilbara Minerals Limited Ordinary</t>
        </is>
      </c>
      <c r="C103" t="inlineStr">
        <is>
          <t>Closed</t>
        </is>
      </c>
      <c r="D103" s="35" t="n">
        <v>44561</v>
      </c>
      <c r="E103" t="n">
        <v>2.873677</v>
      </c>
      <c r="F103" s="35" t="n">
        <v>44596</v>
      </c>
      <c r="G103" t="n">
        <v>3.119452</v>
      </c>
      <c r="H103" t="n">
        <v>0.08550000000000001</v>
      </c>
      <c r="I103" t="n">
        <v>13897.52</v>
      </c>
      <c r="J103" t="n">
        <v>0.0834</v>
      </c>
      <c r="K103" t="n">
        <v>57959</v>
      </c>
    </row>
    <row r="104">
      <c r="A104" t="inlineStr">
        <is>
          <t>NIC.ASX</t>
        </is>
      </c>
      <c r="B104" t="inlineStr">
        <is>
          <t>Nickel Industries Limited Ordinary</t>
        </is>
      </c>
      <c r="C104" t="inlineStr">
        <is>
          <t>Closed</t>
        </is>
      </c>
      <c r="D104" s="35" t="n">
        <v>44561</v>
      </c>
      <c r="E104" t="n">
        <v>1.235326</v>
      </c>
      <c r="F104" s="35" t="n">
        <v>44596</v>
      </c>
      <c r="G104" t="n">
        <v>1.18863</v>
      </c>
      <c r="H104" t="n">
        <v>-0.0378</v>
      </c>
      <c r="I104" t="n">
        <v>-6624.37</v>
      </c>
      <c r="J104" t="n">
        <v>-0.0398</v>
      </c>
      <c r="K104" t="n">
        <v>134861</v>
      </c>
    </row>
    <row r="105">
      <c r="A105" t="inlineStr">
        <is>
          <t>JBH.ASX</t>
        </is>
      </c>
      <c r="B105" t="inlineStr">
        <is>
          <t>JB HI-FI Limited Ordinary</t>
        </is>
      </c>
      <c r="C105" t="inlineStr">
        <is>
          <t>Closed</t>
        </is>
      </c>
      <c r="D105" s="35" t="n">
        <v>44287</v>
      </c>
      <c r="E105" t="n">
        <v>43.18198</v>
      </c>
      <c r="F105" s="35" t="n">
        <v>44596</v>
      </c>
      <c r="G105" t="n">
        <v>36.84755</v>
      </c>
      <c r="H105" t="n">
        <v>-0.1467</v>
      </c>
      <c r="I105" t="n">
        <v>-21174.13</v>
      </c>
      <c r="J105" t="n">
        <v>-0.1485</v>
      </c>
      <c r="K105" t="n">
        <v>3301</v>
      </c>
    </row>
    <row r="106">
      <c r="A106" t="inlineStr">
        <is>
          <t>AST-202202.ASX</t>
        </is>
      </c>
      <c r="B106" t="inlineStr">
        <is>
          <t>Ausnet Services Limited Ordinary</t>
        </is>
      </c>
      <c r="C106" t="inlineStr">
        <is>
          <t>Closed</t>
        </is>
      </c>
      <c r="D106" s="35" t="n">
        <v>44120</v>
      </c>
      <c r="E106" t="n">
        <v>1.837551</v>
      </c>
      <c r="F106" s="35" t="n">
        <v>44596</v>
      </c>
      <c r="G106" t="n">
        <v>2.59</v>
      </c>
      <c r="H106" t="n">
        <v>0.4095</v>
      </c>
      <c r="I106" t="n">
        <v>54129.08</v>
      </c>
      <c r="J106" t="n">
        <v>0.4071</v>
      </c>
      <c r="K106" t="n">
        <v>72363</v>
      </c>
    </row>
    <row r="107">
      <c r="A107" t="inlineStr">
        <is>
          <t>RMD.ASX</t>
        </is>
      </c>
      <c r="B107" t="inlineStr">
        <is>
          <t>Resmed Inc CDI 10:1 Foreign Exempt NYSE</t>
        </is>
      </c>
      <c r="C107" t="inlineStr">
        <is>
          <t>Closed</t>
        </is>
      </c>
      <c r="D107" s="35" t="n">
        <v>44015</v>
      </c>
      <c r="E107" t="n">
        <v>26.29653</v>
      </c>
      <c r="F107" s="35" t="n">
        <v>44596</v>
      </c>
      <c r="G107" t="n">
        <v>31.77464</v>
      </c>
      <c r="H107" t="n">
        <v>0.2083</v>
      </c>
      <c r="I107" t="n">
        <v>23533.81</v>
      </c>
      <c r="J107" t="n">
        <v>0.2061</v>
      </c>
      <c r="K107" t="n">
        <v>4342</v>
      </c>
    </row>
    <row r="108">
      <c r="A108" t="inlineStr">
        <is>
          <t>OZL-202304.ASX</t>
        </is>
      </c>
      <c r="B108" t="inlineStr">
        <is>
          <t>OZ Minerals Limited Ordinary</t>
        </is>
      </c>
      <c r="C108" t="inlineStr">
        <is>
          <t>Closed</t>
        </is>
      </c>
      <c r="D108" s="35" t="n">
        <v>44015</v>
      </c>
      <c r="E108" t="n">
        <v>9.817721000000001</v>
      </c>
      <c r="F108" s="35" t="n">
        <v>44596</v>
      </c>
      <c r="G108" t="n">
        <v>22.83706</v>
      </c>
      <c r="H108" t="n">
        <v>1.3261</v>
      </c>
      <c r="I108" t="n">
        <v>151074.11</v>
      </c>
      <c r="J108" t="n">
        <v>1.3228</v>
      </c>
      <c r="K108" t="n">
        <v>11633</v>
      </c>
    </row>
    <row r="109">
      <c r="A109" t="inlineStr">
        <is>
          <t>GNC.ASX</t>
        </is>
      </c>
      <c r="B109" t="inlineStr">
        <is>
          <t>Graincorp Limited Ordinary Class A</t>
        </is>
      </c>
      <c r="C109" t="inlineStr">
        <is>
          <t>Closed</t>
        </is>
      </c>
      <c r="D109" s="35" t="n">
        <v>44287</v>
      </c>
      <c r="E109" t="n">
        <v>4.188775</v>
      </c>
      <c r="F109" s="35" t="n">
        <v>44589</v>
      </c>
      <c r="G109" t="n">
        <v>6.078569</v>
      </c>
      <c r="H109" t="n">
        <v>0.4512</v>
      </c>
      <c r="I109" t="n">
        <v>63960.29</v>
      </c>
      <c r="J109" t="n">
        <v>0.4487</v>
      </c>
      <c r="K109" t="n">
        <v>34030</v>
      </c>
    </row>
    <row r="110">
      <c r="A110" t="inlineStr">
        <is>
          <t>NWL.ASX</t>
        </is>
      </c>
      <c r="B110" t="inlineStr">
        <is>
          <t>Netwealth Group Limited Ordinary</t>
        </is>
      </c>
      <c r="C110" t="inlineStr">
        <is>
          <t>Closed</t>
        </is>
      </c>
      <c r="D110" s="35" t="n">
        <v>44498</v>
      </c>
      <c r="E110" t="n">
        <v>16.64627</v>
      </c>
      <c r="F110" s="35" t="n">
        <v>44540</v>
      </c>
      <c r="G110" t="n">
        <v>14.44071</v>
      </c>
      <c r="H110" t="n">
        <v>-0.1325</v>
      </c>
      <c r="I110" t="n">
        <v>-22346.34</v>
      </c>
      <c r="J110" t="n">
        <v>-0.1344</v>
      </c>
      <c r="K110" t="n">
        <v>9991</v>
      </c>
    </row>
    <row r="111">
      <c r="A111" t="inlineStr">
        <is>
          <t>TNE.ASX</t>
        </is>
      </c>
      <c r="B111" t="inlineStr">
        <is>
          <t>Technology One Limited Ordinary</t>
        </is>
      </c>
      <c r="C111" t="inlineStr">
        <is>
          <t>Closed</t>
        </is>
      </c>
      <c r="D111" s="35" t="n">
        <v>44287</v>
      </c>
      <c r="E111" t="n">
        <v>9.167619999999999</v>
      </c>
      <c r="F111" s="35" t="n">
        <v>44533</v>
      </c>
      <c r="G111" t="n">
        <v>10.96053</v>
      </c>
      <c r="H111" t="n">
        <v>0.1956</v>
      </c>
      <c r="I111" t="n">
        <v>27559.67</v>
      </c>
      <c r="J111" t="n">
        <v>0.1934</v>
      </c>
      <c r="K111" t="n">
        <v>15546</v>
      </c>
    </row>
    <row r="112">
      <c r="A112" t="inlineStr">
        <is>
          <t>CUV.ASX</t>
        </is>
      </c>
      <c r="B112" t="inlineStr">
        <is>
          <t>Clinuvel Pharmaceuticals Limited Ordinary</t>
        </is>
      </c>
      <c r="C112" t="inlineStr">
        <is>
          <t>Closed</t>
        </is>
      </c>
      <c r="D112" s="35" t="n">
        <v>44274</v>
      </c>
      <c r="E112" t="n">
        <v>25.32674</v>
      </c>
      <c r="F112" s="35" t="n">
        <v>44526</v>
      </c>
      <c r="G112" t="n">
        <v>31.25607</v>
      </c>
      <c r="H112" t="n">
        <v>0.2341</v>
      </c>
      <c r="I112" t="n">
        <v>32822.78</v>
      </c>
      <c r="J112" t="n">
        <v>0.2319</v>
      </c>
      <c r="K112" t="n">
        <v>5589</v>
      </c>
    </row>
    <row r="113">
      <c r="A113" t="inlineStr">
        <is>
          <t>SOL.ASX</t>
        </is>
      </c>
      <c r="B113" t="inlineStr">
        <is>
          <t>Washington H Soul Pattinson &amp; Company Limited Ordinary</t>
        </is>
      </c>
      <c r="C113" t="inlineStr">
        <is>
          <t>Closed</t>
        </is>
      </c>
      <c r="D113" s="35" t="n">
        <v>44120</v>
      </c>
      <c r="E113" t="n">
        <v>22.64801</v>
      </c>
      <c r="F113" s="35" t="n">
        <v>44484</v>
      </c>
      <c r="G113" t="n">
        <v>32.30751</v>
      </c>
      <c r="H113" t="n">
        <v>0.4265</v>
      </c>
      <c r="I113" t="n">
        <v>56407.49</v>
      </c>
      <c r="J113" t="n">
        <v>0.4241</v>
      </c>
      <c r="K113" t="n">
        <v>5873</v>
      </c>
    </row>
    <row r="114">
      <c r="A114" t="inlineStr">
        <is>
          <t>MIN.ASX</t>
        </is>
      </c>
      <c r="B114" t="inlineStr">
        <is>
          <t>Mineral Resources Limited Ordinary</t>
        </is>
      </c>
      <c r="C114" t="inlineStr">
        <is>
          <t>Closed</t>
        </is>
      </c>
      <c r="D114" s="35" t="n">
        <v>44169</v>
      </c>
      <c r="E114" t="n">
        <v>29.23884</v>
      </c>
      <c r="F114" s="35" t="n">
        <v>44463</v>
      </c>
      <c r="G114" t="n">
        <v>45.02612</v>
      </c>
      <c r="H114" t="n">
        <v>0.5399</v>
      </c>
      <c r="I114" t="n">
        <v>72405.57000000001</v>
      </c>
      <c r="J114" t="n">
        <v>0.5374</v>
      </c>
      <c r="K114" t="n">
        <v>4608</v>
      </c>
    </row>
    <row r="115">
      <c r="A115" t="inlineStr">
        <is>
          <t>APE.ASX</t>
        </is>
      </c>
      <c r="B115" t="inlineStr">
        <is>
          <t>Eagers Automotive Limited Ordinary</t>
        </is>
      </c>
      <c r="C115" t="inlineStr">
        <is>
          <t>Closed</t>
        </is>
      </c>
      <c r="D115" s="35" t="n">
        <v>44148</v>
      </c>
      <c r="E115" t="n">
        <v>10.29007</v>
      </c>
      <c r="F115" s="35" t="n">
        <v>44260</v>
      </c>
      <c r="G115" t="n">
        <v>10.67385</v>
      </c>
      <c r="H115" t="n">
        <v>0.0373</v>
      </c>
      <c r="I115" t="n">
        <v>4879.15</v>
      </c>
      <c r="J115" t="n">
        <v>0.0353</v>
      </c>
      <c r="K115" t="n">
        <v>13448</v>
      </c>
    </row>
    <row r="116">
      <c r="A116" t="inlineStr">
        <is>
          <t>XRO.ASX</t>
        </is>
      </c>
      <c r="B116" t="inlineStr">
        <is>
          <t>Xero Limited Ordinary</t>
        </is>
      </c>
      <c r="C116" t="inlineStr">
        <is>
          <t>Closed</t>
        </is>
      </c>
      <c r="D116" s="35" t="n">
        <v>44120</v>
      </c>
      <c r="E116" t="n">
        <v>114</v>
      </c>
      <c r="F116" s="35" t="n">
        <v>44260</v>
      </c>
      <c r="G116" t="n">
        <v>120.75</v>
      </c>
      <c r="H116" t="n">
        <v>0.0592</v>
      </c>
      <c r="I116" t="n">
        <v>7596.78</v>
      </c>
      <c r="J116" t="n">
        <v>0.0572</v>
      </c>
      <c r="K116" t="n">
        <v>1166</v>
      </c>
    </row>
    <row r="117">
      <c r="A117" t="inlineStr">
        <is>
          <t>DHG.ASX</t>
        </is>
      </c>
      <c r="B117" t="inlineStr">
        <is>
          <t>Domain Holdings Australia Limited Ordinary</t>
        </is>
      </c>
      <c r="C117" t="inlineStr">
        <is>
          <t>Closed</t>
        </is>
      </c>
      <c r="D117" s="35" t="n">
        <v>44120</v>
      </c>
      <c r="E117" t="n">
        <v>3.713091</v>
      </c>
      <c r="F117" s="35" t="n">
        <v>44260</v>
      </c>
      <c r="G117" t="n">
        <v>4.197003</v>
      </c>
      <c r="H117" t="n">
        <v>0.1303</v>
      </c>
      <c r="I117" t="n">
        <v>17054.67</v>
      </c>
      <c r="J117" t="n">
        <v>0.1282</v>
      </c>
      <c r="K117" t="n">
        <v>35829</v>
      </c>
    </row>
    <row r="118">
      <c r="A118" t="inlineStr">
        <is>
          <t>NXT.ASX</t>
        </is>
      </c>
      <c r="B118" t="inlineStr">
        <is>
          <t>Nextdc Limited Ordinary</t>
        </is>
      </c>
      <c r="C118" t="inlineStr">
        <is>
          <t>Closed</t>
        </is>
      </c>
      <c r="D118" s="35" t="n">
        <v>44120</v>
      </c>
      <c r="E118" t="n">
        <v>12.65776</v>
      </c>
      <c r="F118" s="35" t="n">
        <v>44260</v>
      </c>
      <c r="G118" t="n">
        <v>10.93349</v>
      </c>
      <c r="H118" t="n">
        <v>-0.1362</v>
      </c>
      <c r="I118" t="n">
        <v>-18377.01</v>
      </c>
      <c r="J118" t="n">
        <v>-0.1381</v>
      </c>
      <c r="K118" t="n">
        <v>10514</v>
      </c>
    </row>
    <row r="119">
      <c r="A119" t="inlineStr">
        <is>
          <t>NWL.ASX</t>
        </is>
      </c>
      <c r="B119" t="inlineStr">
        <is>
          <t>Netwealth Group Limited Ordinary</t>
        </is>
      </c>
      <c r="C119" t="inlineStr">
        <is>
          <t>Closed</t>
        </is>
      </c>
      <c r="D119" s="35" t="n">
        <v>44008</v>
      </c>
      <c r="E119" t="n">
        <v>8.585172</v>
      </c>
      <c r="F119" s="35" t="n">
        <v>44260</v>
      </c>
      <c r="G119" t="n">
        <v>13.17373</v>
      </c>
      <c r="H119" t="n">
        <v>0.5345</v>
      </c>
      <c r="I119" t="n">
        <v>60756.72</v>
      </c>
      <c r="J119" t="n">
        <v>0.5319</v>
      </c>
      <c r="K119" t="n">
        <v>13304</v>
      </c>
    </row>
    <row r="120">
      <c r="A120" t="inlineStr">
        <is>
          <t>SAR-202102.ASX</t>
        </is>
      </c>
      <c r="B120" t="inlineStr">
        <is>
          <t>Saracen Mineral Holdings Limited Ordinary</t>
        </is>
      </c>
      <c r="C120" t="inlineStr">
        <is>
          <t>Closed</t>
        </is>
      </c>
      <c r="D120" s="35" t="n">
        <v>44022</v>
      </c>
      <c r="E120" t="n">
        <v>5.784788</v>
      </c>
      <c r="F120" s="35" t="n">
        <v>44230</v>
      </c>
      <c r="G120" t="n">
        <v>4.792543</v>
      </c>
      <c r="H120" t="n">
        <v>-0.1715</v>
      </c>
      <c r="I120" t="n">
        <v>-20645.1</v>
      </c>
      <c r="J120" t="n">
        <v>-0.1734</v>
      </c>
      <c r="K120" t="n">
        <v>20587</v>
      </c>
    </row>
    <row r="121">
      <c r="A121" t="inlineStr">
        <is>
          <t>NCM-202310.ASX</t>
        </is>
      </c>
      <c r="B121" t="inlineStr">
        <is>
          <t>Newcrest Mining Limited Ordinary</t>
        </is>
      </c>
      <c r="C121" t="inlineStr">
        <is>
          <t>Closed</t>
        </is>
      </c>
      <c r="D121" s="35" t="n">
        <v>44022</v>
      </c>
      <c r="E121" t="n">
        <v>27.71538</v>
      </c>
      <c r="F121" s="35" t="n">
        <v>44204</v>
      </c>
      <c r="G121" t="n">
        <v>22.47868</v>
      </c>
      <c r="H121" t="n">
        <v>-0.1889</v>
      </c>
      <c r="I121" t="n">
        <v>-22712.5</v>
      </c>
      <c r="J121" t="n">
        <v>-0.1908</v>
      </c>
      <c r="K121" t="n">
        <v>4296</v>
      </c>
    </row>
    <row r="122">
      <c r="A122" t="inlineStr">
        <is>
          <t>ASX.ASX</t>
        </is>
      </c>
      <c r="B122" t="inlineStr">
        <is>
          <t>ASX Limited Ordinary</t>
        </is>
      </c>
      <c r="C122" t="inlineStr">
        <is>
          <t>Closed</t>
        </is>
      </c>
      <c r="D122" s="35" t="n">
        <v>43987</v>
      </c>
      <c r="E122" t="n">
        <v>74.73531</v>
      </c>
      <c r="F122" s="35" t="n">
        <v>44169</v>
      </c>
      <c r="G122" t="n">
        <v>66.85473</v>
      </c>
      <c r="H122" t="n">
        <v>-0.1054</v>
      </c>
      <c r="I122" t="n">
        <v>-12249.88</v>
      </c>
      <c r="J122" t="n">
        <v>-0.1073</v>
      </c>
      <c r="K122" t="n">
        <v>1527</v>
      </c>
    </row>
    <row r="123">
      <c r="A123" t="inlineStr">
        <is>
          <t>DMP.ASX</t>
        </is>
      </c>
      <c r="B123" t="inlineStr">
        <is>
          <t>Domino's Pizza Enterprises Limited Ordinary</t>
        </is>
      </c>
      <c r="C123" t="inlineStr">
        <is>
          <t>Closed</t>
        </is>
      </c>
      <c r="D123" s="35" t="n">
        <v>44008</v>
      </c>
      <c r="E123" t="n">
        <v>60.5911</v>
      </c>
      <c r="F123" s="35" t="n">
        <v>44141</v>
      </c>
      <c r="G123" t="n">
        <v>75.80659</v>
      </c>
      <c r="H123" t="n">
        <v>0.2511</v>
      </c>
      <c r="I123" t="n">
        <v>28424.11</v>
      </c>
      <c r="J123" t="n">
        <v>0.2489</v>
      </c>
      <c r="K123" t="n">
        <v>1885</v>
      </c>
    </row>
    <row r="124">
      <c r="A124" t="inlineStr">
        <is>
          <t>CNU.ASX</t>
        </is>
      </c>
      <c r="B124" t="inlineStr">
        <is>
          <t>Chorus Limited Ordinary Foreign Exempt NZX</t>
        </is>
      </c>
      <c r="C124" t="inlineStr">
        <is>
          <t>Closed</t>
        </is>
      </c>
      <c r="D124" s="35" t="n">
        <v>43994</v>
      </c>
      <c r="E124" t="n">
        <v>6.010513</v>
      </c>
      <c r="F124" s="35" t="n">
        <v>44106</v>
      </c>
      <c r="G124" t="n">
        <v>6.392845</v>
      </c>
      <c r="H124" t="n">
        <v>0.0636</v>
      </c>
      <c r="I124" t="n">
        <v>7078.21</v>
      </c>
      <c r="J124" t="n">
        <v>0.0615</v>
      </c>
      <c r="K124" t="n">
        <v>19134</v>
      </c>
    </row>
    <row r="125">
      <c r="A125" t="inlineStr">
        <is>
          <t>FMG.ASX</t>
        </is>
      </c>
      <c r="B125" t="inlineStr">
        <is>
          <t>Fortescue Ltd Ordinary</t>
        </is>
      </c>
      <c r="C125" t="inlineStr">
        <is>
          <t>Closed</t>
        </is>
      </c>
      <c r="D125" s="35" t="n">
        <v>43994</v>
      </c>
      <c r="E125" t="n">
        <v>8.752375000000001</v>
      </c>
      <c r="F125" s="35" t="n">
        <v>44099</v>
      </c>
      <c r="G125" t="n">
        <v>9.968106000000001</v>
      </c>
      <c r="H125" t="n">
        <v>0.1389</v>
      </c>
      <c r="I125" t="n">
        <v>15731.23</v>
      </c>
      <c r="J125" t="n">
        <v>0.1368</v>
      </c>
      <c r="K125" t="n">
        <v>13142</v>
      </c>
    </row>
    <row r="126">
      <c r="A126" t="inlineStr">
        <is>
          <t>MIN.ASX</t>
        </is>
      </c>
      <c r="B126" t="inlineStr">
        <is>
          <t>Mineral Resources Limited Ordinary</t>
        </is>
      </c>
      <c r="C126" t="inlineStr">
        <is>
          <t>Closed</t>
        </is>
      </c>
      <c r="D126" s="35" t="n">
        <v>44001</v>
      </c>
      <c r="E126" t="n">
        <v>17.74579</v>
      </c>
      <c r="F126" s="35" t="n">
        <v>44092</v>
      </c>
      <c r="G126" t="n">
        <v>24.75797</v>
      </c>
      <c r="H126" t="n">
        <v>0.3951</v>
      </c>
      <c r="I126" t="n">
        <v>44717.44</v>
      </c>
      <c r="J126" t="n">
        <v>0.3928</v>
      </c>
      <c r="K126" t="n">
        <v>6416</v>
      </c>
    </row>
    <row r="127">
      <c r="A127" t="inlineStr">
        <is>
          <t>NEA-202212.ASX</t>
        </is>
      </c>
      <c r="B127" t="inlineStr">
        <is>
          <t>Nearmap Ltd Ordinary</t>
        </is>
      </c>
      <c r="C127" t="inlineStr">
        <is>
          <t>Closed</t>
        </is>
      </c>
      <c r="D127" s="35" t="n">
        <v>44022</v>
      </c>
      <c r="E127" t="n">
        <v>2.48</v>
      </c>
      <c r="F127" s="35" t="n">
        <v>44092</v>
      </c>
      <c r="G127" t="n">
        <v>2.52</v>
      </c>
      <c r="H127" t="n">
        <v>0.0161</v>
      </c>
      <c r="I127" t="n">
        <v>1680.98</v>
      </c>
      <c r="J127" t="n">
        <v>0.0141</v>
      </c>
      <c r="K127" t="n">
        <v>48028</v>
      </c>
    </row>
    <row r="128">
      <c r="A128" t="inlineStr">
        <is>
          <t>ANN.ASX</t>
        </is>
      </c>
      <c r="B128" t="inlineStr">
        <is>
          <t>Ansell Limited Ordinary</t>
        </is>
      </c>
      <c r="C128" t="inlineStr">
        <is>
          <t>Closed</t>
        </is>
      </c>
      <c r="D128" s="35" t="n">
        <v>43987</v>
      </c>
      <c r="E128" t="n">
        <v>30.62832</v>
      </c>
      <c r="F128" s="35" t="n">
        <v>44085</v>
      </c>
      <c r="G128" t="n">
        <v>32.45008</v>
      </c>
      <c r="H128" t="n">
        <v>0.0595</v>
      </c>
      <c r="I128" t="n">
        <v>6551.09</v>
      </c>
      <c r="J128" t="n">
        <v>0.0574</v>
      </c>
      <c r="K128" t="n">
        <v>3725</v>
      </c>
    </row>
    <row r="129">
      <c r="A129" t="inlineStr">
        <is>
          <t>NXT.ASX</t>
        </is>
      </c>
      <c r="B129" t="inlineStr">
        <is>
          <t>Nextdc Limited Ordinary</t>
        </is>
      </c>
      <c r="C129" t="inlineStr">
        <is>
          <t>Closed</t>
        </is>
      </c>
      <c r="D129" s="35" t="n">
        <v>44022</v>
      </c>
      <c r="E129" t="n">
        <v>10.8943</v>
      </c>
      <c r="F129" s="35" t="n">
        <v>44085</v>
      </c>
      <c r="G129" t="n">
        <v>10.91389</v>
      </c>
      <c r="H129" t="n">
        <v>0.0018</v>
      </c>
      <c r="I129" t="n">
        <v>-24.24</v>
      </c>
      <c r="J129" t="n">
        <v>-0.0002</v>
      </c>
      <c r="K129" t="n">
        <v>10930</v>
      </c>
    </row>
    <row r="130">
      <c r="A130" t="inlineStr">
        <is>
          <t>APX.ASX</t>
        </is>
      </c>
      <c r="B130" t="inlineStr">
        <is>
          <t>Appen Limited Ordinary</t>
        </is>
      </c>
      <c r="C130" t="inlineStr">
        <is>
          <t>Closed</t>
        </is>
      </c>
      <c r="D130" s="35" t="n">
        <v>44008</v>
      </c>
      <c r="E130" t="n">
        <v>29.47292</v>
      </c>
      <c r="F130" s="35" t="n">
        <v>44085</v>
      </c>
      <c r="G130" t="n">
        <v>27.7184</v>
      </c>
      <c r="H130" t="n">
        <v>-0.0595</v>
      </c>
      <c r="I130" t="n">
        <v>-7022.19</v>
      </c>
      <c r="J130" t="n">
        <v>-0.0615</v>
      </c>
      <c r="K130" t="n">
        <v>3876</v>
      </c>
    </row>
    <row r="131">
      <c r="A131" t="inlineStr">
        <is>
          <t>APT-202201.ASX</t>
        </is>
      </c>
      <c r="B131" t="inlineStr">
        <is>
          <t>Afterpay Limited Ordinary</t>
        </is>
      </c>
      <c r="C131" t="inlineStr">
        <is>
          <t>Closed</t>
        </is>
      </c>
      <c r="D131" s="35" t="n">
        <v>43987</v>
      </c>
      <c r="E131" t="n">
        <v>46.53</v>
      </c>
      <c r="F131" s="35" t="n">
        <v>44085</v>
      </c>
      <c r="G131" t="n">
        <v>76.55</v>
      </c>
      <c r="H131" t="n">
        <v>0.6452</v>
      </c>
      <c r="I131" t="n">
        <v>73307.25</v>
      </c>
      <c r="J131" t="n">
        <v>0.6425</v>
      </c>
      <c r="K131" t="n">
        <v>2452</v>
      </c>
    </row>
    <row r="132">
      <c r="A132" t="inlineStr">
        <is>
          <t>TPM-202006.ASX</t>
        </is>
      </c>
      <c r="B132" t="inlineStr">
        <is>
          <t>TPG Telecom Limited Ordinary</t>
        </is>
      </c>
      <c r="C132" t="inlineStr">
        <is>
          <t>Closed</t>
        </is>
      </c>
      <c r="D132" s="35" t="n">
        <v>44008</v>
      </c>
      <c r="E132" t="n">
        <v>8.46111</v>
      </c>
      <c r="F132" s="35" t="n">
        <v>44011</v>
      </c>
      <c r="G132" t="n">
        <v>8.291512000000001</v>
      </c>
      <c r="H132" t="n">
        <v>-0.02</v>
      </c>
      <c r="I132" t="n">
        <v>-2515.2</v>
      </c>
      <c r="J132" t="n">
        <v>-0.022</v>
      </c>
      <c r="K132" t="n">
        <v>13497</v>
      </c>
    </row>
    <row r="133">
      <c r="A133" t="inlineStr">
        <is>
          <t>SPK.ASX</t>
        </is>
      </c>
      <c r="B133" t="inlineStr">
        <is>
          <t>Spark New Zealand Limited Ordinary Foreign Exempt NZX</t>
        </is>
      </c>
      <c r="C133" t="inlineStr">
        <is>
          <t>Closed</t>
        </is>
      </c>
      <c r="D133" s="35" t="n">
        <v>42307</v>
      </c>
      <c r="E133" t="n">
        <v>1.725831</v>
      </c>
      <c r="F133" s="35" t="n">
        <v>43917</v>
      </c>
      <c r="G133" t="n">
        <v>2.482676</v>
      </c>
      <c r="H133" t="n">
        <v>0.4385</v>
      </c>
      <c r="I133" t="n">
        <v>28893.71</v>
      </c>
      <c r="J133" t="n">
        <v>0.4361</v>
      </c>
      <c r="K133" t="n">
        <v>38390</v>
      </c>
    </row>
    <row r="134">
      <c r="A134" t="inlineStr">
        <is>
          <t>NXT.ASX</t>
        </is>
      </c>
      <c r="B134" t="inlineStr">
        <is>
          <t>Nextdc Limited Ordinary</t>
        </is>
      </c>
      <c r="C134" t="inlineStr">
        <is>
          <t>Closed</t>
        </is>
      </c>
      <c r="D134" s="35" t="n">
        <v>43504</v>
      </c>
      <c r="E134" t="n">
        <v>6.661981</v>
      </c>
      <c r="F134" s="35" t="n">
        <v>43910</v>
      </c>
      <c r="G134" t="n">
        <v>6.661981</v>
      </c>
      <c r="H134" t="n">
        <v>0</v>
      </c>
      <c r="I134" t="n">
        <v>-224.99</v>
      </c>
      <c r="J134" t="n">
        <v>-0.002</v>
      </c>
      <c r="K134" t="n">
        <v>16886</v>
      </c>
    </row>
    <row r="135">
      <c r="A135" t="inlineStr">
        <is>
          <t>GOZ.ASX</t>
        </is>
      </c>
      <c r="B135" t="inlineStr">
        <is>
          <t>Growthpoint Properties Australia Ordinary/Units Stapled Securities</t>
        </is>
      </c>
      <c r="C135" t="inlineStr">
        <is>
          <t>Closed</t>
        </is>
      </c>
      <c r="D135" s="35" t="n">
        <v>42650</v>
      </c>
      <c r="E135" t="n">
        <v>1.993241</v>
      </c>
      <c r="F135" s="35" t="n">
        <v>43910</v>
      </c>
      <c r="G135" t="n">
        <v>2.485484</v>
      </c>
      <c r="H135" t="n">
        <v>0.247</v>
      </c>
      <c r="I135" t="n">
        <v>18898.91</v>
      </c>
      <c r="J135" t="n">
        <v>0.2447</v>
      </c>
      <c r="K135" t="n">
        <v>38746</v>
      </c>
    </row>
    <row r="136">
      <c r="A136" t="inlineStr">
        <is>
          <t>VUK-202409.ASX</t>
        </is>
      </c>
      <c r="B136" t="inlineStr">
        <is>
          <t>Virgin Money UK PLC CDI 1:1 Foreign Exempt LSE</t>
        </is>
      </c>
      <c r="C136" t="inlineStr">
        <is>
          <t>Closed</t>
        </is>
      </c>
      <c r="D136" s="35" t="n">
        <v>43819</v>
      </c>
      <c r="E136" t="n">
        <v>3.704627</v>
      </c>
      <c r="F136" s="35" t="n">
        <v>43896</v>
      </c>
      <c r="G136" t="n">
        <v>2.652585</v>
      </c>
      <c r="H136" t="n">
        <v>-0.284</v>
      </c>
      <c r="I136" t="n">
        <v>-36908.5</v>
      </c>
      <c r="J136" t="n">
        <v>-0.2857</v>
      </c>
      <c r="K136" t="n">
        <v>34872</v>
      </c>
    </row>
    <row r="137">
      <c r="A137" t="inlineStr">
        <is>
          <t>RWC.ASX</t>
        </is>
      </c>
      <c r="B137" t="inlineStr">
        <is>
          <t>Reliance Worldwide Corporation Limited Ordinary</t>
        </is>
      </c>
      <c r="C137" t="inlineStr">
        <is>
          <t>Closed</t>
        </is>
      </c>
      <c r="D137" s="35" t="n">
        <v>43763</v>
      </c>
      <c r="E137" t="n">
        <v>3.569427</v>
      </c>
      <c r="F137" s="35" t="n">
        <v>43896</v>
      </c>
      <c r="G137" t="n">
        <v>2.928316</v>
      </c>
      <c r="H137" t="n">
        <v>-0.1796</v>
      </c>
      <c r="I137" t="n">
        <v>-22943.48</v>
      </c>
      <c r="J137" t="n">
        <v>-0.1814</v>
      </c>
      <c r="K137" t="n">
        <v>35428</v>
      </c>
    </row>
    <row r="138">
      <c r="A138" t="inlineStr">
        <is>
          <t>BAP.ASX</t>
        </is>
      </c>
      <c r="B138" t="inlineStr">
        <is>
          <t>Bapcor Limited Ordinary</t>
        </is>
      </c>
      <c r="C138" t="inlineStr">
        <is>
          <t>Closed</t>
        </is>
      </c>
      <c r="D138" s="35" t="n">
        <v>43721</v>
      </c>
      <c r="E138" t="n">
        <v>5.780077</v>
      </c>
      <c r="F138" s="35" t="n">
        <v>43896</v>
      </c>
      <c r="G138" t="n">
        <v>4.919689</v>
      </c>
      <c r="H138" t="n">
        <v>-0.1489</v>
      </c>
      <c r="I138" t="n">
        <v>-19919.16</v>
      </c>
      <c r="J138" t="n">
        <v>-0.1507</v>
      </c>
      <c r="K138" t="n">
        <v>22867</v>
      </c>
    </row>
    <row r="139">
      <c r="A139" t="inlineStr">
        <is>
          <t>IGO.ASX</t>
        </is>
      </c>
      <c r="B139" t="inlineStr">
        <is>
          <t>IGO Limited Ordinary</t>
        </is>
      </c>
      <c r="C139" t="inlineStr">
        <is>
          <t>Closed</t>
        </is>
      </c>
      <c r="D139" s="35" t="n">
        <v>43721</v>
      </c>
      <c r="E139" t="n">
        <v>5.064734</v>
      </c>
      <c r="F139" s="35" t="n">
        <v>43896</v>
      </c>
      <c r="G139" t="n">
        <v>4.382425</v>
      </c>
      <c r="H139" t="n">
        <v>-0.1347</v>
      </c>
      <c r="I139" t="n">
        <v>-18054.84</v>
      </c>
      <c r="J139" t="n">
        <v>-0.1366</v>
      </c>
      <c r="K139" t="n">
        <v>26100</v>
      </c>
    </row>
    <row r="140">
      <c r="A140" t="inlineStr">
        <is>
          <t>BPT.ASX</t>
        </is>
      </c>
      <c r="B140" t="inlineStr">
        <is>
          <t>Beach Energy Limited Ordinary</t>
        </is>
      </c>
      <c r="C140" t="inlineStr">
        <is>
          <t>Closed</t>
        </is>
      </c>
      <c r="D140" s="35" t="n">
        <v>43714</v>
      </c>
      <c r="E140" t="n">
        <v>2.137599</v>
      </c>
      <c r="F140" s="35" t="n">
        <v>43896</v>
      </c>
      <c r="G140" t="n">
        <v>1.513148</v>
      </c>
      <c r="H140" t="n">
        <v>-0.2921</v>
      </c>
      <c r="I140" t="n">
        <v>-38152.78</v>
      </c>
      <c r="J140" t="n">
        <v>-0.2938</v>
      </c>
      <c r="K140" t="n">
        <v>60743</v>
      </c>
    </row>
    <row r="141">
      <c r="A141" t="inlineStr">
        <is>
          <t>APT-202201.ASX</t>
        </is>
      </c>
      <c r="B141" t="inlineStr">
        <is>
          <t>Afterpay Limited Ordinary</t>
        </is>
      </c>
      <c r="C141" t="inlineStr">
        <is>
          <t>Closed</t>
        </is>
      </c>
      <c r="D141" s="35" t="n">
        <v>43714</v>
      </c>
      <c r="E141" t="n">
        <v>30.9</v>
      </c>
      <c r="F141" s="35" t="n">
        <v>43896</v>
      </c>
      <c r="G141" t="n">
        <v>32.18</v>
      </c>
      <c r="H141" t="n">
        <v>0.0414</v>
      </c>
      <c r="I141" t="n">
        <v>5113.5</v>
      </c>
      <c r="J141" t="n">
        <v>0.0394</v>
      </c>
      <c r="K141" t="n">
        <v>4202</v>
      </c>
    </row>
    <row r="142">
      <c r="A142" t="inlineStr">
        <is>
          <t>NAN.ASX</t>
        </is>
      </c>
      <c r="B142" t="inlineStr">
        <is>
          <t>Nanosonics Limited Ordinary</t>
        </is>
      </c>
      <c r="C142" t="inlineStr">
        <is>
          <t>Closed</t>
        </is>
      </c>
      <c r="D142" s="35" t="n">
        <v>43714</v>
      </c>
      <c r="E142" t="n">
        <v>6.69</v>
      </c>
      <c r="F142" s="35" t="n">
        <v>43896</v>
      </c>
      <c r="G142" t="n">
        <v>6.65</v>
      </c>
      <c r="H142" t="n">
        <v>-0.006</v>
      </c>
      <c r="I142" t="n">
        <v>-1035.49</v>
      </c>
      <c r="J142" t="n">
        <v>-0.008</v>
      </c>
      <c r="K142" t="n">
        <v>19413</v>
      </c>
    </row>
    <row r="143">
      <c r="A143" t="inlineStr">
        <is>
          <t>PME.ASX</t>
        </is>
      </c>
      <c r="B143" t="inlineStr">
        <is>
          <t>Pro Medicus Limited Ordinary</t>
        </is>
      </c>
      <c r="C143" t="inlineStr">
        <is>
          <t>Closed</t>
        </is>
      </c>
      <c r="D143" s="35" t="n">
        <v>43714</v>
      </c>
      <c r="E143" t="n">
        <v>36.00381</v>
      </c>
      <c r="F143" s="35" t="n">
        <v>43896</v>
      </c>
      <c r="G143" t="n">
        <v>19.30615</v>
      </c>
      <c r="H143" t="n">
        <v>-0.4638</v>
      </c>
      <c r="I143" t="n">
        <v>-60444.72</v>
      </c>
      <c r="J143" t="n">
        <v>-0.4653</v>
      </c>
      <c r="K143" t="n">
        <v>3608</v>
      </c>
    </row>
    <row r="144">
      <c r="A144" t="inlineStr">
        <is>
          <t>ALL.ASX</t>
        </is>
      </c>
      <c r="B144" t="inlineStr">
        <is>
          <t>Aristocrat Leisure Limited Ordinary</t>
        </is>
      </c>
      <c r="C144" t="inlineStr">
        <is>
          <t>Closed</t>
        </is>
      </c>
      <c r="D144" s="35" t="n">
        <v>43609</v>
      </c>
      <c r="E144" t="n">
        <v>25.52162</v>
      </c>
      <c r="F144" s="35" t="n">
        <v>43896</v>
      </c>
      <c r="G144" t="n">
        <v>30.32648</v>
      </c>
      <c r="H144" t="n">
        <v>0.1883</v>
      </c>
      <c r="I144" t="n">
        <v>24215.21</v>
      </c>
      <c r="J144" t="n">
        <v>0.1861</v>
      </c>
      <c r="K144" t="n">
        <v>5099</v>
      </c>
    </row>
    <row r="145">
      <c r="A145" t="inlineStr">
        <is>
          <t>HVN.ASX</t>
        </is>
      </c>
      <c r="B145" t="inlineStr">
        <is>
          <t>Harvey Norman Holdings Limited Ordinary</t>
        </is>
      </c>
      <c r="C145" t="inlineStr">
        <is>
          <t>Closed</t>
        </is>
      </c>
      <c r="D145" s="35" t="n">
        <v>43497</v>
      </c>
      <c r="E145" t="n">
        <v>2.340436</v>
      </c>
      <c r="F145" s="35" t="n">
        <v>43896</v>
      </c>
      <c r="G145" t="n">
        <v>2.596925</v>
      </c>
      <c r="H145" t="n">
        <v>0.1096</v>
      </c>
      <c r="I145" t="n">
        <v>11877.51</v>
      </c>
      <c r="J145" t="n">
        <v>0.1075</v>
      </c>
      <c r="K145" t="n">
        <v>47217</v>
      </c>
    </row>
    <row r="146">
      <c r="A146" t="inlineStr">
        <is>
          <t>FMG.ASX</t>
        </is>
      </c>
      <c r="B146" t="inlineStr">
        <is>
          <t>Fortescue Ltd Ordinary</t>
        </is>
      </c>
      <c r="C146" t="inlineStr">
        <is>
          <t>Closed</t>
        </is>
      </c>
      <c r="D146" s="35" t="n">
        <v>43483</v>
      </c>
      <c r="E146" t="n">
        <v>2.110858</v>
      </c>
      <c r="F146" s="35" t="n">
        <v>43896</v>
      </c>
      <c r="G146" t="n">
        <v>5.245648</v>
      </c>
      <c r="H146" t="n">
        <v>1.4851</v>
      </c>
      <c r="I146" t="n">
        <v>161791.47</v>
      </c>
      <c r="J146" t="n">
        <v>1.4816</v>
      </c>
      <c r="K146" t="n">
        <v>51733</v>
      </c>
    </row>
    <row r="147">
      <c r="A147" t="inlineStr">
        <is>
          <t>NCM-202310.ASX</t>
        </is>
      </c>
      <c r="B147" t="inlineStr">
        <is>
          <t>Newcrest Mining Limited Ordinary</t>
        </is>
      </c>
      <c r="C147" t="inlineStr">
        <is>
          <t>Closed</t>
        </is>
      </c>
      <c r="D147" s="35" t="n">
        <v>43483</v>
      </c>
      <c r="E147" t="n">
        <v>20.13663</v>
      </c>
      <c r="F147" s="35" t="n">
        <v>43896</v>
      </c>
      <c r="G147" t="n">
        <v>21.46065</v>
      </c>
      <c r="H147" t="n">
        <v>0.0658</v>
      </c>
      <c r="I147" t="n">
        <v>6954.58</v>
      </c>
      <c r="J147" t="n">
        <v>0.06370000000000001</v>
      </c>
      <c r="K147" t="n">
        <v>5423</v>
      </c>
    </row>
    <row r="148">
      <c r="A148" t="inlineStr">
        <is>
          <t>AST-202202.ASX</t>
        </is>
      </c>
      <c r="B148" t="inlineStr">
        <is>
          <t>Ausnet Services Limited Ordinary</t>
        </is>
      </c>
      <c r="C148" t="inlineStr">
        <is>
          <t>Closed</t>
        </is>
      </c>
      <c r="D148" s="35" t="n">
        <v>41250</v>
      </c>
      <c r="E148" t="n">
        <v>0.6356159</v>
      </c>
      <c r="F148" s="35" t="n">
        <v>43812</v>
      </c>
      <c r="G148" t="n">
        <v>1.516236</v>
      </c>
      <c r="H148" t="n">
        <v>1.3855</v>
      </c>
      <c r="I148" t="n">
        <v>67347.77</v>
      </c>
      <c r="J148" t="n">
        <v>1.3821</v>
      </c>
      <c r="K148" t="n">
        <v>76665</v>
      </c>
    </row>
    <row r="149">
      <c r="A149" t="inlineStr">
        <is>
          <t>WTC.ASX</t>
        </is>
      </c>
      <c r="B149" t="inlineStr">
        <is>
          <t>Wisetech Global Limited Ordinary</t>
        </is>
      </c>
      <c r="C149" t="inlineStr">
        <is>
          <t>Closed</t>
        </is>
      </c>
      <c r="D149" s="35" t="n">
        <v>43714</v>
      </c>
      <c r="E149" t="n">
        <v>36.29581</v>
      </c>
      <c r="F149" s="35" t="n">
        <v>43763</v>
      </c>
      <c r="G149" t="n">
        <v>26.51852</v>
      </c>
      <c r="H149" t="n">
        <v>-0.2694</v>
      </c>
      <c r="I149" t="n">
        <v>-35207.89</v>
      </c>
      <c r="J149" t="n">
        <v>-0.2711</v>
      </c>
      <c r="K149" t="n">
        <v>3578</v>
      </c>
    </row>
    <row r="150">
      <c r="A150" t="inlineStr">
        <is>
          <t>ING.ASX</t>
        </is>
      </c>
      <c r="B150" t="inlineStr">
        <is>
          <t>Inghams Group Limited Ordinary</t>
        </is>
      </c>
      <c r="C150" t="inlineStr">
        <is>
          <t>Closed</t>
        </is>
      </c>
      <c r="D150" s="35" t="n">
        <v>43497</v>
      </c>
      <c r="E150" t="n">
        <v>3.40184</v>
      </c>
      <c r="F150" s="35" t="n">
        <v>43714</v>
      </c>
      <c r="G150" t="n">
        <v>2.400929</v>
      </c>
      <c r="H150" t="n">
        <v>-0.2942</v>
      </c>
      <c r="I150" t="n">
        <v>-32711.15</v>
      </c>
      <c r="J150" t="n">
        <v>-0.2959</v>
      </c>
      <c r="K150" t="n">
        <v>32493</v>
      </c>
    </row>
    <row r="151">
      <c r="A151" t="inlineStr">
        <is>
          <t>GEM.ASX</t>
        </is>
      </c>
      <c r="B151" t="inlineStr">
        <is>
          <t>G8 Education Limited Ordinary</t>
        </is>
      </c>
      <c r="C151" t="inlineStr">
        <is>
          <t>Closed</t>
        </is>
      </c>
      <c r="D151" s="35" t="n">
        <v>43497</v>
      </c>
      <c r="E151" t="n">
        <v>2.240127</v>
      </c>
      <c r="F151" s="35" t="n">
        <v>43714</v>
      </c>
      <c r="G151" t="n">
        <v>1.938933</v>
      </c>
      <c r="H151" t="n">
        <v>-0.1345</v>
      </c>
      <c r="I151" t="n">
        <v>-15069.86</v>
      </c>
      <c r="J151" t="n">
        <v>-0.1363</v>
      </c>
      <c r="K151" t="n">
        <v>49349</v>
      </c>
    </row>
    <row r="152">
      <c r="A152" t="inlineStr">
        <is>
          <t>BIN-202107.ASX</t>
        </is>
      </c>
      <c r="B152" t="inlineStr">
        <is>
          <t>Bingo Industries Limited Ordinary</t>
        </is>
      </c>
      <c r="C152" t="inlineStr">
        <is>
          <t>Closed</t>
        </is>
      </c>
      <c r="D152" s="35" t="n">
        <v>43644</v>
      </c>
      <c r="E152" t="n">
        <v>2.208281</v>
      </c>
      <c r="F152" s="35" t="n">
        <v>43707</v>
      </c>
      <c r="G152" t="n">
        <v>2.142502</v>
      </c>
      <c r="H152" t="n">
        <v>-0.0298</v>
      </c>
      <c r="I152" t="n">
        <v>-4281.56</v>
      </c>
      <c r="J152" t="n">
        <v>-0.0318</v>
      </c>
      <c r="K152" t="n">
        <v>61052</v>
      </c>
    </row>
    <row r="153">
      <c r="A153" t="inlineStr">
        <is>
          <t>RRL.ASX</t>
        </is>
      </c>
      <c r="B153" t="inlineStr">
        <is>
          <t>Regis Resources Limited Ordinary</t>
        </is>
      </c>
      <c r="C153" t="inlineStr">
        <is>
          <t>Closed</t>
        </is>
      </c>
      <c r="D153" s="35" t="n">
        <v>43504</v>
      </c>
      <c r="E153" t="n">
        <v>4.58667</v>
      </c>
      <c r="F153" s="35" t="n">
        <v>43707</v>
      </c>
      <c r="G153" t="n">
        <v>4.758821</v>
      </c>
      <c r="H153" t="n">
        <v>0.0375</v>
      </c>
      <c r="I153" t="n">
        <v>3994.11</v>
      </c>
      <c r="J153" t="n">
        <v>0.0355</v>
      </c>
      <c r="K153" t="n">
        <v>24533</v>
      </c>
    </row>
    <row r="154">
      <c r="A154" t="inlineStr">
        <is>
          <t>IEL.ASX</t>
        </is>
      </c>
      <c r="B154" t="inlineStr">
        <is>
          <t>IDP Education Limited Ordinary</t>
        </is>
      </c>
      <c r="C154" t="inlineStr">
        <is>
          <t>Closed</t>
        </is>
      </c>
      <c r="D154" s="35" t="n">
        <v>43252</v>
      </c>
      <c r="E154" t="n">
        <v>8.170507000000001</v>
      </c>
      <c r="F154" s="35" t="n">
        <v>43707</v>
      </c>
      <c r="G154" t="n">
        <v>14.82586</v>
      </c>
      <c r="H154" t="n">
        <v>0.8146</v>
      </c>
      <c r="I154" t="n">
        <v>84012.14999999999</v>
      </c>
      <c r="J154" t="n">
        <v>0.8117</v>
      </c>
      <c r="K154" t="n">
        <v>12667</v>
      </c>
    </row>
    <row r="155">
      <c r="A155" t="inlineStr">
        <is>
          <t>A2M.ASX</t>
        </is>
      </c>
      <c r="B155" t="inlineStr">
        <is>
          <t>The A2 Milk Company Limited Ordinary</t>
        </is>
      </c>
      <c r="C155" t="inlineStr">
        <is>
          <t>Closed</t>
        </is>
      </c>
      <c r="D155" s="35" t="n">
        <v>43504</v>
      </c>
      <c r="E155" t="n">
        <v>12.09375</v>
      </c>
      <c r="F155" s="35" t="n">
        <v>43700</v>
      </c>
      <c r="G155" t="n">
        <v>14.93118</v>
      </c>
      <c r="H155" t="n">
        <v>0.2346</v>
      </c>
      <c r="I155" t="n">
        <v>26145.11</v>
      </c>
      <c r="J155" t="n">
        <v>0.2324</v>
      </c>
      <c r="K155" t="n">
        <v>9303</v>
      </c>
    </row>
    <row r="156">
      <c r="A156" t="inlineStr">
        <is>
          <t>APX.ASX</t>
        </is>
      </c>
      <c r="B156" t="inlineStr">
        <is>
          <t>Appen Limited Ordinary</t>
        </is>
      </c>
      <c r="C156" t="inlineStr">
        <is>
          <t>Closed</t>
        </is>
      </c>
      <c r="D156" s="35" t="n">
        <v>43497</v>
      </c>
      <c r="E156" t="n">
        <v>14.00183</v>
      </c>
      <c r="F156" s="35" t="n">
        <v>43700</v>
      </c>
      <c r="G156" t="n">
        <v>20.11231</v>
      </c>
      <c r="H156" t="n">
        <v>0.4364</v>
      </c>
      <c r="I156" t="n">
        <v>47960.76</v>
      </c>
      <c r="J156" t="n">
        <v>0.434</v>
      </c>
      <c r="K156" t="n">
        <v>7893</v>
      </c>
    </row>
    <row r="157">
      <c r="A157" t="inlineStr">
        <is>
          <t>NVT-201906.ASX</t>
        </is>
      </c>
      <c r="B157" t="inlineStr">
        <is>
          <t>Navitas Limited Ordinary</t>
        </is>
      </c>
      <c r="C157" t="inlineStr">
        <is>
          <t>Closed</t>
        </is>
      </c>
      <c r="D157" s="35" t="n">
        <v>43490</v>
      </c>
      <c r="E157" t="n">
        <v>5.66</v>
      </c>
      <c r="F157" s="35" t="n">
        <v>43640</v>
      </c>
      <c r="G157" t="n">
        <v>5.82</v>
      </c>
      <c r="H157" t="n">
        <v>0.0283</v>
      </c>
      <c r="I157" t="n">
        <v>2880.4</v>
      </c>
      <c r="J157" t="n">
        <v>0.0262</v>
      </c>
      <c r="K157" t="n">
        <v>19394</v>
      </c>
    </row>
    <row r="158">
      <c r="A158" t="inlineStr">
        <is>
          <t>HSO-201905.ASX</t>
        </is>
      </c>
      <c r="B158" t="inlineStr">
        <is>
          <t>Healthscope Limited Ordinary</t>
        </is>
      </c>
      <c r="C158" t="inlineStr">
        <is>
          <t>Closed</t>
        </is>
      </c>
      <c r="D158" s="35" t="n">
        <v>43490</v>
      </c>
      <c r="E158" t="n">
        <v>2.346411</v>
      </c>
      <c r="F158" s="35" t="n">
        <v>43609</v>
      </c>
      <c r="G158" t="n">
        <v>2.46</v>
      </c>
      <c r="H158" t="n">
        <v>0.0484</v>
      </c>
      <c r="I158" t="n">
        <v>5088.52</v>
      </c>
      <c r="J158" t="n">
        <v>0.0464</v>
      </c>
      <c r="K158" t="n">
        <v>46777</v>
      </c>
    </row>
    <row r="159">
      <c r="A159" t="inlineStr">
        <is>
          <t>ALQ.ASX</t>
        </is>
      </c>
      <c r="B159" t="inlineStr">
        <is>
          <t>ALS Limited Ordinary</t>
        </is>
      </c>
      <c r="C159" t="inlineStr">
        <is>
          <t>Closed</t>
        </is>
      </c>
      <c r="D159" s="35" t="n">
        <v>43224</v>
      </c>
      <c r="E159" t="n">
        <v>6.491221</v>
      </c>
      <c r="F159" s="35" t="n">
        <v>43434</v>
      </c>
      <c r="G159" t="n">
        <v>6.055468</v>
      </c>
      <c r="H159" t="n">
        <v>-0.06710000000000001</v>
      </c>
      <c r="I159" t="n">
        <v>-7218.97</v>
      </c>
      <c r="J159" t="n">
        <v>-0.06909999999999999</v>
      </c>
      <c r="K159" t="n">
        <v>16103</v>
      </c>
    </row>
    <row r="160">
      <c r="A160" t="inlineStr">
        <is>
          <t>STO.ASX</t>
        </is>
      </c>
      <c r="B160" t="inlineStr">
        <is>
          <t>Santos Limited Ordinary</t>
        </is>
      </c>
      <c r="C160" t="inlineStr">
        <is>
          <t>Closed</t>
        </is>
      </c>
      <c r="D160" s="35" t="n">
        <v>43224</v>
      </c>
      <c r="E160" t="n">
        <v>4.875105</v>
      </c>
      <c r="F160" s="35" t="n">
        <v>43413</v>
      </c>
      <c r="G160" t="n">
        <v>5.052276</v>
      </c>
      <c r="H160" t="n">
        <v>0.0363</v>
      </c>
      <c r="I160" t="n">
        <v>3585.03</v>
      </c>
      <c r="J160" t="n">
        <v>0.0343</v>
      </c>
      <c r="K160" t="n">
        <v>21436</v>
      </c>
    </row>
    <row r="161">
      <c r="A161" t="inlineStr">
        <is>
          <t>SUL.ASX</t>
        </is>
      </c>
      <c r="B161" t="inlineStr">
        <is>
          <t>Super Retail Group Limited Ordinary</t>
        </is>
      </c>
      <c r="C161" t="inlineStr">
        <is>
          <t>Closed</t>
        </is>
      </c>
      <c r="D161" s="35" t="n">
        <v>43315</v>
      </c>
      <c r="E161" t="n">
        <v>6.008564</v>
      </c>
      <c r="F161" s="35" t="n">
        <v>43406</v>
      </c>
      <c r="G161" t="n">
        <v>5.021717</v>
      </c>
      <c r="H161" t="n">
        <v>-0.1642</v>
      </c>
      <c r="I161" t="n">
        <v>-18292.09</v>
      </c>
      <c r="J161" t="n">
        <v>-0.1661</v>
      </c>
      <c r="K161" t="n">
        <v>18331</v>
      </c>
    </row>
    <row r="162">
      <c r="A162" t="inlineStr">
        <is>
          <t>SOL.ASX</t>
        </is>
      </c>
      <c r="B162" t="inlineStr">
        <is>
          <t>Washington H Soul Pattinson &amp; Company Limited Ordinary</t>
        </is>
      </c>
      <c r="C162" t="inlineStr">
        <is>
          <t>Closed</t>
        </is>
      </c>
      <c r="D162" s="35" t="n">
        <v>43224</v>
      </c>
      <c r="E162" t="n">
        <v>16.21316</v>
      </c>
      <c r="F162" s="35" t="n">
        <v>43406</v>
      </c>
      <c r="G162" t="n">
        <v>22.11646</v>
      </c>
      <c r="H162" t="n">
        <v>0.3641</v>
      </c>
      <c r="I162" t="n">
        <v>37805.6</v>
      </c>
      <c r="J162" t="n">
        <v>0.3617</v>
      </c>
      <c r="K162" t="n">
        <v>6446</v>
      </c>
    </row>
    <row r="163">
      <c r="A163" t="inlineStr">
        <is>
          <t>TWE.ASX</t>
        </is>
      </c>
      <c r="B163" t="inlineStr">
        <is>
          <t>Treasury Wine Estates Limited Ordinary</t>
        </is>
      </c>
      <c r="C163" t="inlineStr">
        <is>
          <t>Closed</t>
        </is>
      </c>
      <c r="D163" s="35" t="n">
        <v>42307</v>
      </c>
      <c r="E163" t="n">
        <v>5.627447</v>
      </c>
      <c r="F163" s="35" t="n">
        <v>43406</v>
      </c>
      <c r="G163" t="n">
        <v>12.46698</v>
      </c>
      <c r="H163" t="n">
        <v>1.2154</v>
      </c>
      <c r="I163" t="n">
        <v>80329.25999999999</v>
      </c>
      <c r="J163" t="n">
        <v>1.2122</v>
      </c>
      <c r="K163" t="n">
        <v>11776</v>
      </c>
    </row>
    <row r="164">
      <c r="A164" t="inlineStr">
        <is>
          <t>BPT.ASX</t>
        </is>
      </c>
      <c r="B164" t="inlineStr">
        <is>
          <t>Beach Energy Limited Ordinary</t>
        </is>
      </c>
      <c r="C164" t="inlineStr">
        <is>
          <t>Closed</t>
        </is>
      </c>
      <c r="D164" s="35" t="n">
        <v>43224</v>
      </c>
      <c r="E164" t="n">
        <v>1.38681</v>
      </c>
      <c r="F164" s="35" t="n">
        <v>43392</v>
      </c>
      <c r="G164" t="n">
        <v>1.588404</v>
      </c>
      <c r="H164" t="n">
        <v>0.1454</v>
      </c>
      <c r="I164" t="n">
        <v>14972.48</v>
      </c>
      <c r="J164" t="n">
        <v>0.1432</v>
      </c>
      <c r="K164" t="n">
        <v>75383</v>
      </c>
    </row>
    <row r="165">
      <c r="A165" t="inlineStr">
        <is>
          <t>AWC-202407.ASX</t>
        </is>
      </c>
      <c r="B165" t="inlineStr">
        <is>
          <t>Alumina Limited Ordinary</t>
        </is>
      </c>
      <c r="C165" t="inlineStr">
        <is>
          <t>Closed</t>
        </is>
      </c>
      <c r="D165" s="35" t="n">
        <v>42706</v>
      </c>
      <c r="E165" t="n">
        <v>1.153175</v>
      </c>
      <c r="F165" s="35" t="n">
        <v>43392</v>
      </c>
      <c r="G165" t="n">
        <v>1.998278</v>
      </c>
      <c r="H165" t="n">
        <v>0.7328</v>
      </c>
      <c r="I165" t="n">
        <v>53762.82</v>
      </c>
      <c r="J165" t="n">
        <v>0.7301</v>
      </c>
      <c r="K165" t="n">
        <v>63855</v>
      </c>
    </row>
    <row r="166">
      <c r="A166" t="inlineStr">
        <is>
          <t>APO-201810.ASX</t>
        </is>
      </c>
      <c r="B166" t="inlineStr">
        <is>
          <t>APN Outdoor Group Limited Ordinary</t>
        </is>
      </c>
      <c r="C166" t="inlineStr">
        <is>
          <t>Closed</t>
        </is>
      </c>
      <c r="D166" s="35" t="n">
        <v>43224</v>
      </c>
      <c r="E166" t="n">
        <v>5.122944</v>
      </c>
      <c r="F166" s="35" t="n">
        <v>43391</v>
      </c>
      <c r="G166" t="n">
        <v>6.39</v>
      </c>
      <c r="H166" t="n">
        <v>0.2473</v>
      </c>
      <c r="I166" t="n">
        <v>25608.06</v>
      </c>
      <c r="J166" t="n">
        <v>0.2451</v>
      </c>
      <c r="K166" t="n">
        <v>20396</v>
      </c>
    </row>
    <row r="167">
      <c r="A167" t="inlineStr">
        <is>
          <t>RWC.ASX</t>
        </is>
      </c>
      <c r="B167" t="inlineStr">
        <is>
          <t>Reliance Worldwide Corporation Limited Ordinary</t>
        </is>
      </c>
      <c r="C167" t="inlineStr">
        <is>
          <t>Closed</t>
        </is>
      </c>
      <c r="D167" s="35" t="n">
        <v>43224</v>
      </c>
      <c r="E167" t="n">
        <v>3.892031</v>
      </c>
      <c r="F167" s="35" t="n">
        <v>43357</v>
      </c>
      <c r="G167" t="n">
        <v>4.494194</v>
      </c>
      <c r="H167" t="n">
        <v>0.1547</v>
      </c>
      <c r="I167" t="n">
        <v>15951.22</v>
      </c>
      <c r="J167" t="n">
        <v>0.1526</v>
      </c>
      <c r="K167" t="n">
        <v>26864</v>
      </c>
    </row>
    <row r="168">
      <c r="A168" t="inlineStr">
        <is>
          <t>XRO.ASX</t>
        </is>
      </c>
      <c r="B168" t="inlineStr">
        <is>
          <t>Xero Limited Ordinary</t>
        </is>
      </c>
      <c r="C168" t="inlineStr">
        <is>
          <t>Closed</t>
        </is>
      </c>
      <c r="D168" s="35" t="n">
        <v>43224</v>
      </c>
      <c r="E168" t="n">
        <v>38.5</v>
      </c>
      <c r="F168" s="35" t="n">
        <v>43357</v>
      </c>
      <c r="G168" t="n">
        <v>47.3</v>
      </c>
      <c r="H168" t="n">
        <v>0.2286</v>
      </c>
      <c r="I168" t="n">
        <v>23667.77</v>
      </c>
      <c r="J168" t="n">
        <v>0.2263</v>
      </c>
      <c r="K168" t="n">
        <v>2716</v>
      </c>
    </row>
    <row r="169">
      <c r="A169" t="inlineStr">
        <is>
          <t>ORI.ASX</t>
        </is>
      </c>
      <c r="B169" t="inlineStr">
        <is>
          <t>Orica Limited Ordinary</t>
        </is>
      </c>
      <c r="C169" t="inlineStr">
        <is>
          <t>Closed</t>
        </is>
      </c>
      <c r="D169" s="35" t="n">
        <v>43224</v>
      </c>
      <c r="E169" t="n">
        <v>16.62419</v>
      </c>
      <c r="F169" s="35" t="n">
        <v>43329</v>
      </c>
      <c r="G169" t="n">
        <v>14.44931</v>
      </c>
      <c r="H169" t="n">
        <v>-0.1308</v>
      </c>
      <c r="I169" t="n">
        <v>-13860.01</v>
      </c>
      <c r="J169" t="n">
        <v>-0.1327</v>
      </c>
      <c r="K169" t="n">
        <v>6283</v>
      </c>
    </row>
    <row r="170">
      <c r="A170" t="inlineStr">
        <is>
          <t>NUF.ASX</t>
        </is>
      </c>
      <c r="B170" t="inlineStr">
        <is>
          <t>Nufarm Limited Ordinary</t>
        </is>
      </c>
      <c r="C170" t="inlineStr">
        <is>
          <t>Closed</t>
        </is>
      </c>
      <c r="D170" s="35" t="n">
        <v>43224</v>
      </c>
      <c r="E170" t="n">
        <v>8.502827999999999</v>
      </c>
      <c r="F170" s="35" t="n">
        <v>43315</v>
      </c>
      <c r="G170" t="n">
        <v>6.704507</v>
      </c>
      <c r="H170" t="n">
        <v>-0.2115</v>
      </c>
      <c r="I170" t="n">
        <v>-22282.85</v>
      </c>
      <c r="J170" t="n">
        <v>-0.2133</v>
      </c>
      <c r="K170" t="n">
        <v>12287</v>
      </c>
    </row>
    <row r="171">
      <c r="A171" t="inlineStr">
        <is>
          <t>NAB.ASX</t>
        </is>
      </c>
      <c r="B171" t="inlineStr">
        <is>
          <t>National Australia Bank Limited Ordinary</t>
        </is>
      </c>
      <c r="C171" t="inlineStr">
        <is>
          <t>Closed</t>
        </is>
      </c>
      <c r="D171" s="35" t="n">
        <v>42706</v>
      </c>
      <c r="E171" t="n">
        <v>18.39866</v>
      </c>
      <c r="F171" s="35" t="n">
        <v>43252</v>
      </c>
      <c r="G171" t="n">
        <v>18.80854</v>
      </c>
      <c r="H171" t="n">
        <v>0.0223</v>
      </c>
      <c r="I171" t="n">
        <v>1491.06</v>
      </c>
      <c r="J171" t="n">
        <v>0.0203</v>
      </c>
      <c r="K171" t="n">
        <v>4001</v>
      </c>
    </row>
    <row r="172">
      <c r="A172" t="inlineStr">
        <is>
          <t>MIN.ASX</t>
        </is>
      </c>
      <c r="B172" t="inlineStr">
        <is>
          <t>Mineral Resources Limited Ordinary</t>
        </is>
      </c>
      <c r="C172" t="inlineStr">
        <is>
          <t>Closed</t>
        </is>
      </c>
      <c r="D172" s="35" t="n">
        <v>42972</v>
      </c>
      <c r="E172" t="n">
        <v>11.66482</v>
      </c>
      <c r="F172" s="35" t="n">
        <v>43168</v>
      </c>
      <c r="G172" t="n">
        <v>14.44498</v>
      </c>
      <c r="H172" t="n">
        <v>0.2383</v>
      </c>
      <c r="I172" t="n">
        <v>19267.34</v>
      </c>
      <c r="J172" t="n">
        <v>0.2361</v>
      </c>
      <c r="K172" t="n">
        <v>6996</v>
      </c>
    </row>
    <row r="173">
      <c r="A173" t="inlineStr">
        <is>
          <t>A2M.ASX</t>
        </is>
      </c>
      <c r="B173" t="inlineStr">
        <is>
          <t>The A2 Milk Company Limited Ordinary</t>
        </is>
      </c>
      <c r="C173" t="inlineStr">
        <is>
          <t>Closed</t>
        </is>
      </c>
      <c r="D173" s="35" t="n">
        <v>42706</v>
      </c>
      <c r="E173" t="n">
        <v>2.271919</v>
      </c>
      <c r="F173" s="35" t="n">
        <v>43161</v>
      </c>
      <c r="G173" t="n">
        <v>11.65723</v>
      </c>
      <c r="H173" t="n">
        <v>4.131</v>
      </c>
      <c r="I173" t="n">
        <v>303623.4</v>
      </c>
      <c r="J173" t="n">
        <v>4.1249</v>
      </c>
      <c r="K173" t="n">
        <v>32399</v>
      </c>
    </row>
    <row r="174">
      <c r="A174" t="inlineStr">
        <is>
          <t>CGF.ASX</t>
        </is>
      </c>
      <c r="B174" t="inlineStr">
        <is>
          <t>Challenger Limited Ordinary</t>
        </is>
      </c>
      <c r="C174" t="inlineStr">
        <is>
          <t>Closed</t>
        </is>
      </c>
      <c r="D174" s="35" t="n">
        <v>42804</v>
      </c>
      <c r="E174" t="n">
        <v>9.010967000000001</v>
      </c>
      <c r="F174" s="35" t="n">
        <v>43154</v>
      </c>
      <c r="G174" t="n">
        <v>9.454948999999999</v>
      </c>
      <c r="H174" t="n">
        <v>0.0493</v>
      </c>
      <c r="I174" t="n">
        <v>3556.87</v>
      </c>
      <c r="J174" t="n">
        <v>0.0472</v>
      </c>
      <c r="K174" t="n">
        <v>8359</v>
      </c>
    </row>
    <row r="175">
      <c r="A175" t="inlineStr">
        <is>
          <t>ALU-202407.ASX</t>
        </is>
      </c>
      <c r="B175" t="inlineStr">
        <is>
          <t>Altium Limited Ordinary</t>
        </is>
      </c>
      <c r="C175" t="inlineStr">
        <is>
          <t>Closed</t>
        </is>
      </c>
      <c r="D175" s="35" t="n">
        <v>43028</v>
      </c>
      <c r="E175" t="n">
        <v>10.73649</v>
      </c>
      <c r="F175" s="35" t="n">
        <v>43147</v>
      </c>
      <c r="G175" t="n">
        <v>13.05039</v>
      </c>
      <c r="H175" t="n">
        <v>0.2155</v>
      </c>
      <c r="I175" t="n">
        <v>19438.48</v>
      </c>
      <c r="J175" t="n">
        <v>0.2133</v>
      </c>
      <c r="K175" t="n">
        <v>8488</v>
      </c>
    </row>
    <row r="176">
      <c r="A176" t="inlineStr">
        <is>
          <t>GXY-202108.ASX</t>
        </is>
      </c>
      <c r="B176" t="inlineStr">
        <is>
          <t>Galaxy Resources Limited Ordinary</t>
        </is>
      </c>
      <c r="C176" t="inlineStr">
        <is>
          <t>Closed</t>
        </is>
      </c>
      <c r="D176" s="35" t="n">
        <v>43028</v>
      </c>
      <c r="E176" t="n">
        <v>3.3165</v>
      </c>
      <c r="F176" s="35" t="n">
        <v>43147</v>
      </c>
      <c r="G176" t="n">
        <v>3.0987</v>
      </c>
      <c r="H176" t="n">
        <v>-0.06569999999999999</v>
      </c>
      <c r="I176" t="n">
        <v>-6162.33</v>
      </c>
      <c r="J176" t="n">
        <v>-0.06759999999999999</v>
      </c>
      <c r="K176" t="n">
        <v>27484</v>
      </c>
    </row>
    <row r="177">
      <c r="A177" t="inlineStr">
        <is>
          <t>PTM.ASX</t>
        </is>
      </c>
      <c r="B177" t="inlineStr">
        <is>
          <t>Platinum Asset Management Limited Ordinary</t>
        </is>
      </c>
      <c r="C177" t="inlineStr">
        <is>
          <t>Closed</t>
        </is>
      </c>
      <c r="D177" s="35" t="n">
        <v>42979</v>
      </c>
      <c r="E177" t="n">
        <v>2.658633</v>
      </c>
      <c r="F177" s="35" t="n">
        <v>43147</v>
      </c>
      <c r="G177" t="n">
        <v>3.441257</v>
      </c>
      <c r="H177" t="n">
        <v>0.2944</v>
      </c>
      <c r="I177" t="n">
        <v>24435.66</v>
      </c>
      <c r="J177" t="n">
        <v>0.2921</v>
      </c>
      <c r="K177" t="n">
        <v>31468</v>
      </c>
    </row>
    <row r="178">
      <c r="A178" t="inlineStr">
        <is>
          <t>MPL.ASX</t>
        </is>
      </c>
      <c r="B178" t="inlineStr">
        <is>
          <t>Medibank Private Limited Ordinary</t>
        </is>
      </c>
      <c r="C178" t="inlineStr">
        <is>
          <t>Closed</t>
        </is>
      </c>
      <c r="D178" s="35" t="n">
        <v>42440</v>
      </c>
      <c r="E178" t="n">
        <v>1.892495</v>
      </c>
      <c r="F178" s="35" t="n">
        <v>43147</v>
      </c>
      <c r="G178" t="n">
        <v>2.183437</v>
      </c>
      <c r="H178" t="n">
        <v>0.1537</v>
      </c>
      <c r="I178" t="n">
        <v>10371.64</v>
      </c>
      <c r="J178" t="n">
        <v>0.1516</v>
      </c>
      <c r="K178" t="n">
        <v>36155</v>
      </c>
    </row>
    <row r="179">
      <c r="A179" t="inlineStr">
        <is>
          <t>QAN.ASX</t>
        </is>
      </c>
      <c r="B179" t="inlineStr">
        <is>
          <t>Qantas Airways Limited Ordinary</t>
        </is>
      </c>
      <c r="C179" t="inlineStr">
        <is>
          <t>Closed</t>
        </is>
      </c>
      <c r="D179" s="35" t="n">
        <v>42979</v>
      </c>
      <c r="E179" t="n">
        <v>5.326696</v>
      </c>
      <c r="F179" s="35" t="n">
        <v>43112</v>
      </c>
      <c r="G179" t="n">
        <v>4.459851</v>
      </c>
      <c r="H179" t="n">
        <v>-0.1627</v>
      </c>
      <c r="I179" t="n">
        <v>-13770.13</v>
      </c>
      <c r="J179" t="n">
        <v>-0.1646</v>
      </c>
      <c r="K179" t="n">
        <v>15708</v>
      </c>
    </row>
    <row r="180">
      <c r="A180" t="inlineStr">
        <is>
          <t>NUF.ASX</t>
        </is>
      </c>
      <c r="B180" t="inlineStr">
        <is>
          <t>Nufarm Limited Ordinary</t>
        </is>
      </c>
      <c r="C180" t="inlineStr">
        <is>
          <t>Closed</t>
        </is>
      </c>
      <c r="D180" s="35" t="n">
        <v>42643</v>
      </c>
      <c r="E180" t="n">
        <v>7.887481</v>
      </c>
      <c r="F180" s="35" t="n">
        <v>43014</v>
      </c>
      <c r="G180" t="n">
        <v>7.431809</v>
      </c>
      <c r="H180" t="n">
        <v>-0.0578</v>
      </c>
      <c r="I180" t="n">
        <v>-4533.76</v>
      </c>
      <c r="J180" t="n">
        <v>-0.0597</v>
      </c>
      <c r="K180" t="n">
        <v>9626</v>
      </c>
    </row>
    <row r="181">
      <c r="A181" t="inlineStr">
        <is>
          <t>BSL.ASX</t>
        </is>
      </c>
      <c r="B181" t="inlineStr">
        <is>
          <t>Bluescope Steel Limited Ordinary</t>
        </is>
      </c>
      <c r="C181" t="inlineStr">
        <is>
          <t>Closed</t>
        </is>
      </c>
      <c r="D181" s="35" t="n">
        <v>42706</v>
      </c>
      <c r="E181" t="n">
        <v>8.114193999999999</v>
      </c>
      <c r="F181" s="35" t="n">
        <v>42986</v>
      </c>
      <c r="G181" t="n">
        <v>9.424123</v>
      </c>
      <c r="H181" t="n">
        <v>0.1614</v>
      </c>
      <c r="I181" t="n">
        <v>11721.99</v>
      </c>
      <c r="J181" t="n">
        <v>0.1593</v>
      </c>
      <c r="K181" t="n">
        <v>9070</v>
      </c>
    </row>
    <row r="182">
      <c r="A182" t="inlineStr">
        <is>
          <t>TGR-202211.ASX</t>
        </is>
      </c>
      <c r="B182" t="inlineStr">
        <is>
          <t>Tassal Group Limited Ordinary</t>
        </is>
      </c>
      <c r="C182" t="inlineStr">
        <is>
          <t>Closed</t>
        </is>
      </c>
      <c r="D182" s="35" t="n">
        <v>42566</v>
      </c>
      <c r="E182" t="n">
        <v>3.391871</v>
      </c>
      <c r="F182" s="35" t="n">
        <v>42909</v>
      </c>
      <c r="G182" t="n">
        <v>3.231197</v>
      </c>
      <c r="H182" t="n">
        <v>-0.0474</v>
      </c>
      <c r="I182" t="n">
        <v>-3612.11</v>
      </c>
      <c r="J182" t="n">
        <v>-0.0493</v>
      </c>
      <c r="K182" t="n">
        <v>21591</v>
      </c>
    </row>
    <row r="183">
      <c r="A183" t="inlineStr">
        <is>
          <t>JHX.ASX</t>
        </is>
      </c>
      <c r="B183" t="inlineStr">
        <is>
          <t>James Hardie Industries PLC CDI 1:1</t>
        </is>
      </c>
      <c r="C183" t="inlineStr">
        <is>
          <t>Closed</t>
        </is>
      </c>
      <c r="D183" s="35" t="n">
        <v>42482</v>
      </c>
      <c r="E183" t="n">
        <v>16.76388</v>
      </c>
      <c r="F183" s="35" t="n">
        <v>42881</v>
      </c>
      <c r="G183" t="n">
        <v>18.47192</v>
      </c>
      <c r="H183" t="n">
        <v>0.1019</v>
      </c>
      <c r="I183" t="n">
        <v>6855.15</v>
      </c>
      <c r="J183" t="n">
        <v>0.0998</v>
      </c>
      <c r="K183" t="n">
        <v>4098</v>
      </c>
    </row>
    <row r="184">
      <c r="A184" t="inlineStr">
        <is>
          <t>ALQ.ASX</t>
        </is>
      </c>
      <c r="B184" t="inlineStr">
        <is>
          <t>ALS Limited Ordinary</t>
        </is>
      </c>
      <c r="C184" t="inlineStr">
        <is>
          <t>Closed</t>
        </is>
      </c>
      <c r="D184" s="35" t="n">
        <v>42706</v>
      </c>
      <c r="E184" t="n">
        <v>5.266917</v>
      </c>
      <c r="F184" s="35" t="n">
        <v>42881</v>
      </c>
      <c r="G184" t="n">
        <v>4.753186</v>
      </c>
      <c r="H184" t="n">
        <v>-0.0975</v>
      </c>
      <c r="I184" t="n">
        <v>-7321.52</v>
      </c>
      <c r="J184" t="n">
        <v>-0.0994</v>
      </c>
      <c r="K184" t="n">
        <v>13979</v>
      </c>
    </row>
    <row r="185">
      <c r="A185" t="inlineStr">
        <is>
          <t>BPT.ASX</t>
        </is>
      </c>
      <c r="B185" t="inlineStr">
        <is>
          <t>Beach Energy Limited Ordinary</t>
        </is>
      </c>
      <c r="C185" t="inlineStr">
        <is>
          <t>Closed</t>
        </is>
      </c>
      <c r="D185" s="35" t="n">
        <v>42706</v>
      </c>
      <c r="E185" t="n">
        <v>0.7244155</v>
      </c>
      <c r="F185" s="35" t="n">
        <v>42881</v>
      </c>
      <c r="G185" t="n">
        <v>0.5574638</v>
      </c>
      <c r="H185" t="n">
        <v>-0.2305</v>
      </c>
      <c r="I185" t="n">
        <v>-17102.79</v>
      </c>
      <c r="J185" t="n">
        <v>-0.2322</v>
      </c>
      <c r="K185" t="n">
        <v>101661</v>
      </c>
    </row>
    <row r="186">
      <c r="A186" t="inlineStr">
        <is>
          <t>AKE-202312.ASX</t>
        </is>
      </c>
      <c r="B186" t="inlineStr">
        <is>
          <t>Allkem Limited Ordinary</t>
        </is>
      </c>
      <c r="C186" t="inlineStr">
        <is>
          <t>Closed</t>
        </is>
      </c>
      <c r="D186" s="35" t="n">
        <v>42769</v>
      </c>
      <c r="E186" t="n">
        <v>4.571181</v>
      </c>
      <c r="F186" s="35" t="n">
        <v>42804</v>
      </c>
      <c r="G186" t="n">
        <v>3.027536</v>
      </c>
      <c r="H186" t="n">
        <v>-0.3377</v>
      </c>
      <c r="I186" t="n">
        <v>-25818.9</v>
      </c>
      <c r="J186" t="n">
        <v>-0.3394</v>
      </c>
      <c r="K186" t="n">
        <v>16644</v>
      </c>
    </row>
    <row r="187">
      <c r="A187" t="inlineStr">
        <is>
          <t>BXB.ASX</t>
        </is>
      </c>
      <c r="B187" t="inlineStr">
        <is>
          <t>Brambles Limited Ordinary</t>
        </is>
      </c>
      <c r="C187" t="inlineStr">
        <is>
          <t>Closed</t>
        </is>
      </c>
      <c r="D187" s="35" t="n">
        <v>42440</v>
      </c>
      <c r="E187" t="n">
        <v>9.290822</v>
      </c>
      <c r="F187" s="35" t="n">
        <v>42769</v>
      </c>
      <c r="G187" t="n">
        <v>8.188140000000001</v>
      </c>
      <c r="H187" t="n">
        <v>-0.1187</v>
      </c>
      <c r="I187" t="n">
        <v>-8251.09</v>
      </c>
      <c r="J187" t="n">
        <v>-0.1206</v>
      </c>
      <c r="K187" t="n">
        <v>7366</v>
      </c>
    </row>
    <row r="188">
      <c r="A188" t="inlineStr">
        <is>
          <t>WHC.ASX</t>
        </is>
      </c>
      <c r="B188" t="inlineStr">
        <is>
          <t>Whitehaven Coal Limited Ordinary</t>
        </is>
      </c>
      <c r="C188" t="inlineStr">
        <is>
          <t>Closed</t>
        </is>
      </c>
      <c r="D188" s="35" t="n">
        <v>42524</v>
      </c>
      <c r="E188" t="n">
        <v>0.5090991</v>
      </c>
      <c r="F188" s="35" t="n">
        <v>42699</v>
      </c>
      <c r="G188" t="n">
        <v>1.494161</v>
      </c>
      <c r="H188" t="n">
        <v>1.9349</v>
      </c>
      <c r="I188" t="n">
        <v>137541.7</v>
      </c>
      <c r="J188" t="n">
        <v>1.931</v>
      </c>
      <c r="K188" t="n">
        <v>139912</v>
      </c>
    </row>
    <row r="189">
      <c r="A189" t="inlineStr">
        <is>
          <t>WEB.ASX</t>
        </is>
      </c>
      <c r="B189" t="inlineStr">
        <is>
          <t>Web Travel Group Limited Ordinary</t>
        </is>
      </c>
      <c r="C189" t="inlineStr">
        <is>
          <t>Closed</t>
        </is>
      </c>
      <c r="D189" s="35" t="n">
        <v>42643</v>
      </c>
      <c r="E189" t="n">
        <v>6.37705</v>
      </c>
      <c r="F189" s="35" t="n">
        <v>42685</v>
      </c>
      <c r="G189" t="n">
        <v>5.362519</v>
      </c>
      <c r="H189" t="n">
        <v>-0.1591</v>
      </c>
      <c r="I189" t="n">
        <v>-12220.83</v>
      </c>
      <c r="J189" t="n">
        <v>-0.1609</v>
      </c>
      <c r="K189" t="n">
        <v>11908</v>
      </c>
    </row>
    <row r="190">
      <c r="A190" t="inlineStr">
        <is>
          <t>FPR.ASX</t>
        </is>
      </c>
      <c r="B190" t="inlineStr">
        <is>
          <t>Fleetpartners Group Limited Ordinary</t>
        </is>
      </c>
      <c r="C190" t="inlineStr">
        <is>
          <t>Closed</t>
        </is>
      </c>
      <c r="D190" s="35" t="n">
        <v>42643</v>
      </c>
      <c r="E190" t="n">
        <v>3.717577</v>
      </c>
      <c r="F190" s="35" t="n">
        <v>42678</v>
      </c>
      <c r="G190" t="n">
        <v>3.413737</v>
      </c>
      <c r="H190" t="n">
        <v>-0.08169999999999999</v>
      </c>
      <c r="I190" t="n">
        <v>-6350.66</v>
      </c>
      <c r="J190" t="n">
        <v>-0.08359999999999999</v>
      </c>
      <c r="K190" t="n">
        <v>20422</v>
      </c>
    </row>
    <row r="191">
      <c r="A191" t="inlineStr">
        <is>
          <t>WES.ASX</t>
        </is>
      </c>
      <c r="B191" t="inlineStr">
        <is>
          <t>Wesfarmers Limited Ordinary</t>
        </is>
      </c>
      <c r="C191" t="inlineStr">
        <is>
          <t>Closed</t>
        </is>
      </c>
      <c r="D191" s="35" t="n">
        <v>40249</v>
      </c>
      <c r="E191" t="n">
        <v>11.34855</v>
      </c>
      <c r="F191" s="35" t="n">
        <v>42678</v>
      </c>
      <c r="G191" t="n">
        <v>19.55307</v>
      </c>
      <c r="H191" t="n">
        <v>0.723</v>
      </c>
      <c r="I191" t="n">
        <v>32898.81</v>
      </c>
      <c r="J191" t="n">
        <v>0.7202</v>
      </c>
      <c r="K191" t="n">
        <v>4025</v>
      </c>
    </row>
    <row r="192">
      <c r="A192" t="inlineStr">
        <is>
          <t>VOC-202106.ASX</t>
        </is>
      </c>
      <c r="B192" t="inlineStr">
        <is>
          <t>Vocus Group Limited Ordinary</t>
        </is>
      </c>
      <c r="C192" t="inlineStr">
        <is>
          <t>Closed</t>
        </is>
      </c>
      <c r="D192" s="35" t="n">
        <v>42006</v>
      </c>
      <c r="E192" t="n">
        <v>6.007076</v>
      </c>
      <c r="F192" s="35" t="n">
        <v>42643</v>
      </c>
      <c r="G192" t="n">
        <v>6.380138</v>
      </c>
      <c r="H192" t="n">
        <v>0.0621</v>
      </c>
      <c r="I192" t="n">
        <v>3739.85</v>
      </c>
      <c r="J192" t="n">
        <v>0.06</v>
      </c>
      <c r="K192" t="n">
        <v>10369</v>
      </c>
    </row>
    <row r="193">
      <c r="A193" t="inlineStr">
        <is>
          <t>BSL.ASX</t>
        </is>
      </c>
      <c r="B193" t="inlineStr">
        <is>
          <t>Bluescope Steel Limited Ordinary</t>
        </is>
      </c>
      <c r="C193" t="inlineStr">
        <is>
          <t>Closed</t>
        </is>
      </c>
      <c r="D193" s="35" t="n">
        <v>42440</v>
      </c>
      <c r="E193" t="n">
        <v>5.125236</v>
      </c>
      <c r="F193" s="35" t="n">
        <v>42636</v>
      </c>
      <c r="G193" t="n">
        <v>6.31104</v>
      </c>
      <c r="H193" t="n">
        <v>0.2314</v>
      </c>
      <c r="I193" t="n">
        <v>15689.55</v>
      </c>
      <c r="J193" t="n">
        <v>0.2291</v>
      </c>
      <c r="K193" t="n">
        <v>13360</v>
      </c>
    </row>
    <row r="194">
      <c r="A194" t="inlineStr">
        <is>
          <t>BWP.ASX</t>
        </is>
      </c>
      <c r="B194" t="inlineStr">
        <is>
          <t>BWP Trust Ordinary Units</t>
        </is>
      </c>
      <c r="C194" t="inlineStr">
        <is>
          <t>Closed</t>
        </is>
      </c>
      <c r="D194" s="35" t="n">
        <v>40928</v>
      </c>
      <c r="E194" t="n">
        <v>0.8726121999999999</v>
      </c>
      <c r="F194" s="35" t="n">
        <v>42622</v>
      </c>
      <c r="G194" t="n">
        <v>2.100904</v>
      </c>
      <c r="H194" t="n">
        <v>1.4076</v>
      </c>
      <c r="I194" t="n">
        <v>57352.25</v>
      </c>
      <c r="J194" t="n">
        <v>1.4042</v>
      </c>
      <c r="K194" t="n">
        <v>46806</v>
      </c>
    </row>
    <row r="195">
      <c r="A195" t="inlineStr">
        <is>
          <t>SBM.ASX</t>
        </is>
      </c>
      <c r="B195" t="inlineStr">
        <is>
          <t>St Barbara Limited Ordinary</t>
        </is>
      </c>
      <c r="C195" t="inlineStr">
        <is>
          <t>Closed</t>
        </is>
      </c>
      <c r="D195" s="35" t="n">
        <v>42566</v>
      </c>
      <c r="E195" t="n">
        <v>1.345143</v>
      </c>
      <c r="F195" s="35" t="n">
        <v>42622</v>
      </c>
      <c r="G195" t="n">
        <v>1.105597</v>
      </c>
      <c r="H195" t="n">
        <v>-0.1781</v>
      </c>
      <c r="I195" t="n">
        <v>-13176.72</v>
      </c>
      <c r="J195" t="n">
        <v>-0.1799</v>
      </c>
      <c r="K195" t="n">
        <v>54450</v>
      </c>
    </row>
    <row r="196">
      <c r="A196" t="inlineStr">
        <is>
          <t>PBG-201606.ASX</t>
        </is>
      </c>
      <c r="B196" t="inlineStr">
        <is>
          <t>Pacific Brands Limited Ordinary</t>
        </is>
      </c>
      <c r="C196" t="inlineStr">
        <is>
          <t>Closed</t>
        </is>
      </c>
      <c r="D196" s="35" t="n">
        <v>42440</v>
      </c>
      <c r="E196" t="n">
        <v>0.9133145</v>
      </c>
      <c r="F196" s="35" t="n">
        <v>42549</v>
      </c>
      <c r="G196" t="n">
        <v>1.05559</v>
      </c>
      <c r="H196" t="n">
        <v>0.1558</v>
      </c>
      <c r="I196" t="n">
        <v>10518.08</v>
      </c>
      <c r="J196" t="n">
        <v>0.1536</v>
      </c>
      <c r="K196" t="n">
        <v>74965</v>
      </c>
    </row>
    <row r="197">
      <c r="A197" t="inlineStr">
        <is>
          <t>GXL-201902.ASX</t>
        </is>
      </c>
      <c r="B197" t="inlineStr">
        <is>
          <t>Greencross Limited Ordinary</t>
        </is>
      </c>
      <c r="C197" t="inlineStr">
        <is>
          <t>Closed</t>
        </is>
      </c>
      <c r="D197" s="35" t="n">
        <v>42440</v>
      </c>
      <c r="E197" t="n">
        <v>6.863489</v>
      </c>
      <c r="F197" s="35" t="n">
        <v>42545</v>
      </c>
      <c r="G197" t="n">
        <v>6.36172</v>
      </c>
      <c r="H197" t="n">
        <v>-0.0731</v>
      </c>
      <c r="I197" t="n">
        <v>-5136.55</v>
      </c>
      <c r="J197" t="n">
        <v>-0.075</v>
      </c>
      <c r="K197" t="n">
        <v>9974</v>
      </c>
    </row>
    <row r="198">
      <c r="A198" t="inlineStr">
        <is>
          <t>SGM.ASX</t>
        </is>
      </c>
      <c r="B198" t="inlineStr">
        <is>
          <t>Sims Limited Ordinary</t>
        </is>
      </c>
      <c r="C198" t="inlineStr">
        <is>
          <t>Closed</t>
        </is>
      </c>
      <c r="D198" s="35" t="n">
        <v>42482</v>
      </c>
      <c r="E198" t="n">
        <v>6.956624</v>
      </c>
      <c r="F198" s="35" t="n">
        <v>42545</v>
      </c>
      <c r="G198" t="n">
        <v>5.901662</v>
      </c>
      <c r="H198" t="n">
        <v>-0.1516</v>
      </c>
      <c r="I198" t="n">
        <v>-10546.86</v>
      </c>
      <c r="J198" t="n">
        <v>-0.1535</v>
      </c>
      <c r="K198" t="n">
        <v>9877</v>
      </c>
    </row>
    <row r="199">
      <c r="A199" t="inlineStr">
        <is>
          <t>FLT.ASX</t>
        </is>
      </c>
      <c r="B199" t="inlineStr">
        <is>
          <t>Flight Centre Travel Group Limited Ordinary</t>
        </is>
      </c>
      <c r="C199" t="inlineStr">
        <is>
          <t>Closed</t>
        </is>
      </c>
      <c r="D199" s="35" t="n">
        <v>42440</v>
      </c>
      <c r="E199" t="n">
        <v>32.1252</v>
      </c>
      <c r="F199" s="35" t="n">
        <v>42524</v>
      </c>
      <c r="G199" t="n">
        <v>24.4588</v>
      </c>
      <c r="H199" t="n">
        <v>-0.2386</v>
      </c>
      <c r="I199" t="n">
        <v>-16449.96</v>
      </c>
      <c r="J199" t="n">
        <v>-0.2404</v>
      </c>
      <c r="K199" t="n">
        <v>2130</v>
      </c>
    </row>
    <row r="200">
      <c r="A200" t="inlineStr">
        <is>
          <t>SYR.ASX</t>
        </is>
      </c>
      <c r="B200" t="inlineStr">
        <is>
          <t>Syrah Resources Limited Ordinary</t>
        </is>
      </c>
      <c r="C200" t="inlineStr">
        <is>
          <t>Closed</t>
        </is>
      </c>
      <c r="D200" s="35" t="n">
        <v>42440</v>
      </c>
      <c r="E200" t="n">
        <v>4.16049</v>
      </c>
      <c r="F200" s="35" t="n">
        <v>42475</v>
      </c>
      <c r="G200" t="n">
        <v>3.389685</v>
      </c>
      <c r="H200" t="n">
        <v>-0.1853</v>
      </c>
      <c r="I200" t="n">
        <v>-12811.73</v>
      </c>
      <c r="J200" t="n">
        <v>-0.1871</v>
      </c>
      <c r="K200" t="n">
        <v>16460</v>
      </c>
    </row>
    <row r="201">
      <c r="A201" t="inlineStr">
        <is>
          <t>BPT.ASX</t>
        </is>
      </c>
      <c r="B201" t="inlineStr">
        <is>
          <t>Beach Energy Limited Ordinary</t>
        </is>
      </c>
      <c r="C201" t="inlineStr">
        <is>
          <t>Closed</t>
        </is>
      </c>
      <c r="D201" s="35" t="n">
        <v>42440</v>
      </c>
      <c r="E201" t="n">
        <v>0.6064425</v>
      </c>
      <c r="F201" s="35" t="n">
        <v>42468</v>
      </c>
      <c r="G201" t="n">
        <v>0.5198078</v>
      </c>
      <c r="H201" t="n">
        <v>-0.1429</v>
      </c>
      <c r="I201" t="n">
        <v>-9903.120000000001</v>
      </c>
      <c r="J201" t="n">
        <v>-0.1447</v>
      </c>
      <c r="K201" t="n">
        <v>112842</v>
      </c>
    </row>
    <row r="202">
      <c r="A202" t="inlineStr">
        <is>
          <t>RRL.ASX</t>
        </is>
      </c>
      <c r="B202" t="inlineStr">
        <is>
          <t>Regis Resources Limited Ordinary</t>
        </is>
      </c>
      <c r="C202" t="inlineStr">
        <is>
          <t>Closed</t>
        </is>
      </c>
      <c r="D202" s="35" t="n">
        <v>42369</v>
      </c>
      <c r="E202" t="n">
        <v>1.834957</v>
      </c>
      <c r="F202" s="35" t="n">
        <v>42426</v>
      </c>
      <c r="G202" t="n">
        <v>1.982452</v>
      </c>
      <c r="H202" t="n">
        <v>0.0804</v>
      </c>
      <c r="I202" t="n">
        <v>5470.09</v>
      </c>
      <c r="J202" t="n">
        <v>0.07829999999999999</v>
      </c>
      <c r="K202" t="n">
        <v>38072</v>
      </c>
    </row>
    <row r="203">
      <c r="A203" t="inlineStr">
        <is>
          <t>AMC.ASX</t>
        </is>
      </c>
      <c r="B203" t="inlineStr">
        <is>
          <t>Amcor PLC CDI 1:1 Foreign Exempt NYSE</t>
        </is>
      </c>
      <c r="C203" t="inlineStr">
        <is>
          <t>Closed</t>
        </is>
      </c>
      <c r="D203" s="35" t="n">
        <v>40886</v>
      </c>
      <c r="E203" t="n">
        <v>3.825688</v>
      </c>
      <c r="F203" s="35" t="n">
        <v>42419</v>
      </c>
      <c r="G203" t="n">
        <v>8.58422</v>
      </c>
      <c r="H203" t="n">
        <v>1.2438</v>
      </c>
      <c r="I203" t="n">
        <v>50949.62</v>
      </c>
      <c r="J203" t="n">
        <v>1.2406</v>
      </c>
      <c r="K203" t="n">
        <v>10735</v>
      </c>
    </row>
    <row r="204">
      <c r="A204" t="inlineStr">
        <is>
          <t>TGR-202211.ASX</t>
        </is>
      </c>
      <c r="B204" t="inlineStr">
        <is>
          <t>Tassal Group Limited Ordinary</t>
        </is>
      </c>
      <c r="C204" t="inlineStr">
        <is>
          <t>Closed</t>
        </is>
      </c>
      <c r="D204" s="35" t="n">
        <v>42223</v>
      </c>
      <c r="E204" t="n">
        <v>2.830402</v>
      </c>
      <c r="F204" s="35" t="n">
        <v>42412</v>
      </c>
      <c r="G204" t="n">
        <v>3.31217</v>
      </c>
      <c r="H204" t="n">
        <v>0.1702</v>
      </c>
      <c r="I204" t="n">
        <v>11456.87</v>
      </c>
      <c r="J204" t="n">
        <v>0.168</v>
      </c>
      <c r="K204" t="n">
        <v>24088</v>
      </c>
    </row>
    <row r="205">
      <c r="A205" t="inlineStr">
        <is>
          <t>JHG-202312.ASX</t>
        </is>
      </c>
      <c r="B205" t="inlineStr">
        <is>
          <t>Janus Henderson Group PLC CDI 1:1 Foreign Exempt NYSE</t>
        </is>
      </c>
      <c r="C205" t="inlineStr">
        <is>
          <t>Closed</t>
        </is>
      </c>
      <c r="D205" s="35" t="n">
        <v>42034</v>
      </c>
      <c r="E205" t="n">
        <v>28.12667</v>
      </c>
      <c r="F205" s="35" t="n">
        <v>42391</v>
      </c>
      <c r="G205" t="n">
        <v>35.60476</v>
      </c>
      <c r="H205" t="n">
        <v>0.2659</v>
      </c>
      <c r="I205" t="n">
        <v>16749.04</v>
      </c>
      <c r="J205" t="n">
        <v>0.2636</v>
      </c>
      <c r="K205" t="n">
        <v>2259</v>
      </c>
    </row>
    <row r="206">
      <c r="A206" t="inlineStr">
        <is>
          <t>SGH.ASX</t>
        </is>
      </c>
      <c r="B206" t="inlineStr">
        <is>
          <t>SGH Limited Ordinary</t>
        </is>
      </c>
      <c r="C206" t="inlineStr">
        <is>
          <t>Closed</t>
        </is>
      </c>
      <c r="D206" s="35" t="n">
        <v>42369</v>
      </c>
      <c r="E206" t="n">
        <v>4.249055</v>
      </c>
      <c r="F206" s="35" t="n">
        <v>42391</v>
      </c>
      <c r="G206" t="n">
        <v>3.838855</v>
      </c>
      <c r="H206" t="n">
        <v>-0.0965</v>
      </c>
      <c r="I206" t="n">
        <v>-6876.23</v>
      </c>
      <c r="J206" t="n">
        <v>-0.0984</v>
      </c>
      <c r="K206" t="n">
        <v>16439</v>
      </c>
    </row>
    <row r="207">
      <c r="A207" t="inlineStr">
        <is>
          <t>MFG.ASX</t>
        </is>
      </c>
      <c r="B207" t="inlineStr">
        <is>
          <t>Magellan Financial Group Limited Ordinary</t>
        </is>
      </c>
      <c r="C207" t="inlineStr">
        <is>
          <t>Closed</t>
        </is>
      </c>
      <c r="D207" s="35" t="n">
        <v>42307</v>
      </c>
      <c r="E207" t="n">
        <v>12.26546</v>
      </c>
      <c r="F207" s="35" t="n">
        <v>42391</v>
      </c>
      <c r="G207" t="n">
        <v>13.63336</v>
      </c>
      <c r="H207" t="n">
        <v>0.1115</v>
      </c>
      <c r="I207" t="n">
        <v>7248.15</v>
      </c>
      <c r="J207" t="n">
        <v>0.1094</v>
      </c>
      <c r="K207" t="n">
        <v>5401</v>
      </c>
    </row>
    <row r="208">
      <c r="A208" t="inlineStr">
        <is>
          <t>GTY-201810.ASX</t>
        </is>
      </c>
      <c r="B208" t="inlineStr">
        <is>
          <t>Gateway Lifestyle Group Stapled Securities</t>
        </is>
      </c>
      <c r="C208" t="inlineStr">
        <is>
          <t>Closed</t>
        </is>
      </c>
      <c r="D208" s="35" t="n">
        <v>42307</v>
      </c>
      <c r="E208" t="n">
        <v>2.386991</v>
      </c>
      <c r="F208" s="35" t="n">
        <v>42391</v>
      </c>
      <c r="G208" t="n">
        <v>2.402631</v>
      </c>
      <c r="H208" t="n">
        <v>0.0066</v>
      </c>
      <c r="I208" t="n">
        <v>301.21</v>
      </c>
      <c r="J208" t="n">
        <v>0.0045</v>
      </c>
      <c r="K208" t="n">
        <v>27760</v>
      </c>
    </row>
    <row r="209">
      <c r="A209" t="inlineStr">
        <is>
          <t>PDL-202301.ASX</t>
        </is>
      </c>
      <c r="B209" t="inlineStr">
        <is>
          <t>Pendal Group Limited Ordinary</t>
        </is>
      </c>
      <c r="C209" t="inlineStr">
        <is>
          <t>Closed</t>
        </is>
      </c>
      <c r="D209" s="35" t="n">
        <v>42307</v>
      </c>
      <c r="E209" t="n">
        <v>7.422933</v>
      </c>
      <c r="F209" s="35" t="n">
        <v>42384</v>
      </c>
      <c r="G209" t="n">
        <v>7.635283</v>
      </c>
      <c r="H209" t="n">
        <v>0.0286</v>
      </c>
      <c r="I209" t="n">
        <v>1760.43</v>
      </c>
      <c r="J209" t="n">
        <v>0.0266</v>
      </c>
      <c r="K209" t="n">
        <v>8923</v>
      </c>
    </row>
    <row r="210">
      <c r="A210" t="inlineStr">
        <is>
          <t>AZJ.ASX</t>
        </is>
      </c>
      <c r="B210" t="inlineStr">
        <is>
          <t>Aurizon Holdings Limited Ordinary</t>
        </is>
      </c>
      <c r="C210" t="inlineStr">
        <is>
          <t>Closed</t>
        </is>
      </c>
      <c r="D210" s="35" t="n">
        <v>40641</v>
      </c>
      <c r="E210" t="n">
        <v>1.796004</v>
      </c>
      <c r="F210" s="35" t="n">
        <v>42362</v>
      </c>
      <c r="G210" t="n">
        <v>2.925516</v>
      </c>
      <c r="H210" t="n">
        <v>0.6289</v>
      </c>
      <c r="I210" t="n">
        <v>29170.34</v>
      </c>
      <c r="J210" t="n">
        <v>0.6263</v>
      </c>
      <c r="K210" t="n">
        <v>25934</v>
      </c>
    </row>
    <row r="211">
      <c r="A211" t="inlineStr">
        <is>
          <t>HSO-201905.ASX</t>
        </is>
      </c>
      <c r="B211" t="inlineStr">
        <is>
          <t>Healthscope Limited Ordinary</t>
        </is>
      </c>
      <c r="C211" t="inlineStr">
        <is>
          <t>Closed</t>
        </is>
      </c>
      <c r="D211" s="35" t="n">
        <v>41957</v>
      </c>
      <c r="E211" t="n">
        <v>2.262789</v>
      </c>
      <c r="F211" s="35" t="n">
        <v>42349</v>
      </c>
      <c r="G211" t="n">
        <v>2.256124</v>
      </c>
      <c r="H211" t="n">
        <v>-0.0029</v>
      </c>
      <c r="I211" t="n">
        <v>-294.11</v>
      </c>
      <c r="J211" t="n">
        <v>-0.0049</v>
      </c>
      <c r="K211" t="n">
        <v>26298</v>
      </c>
    </row>
    <row r="212">
      <c r="A212" t="inlineStr">
        <is>
          <t>CEH.ASX</t>
        </is>
      </c>
      <c r="B212" t="inlineStr">
        <is>
          <t>Coast Entertainment Holdings Limited Ordinary</t>
        </is>
      </c>
      <c r="C212" t="inlineStr">
        <is>
          <t>Closed</t>
        </is>
      </c>
      <c r="D212" s="35" t="n">
        <v>42223</v>
      </c>
      <c r="E212" t="n">
        <v>0.7163988</v>
      </c>
      <c r="F212" s="35" t="n">
        <v>42258</v>
      </c>
      <c r="G212" t="n">
        <v>0.6839692000000001</v>
      </c>
      <c r="H212" t="n">
        <v>-0.0453</v>
      </c>
      <c r="I212" t="n">
        <v>-3220.04</v>
      </c>
      <c r="J212" t="n">
        <v>-0.0472</v>
      </c>
      <c r="K212" t="n">
        <v>95183</v>
      </c>
    </row>
    <row r="213">
      <c r="A213" t="inlineStr">
        <is>
          <t>VED-201602.ASX</t>
        </is>
      </c>
      <c r="B213" t="inlineStr">
        <is>
          <t>Veda Group Limited Ordinary</t>
        </is>
      </c>
      <c r="C213" t="inlineStr">
        <is>
          <t>Closed</t>
        </is>
      </c>
      <c r="D213" s="35" t="n">
        <v>41733</v>
      </c>
      <c r="E213" t="n">
        <v>2.339965</v>
      </c>
      <c r="F213" s="35" t="n">
        <v>42251</v>
      </c>
      <c r="G213" t="n">
        <v>2.001698</v>
      </c>
      <c r="H213" t="n">
        <v>-0.1446</v>
      </c>
      <c r="I213" t="n">
        <v>-8621.4</v>
      </c>
      <c r="J213" t="n">
        <v>-0.1464</v>
      </c>
      <c r="K213" t="n">
        <v>25164</v>
      </c>
    </row>
    <row r="214">
      <c r="A214" t="inlineStr">
        <is>
          <t>TME-201905.ASX</t>
        </is>
      </c>
      <c r="B214" t="inlineStr">
        <is>
          <t>Trade ME Group Limited Ordinary Foreign Exempt NZX</t>
        </is>
      </c>
      <c r="C214" t="inlineStr">
        <is>
          <t>Closed</t>
        </is>
      </c>
      <c r="D214" s="35" t="n">
        <v>41950</v>
      </c>
      <c r="E214" t="n">
        <v>2.88468</v>
      </c>
      <c r="F214" s="35" t="n">
        <v>42237</v>
      </c>
      <c r="G214" t="n">
        <v>2.274442</v>
      </c>
      <c r="H214" t="n">
        <v>-0.2115</v>
      </c>
      <c r="I214" t="n">
        <v>-12530.1</v>
      </c>
      <c r="J214" t="n">
        <v>-0.2133</v>
      </c>
      <c r="K214" t="n">
        <v>20361</v>
      </c>
    </row>
    <row r="215">
      <c r="A215" t="inlineStr">
        <is>
          <t>CCP.ASX</t>
        </is>
      </c>
      <c r="B215" t="inlineStr">
        <is>
          <t>Credit Corp Group Limited Ordinary</t>
        </is>
      </c>
      <c r="C215" t="inlineStr">
        <is>
          <t>Closed</t>
        </is>
      </c>
      <c r="D215" s="35" t="n">
        <v>42223</v>
      </c>
      <c r="E215" t="n">
        <v>10.03413</v>
      </c>
      <c r="F215" s="35" t="n">
        <v>42237</v>
      </c>
      <c r="G215" t="n">
        <v>8.875489</v>
      </c>
      <c r="H215" t="n">
        <v>-0.1155</v>
      </c>
      <c r="I215" t="n">
        <v>-8002.63</v>
      </c>
      <c r="J215" t="n">
        <v>-0.1174</v>
      </c>
      <c r="K215" t="n">
        <v>6796</v>
      </c>
    </row>
    <row r="216">
      <c r="A216" t="inlineStr">
        <is>
          <t>SHV.ASX</t>
        </is>
      </c>
      <c r="B216" t="inlineStr">
        <is>
          <t>Select Harvests Limited Ordinary</t>
        </is>
      </c>
      <c r="C216" t="inlineStr">
        <is>
          <t>Closed</t>
        </is>
      </c>
      <c r="D216" s="35" t="n">
        <v>42223</v>
      </c>
      <c r="E216" t="n">
        <v>10.14338</v>
      </c>
      <c r="F216" s="35" t="n">
        <v>42230</v>
      </c>
      <c r="G216" t="n">
        <v>8.677794</v>
      </c>
      <c r="H216" t="n">
        <v>-0.1445</v>
      </c>
      <c r="I216" t="n">
        <v>-9981.18</v>
      </c>
      <c r="J216" t="n">
        <v>-0.1463</v>
      </c>
      <c r="K216" t="n">
        <v>6724</v>
      </c>
    </row>
    <row r="217">
      <c r="A217" t="inlineStr">
        <is>
          <t>DLX-201908.ASX</t>
        </is>
      </c>
      <c r="B217" t="inlineStr">
        <is>
          <t>Duluxgroup Limited Ordinary</t>
        </is>
      </c>
      <c r="C217" t="inlineStr">
        <is>
          <t>Closed</t>
        </is>
      </c>
      <c r="D217" s="35" t="n">
        <v>40886</v>
      </c>
      <c r="E217" t="n">
        <v>2.104145</v>
      </c>
      <c r="F217" s="35" t="n">
        <v>42153</v>
      </c>
      <c r="G217" t="n">
        <v>4.823669</v>
      </c>
      <c r="H217" t="n">
        <v>1.2925</v>
      </c>
      <c r="I217" t="n">
        <v>52939.03</v>
      </c>
      <c r="J217" t="n">
        <v>1.2892</v>
      </c>
      <c r="K217" t="n">
        <v>19516</v>
      </c>
    </row>
    <row r="218">
      <c r="A218" t="inlineStr">
        <is>
          <t>SGT-201505.ASX</t>
        </is>
      </c>
      <c r="B218" t="inlineStr">
        <is>
          <t>Singapore Telecommunications Limited CDI 1:1</t>
        </is>
      </c>
      <c r="C218" t="inlineStr">
        <is>
          <t>Closed</t>
        </is>
      </c>
      <c r="D218" s="35" t="n">
        <v>40018</v>
      </c>
      <c r="E218" t="n">
        <v>2.13667</v>
      </c>
      <c r="F218" s="35" t="n">
        <v>42153</v>
      </c>
      <c r="G218" t="n">
        <v>4.07</v>
      </c>
      <c r="H218" t="n">
        <v>0.9048</v>
      </c>
      <c r="I218" t="n">
        <v>35960.12</v>
      </c>
      <c r="J218" t="n">
        <v>0.9019</v>
      </c>
      <c r="K218" t="n">
        <v>18660</v>
      </c>
    </row>
    <row r="219">
      <c r="A219" t="inlineStr">
        <is>
          <t>NST.ASX</t>
        </is>
      </c>
      <c r="B219" t="inlineStr">
        <is>
          <t>Northern Star Resources Ltd Ordinary</t>
        </is>
      </c>
      <c r="C219" t="inlineStr">
        <is>
          <t>Closed</t>
        </is>
      </c>
      <c r="D219" s="35" t="n">
        <v>42034</v>
      </c>
      <c r="E219" t="n">
        <v>1.639076</v>
      </c>
      <c r="F219" s="35" t="n">
        <v>42132</v>
      </c>
      <c r="G219" t="n">
        <v>1.725294</v>
      </c>
      <c r="H219" t="n">
        <v>0.0526</v>
      </c>
      <c r="I219" t="n">
        <v>3212.98</v>
      </c>
      <c r="J219" t="n">
        <v>0.0505</v>
      </c>
      <c r="K219" t="n">
        <v>38779</v>
      </c>
    </row>
    <row r="220">
      <c r="A220" t="inlineStr">
        <is>
          <t>RMD.ASX</t>
        </is>
      </c>
      <c r="B220" t="inlineStr">
        <is>
          <t>Resmed Inc CDI 10:1 Foreign Exempt NYSE</t>
        </is>
      </c>
      <c r="C220" t="inlineStr">
        <is>
          <t>Closed</t>
        </is>
      </c>
      <c r="D220" s="35" t="n">
        <v>41950</v>
      </c>
      <c r="E220" t="n">
        <v>5.370819</v>
      </c>
      <c r="F220" s="35" t="n">
        <v>42132</v>
      </c>
      <c r="G220" t="n">
        <v>7.567817</v>
      </c>
      <c r="H220" t="n">
        <v>0.4091</v>
      </c>
      <c r="I220" t="n">
        <v>23887.06</v>
      </c>
      <c r="J220" t="n">
        <v>0.4067</v>
      </c>
      <c r="K220" t="n">
        <v>10937</v>
      </c>
    </row>
    <row r="221">
      <c r="A221" t="inlineStr">
        <is>
          <t>QAN.ASX</t>
        </is>
      </c>
      <c r="B221" t="inlineStr">
        <is>
          <t>Qantas Airways Limited Ordinary</t>
        </is>
      </c>
      <c r="C221" t="inlineStr">
        <is>
          <t>Closed</t>
        </is>
      </c>
      <c r="D221" s="35" t="n">
        <v>41789</v>
      </c>
      <c r="E221" t="n">
        <v>1.140018</v>
      </c>
      <c r="F221" s="35" t="n">
        <v>42027</v>
      </c>
      <c r="G221" t="n">
        <v>1.978899</v>
      </c>
      <c r="H221" t="n">
        <v>0.7358</v>
      </c>
      <c r="I221" t="n">
        <v>44077.26</v>
      </c>
      <c r="J221" t="n">
        <v>0.7331</v>
      </c>
      <c r="K221" t="n">
        <v>52739</v>
      </c>
    </row>
    <row r="222">
      <c r="A222" t="inlineStr">
        <is>
          <t>OZL-202304.ASX</t>
        </is>
      </c>
      <c r="B222" t="inlineStr">
        <is>
          <t>OZ Minerals Limited Ordinary</t>
        </is>
      </c>
      <c r="C222" t="inlineStr">
        <is>
          <t>Closed</t>
        </is>
      </c>
      <c r="D222" s="35" t="n">
        <v>41796</v>
      </c>
      <c r="E222" t="n">
        <v>3.355087</v>
      </c>
      <c r="F222" s="35" t="n">
        <v>41978</v>
      </c>
      <c r="G222" t="n">
        <v>2.608471</v>
      </c>
      <c r="H222" t="n">
        <v>-0.2225</v>
      </c>
      <c r="I222" t="n">
        <v>-13477.19</v>
      </c>
      <c r="J222" t="n">
        <v>-0.2243</v>
      </c>
      <c r="K222" t="n">
        <v>17908</v>
      </c>
    </row>
    <row r="223">
      <c r="A223" t="inlineStr">
        <is>
          <t>TNE.ASX</t>
        </is>
      </c>
      <c r="B223" t="inlineStr">
        <is>
          <t>Technology One Limited Ordinary</t>
        </is>
      </c>
      <c r="C223" t="inlineStr">
        <is>
          <t>Closed</t>
        </is>
      </c>
      <c r="D223" s="35" t="n">
        <v>41957</v>
      </c>
      <c r="E223" t="n">
        <v>2.94413</v>
      </c>
      <c r="F223" s="35" t="n">
        <v>41978</v>
      </c>
      <c r="G223" t="n">
        <v>2.44821</v>
      </c>
      <c r="H223" t="n">
        <v>-0.1684</v>
      </c>
      <c r="I223" t="n">
        <v>-10131.02</v>
      </c>
      <c r="J223" t="n">
        <v>-0.1703</v>
      </c>
      <c r="K223" t="n">
        <v>20209</v>
      </c>
    </row>
    <row r="224">
      <c r="A224" t="inlineStr">
        <is>
          <t>SEA-201911.ASX</t>
        </is>
      </c>
      <c r="B224" t="inlineStr">
        <is>
          <t>Sundance Energy Australia Limited Ordinary</t>
        </is>
      </c>
      <c r="C224" t="inlineStr">
        <is>
          <t>Closed</t>
        </is>
      </c>
      <c r="D224" s="35" t="n">
        <v>41824</v>
      </c>
      <c r="E224" t="n">
        <v>10.8828</v>
      </c>
      <c r="F224" s="35" t="n">
        <v>41936</v>
      </c>
      <c r="G224" t="n">
        <v>9.839866000000001</v>
      </c>
      <c r="H224" t="n">
        <v>-0.0958</v>
      </c>
      <c r="I224" t="n">
        <v>-5718.2</v>
      </c>
      <c r="J224" t="n">
        <v>-0.0977</v>
      </c>
      <c r="K224" t="n">
        <v>5376</v>
      </c>
    </row>
    <row r="225">
      <c r="A225" t="inlineStr">
        <is>
          <t>WHC.ASX</t>
        </is>
      </c>
      <c r="B225" t="inlineStr">
        <is>
          <t>Whitehaven Coal Limited Ordinary</t>
        </is>
      </c>
      <c r="C225" t="inlineStr">
        <is>
          <t>Closed</t>
        </is>
      </c>
      <c r="D225" s="35" t="n">
        <v>41873</v>
      </c>
      <c r="E225" t="n">
        <v>1.084471</v>
      </c>
      <c r="F225" s="35" t="n">
        <v>41929</v>
      </c>
      <c r="G225" t="n">
        <v>0.8615523</v>
      </c>
      <c r="H225" t="n">
        <v>-0.2056</v>
      </c>
      <c r="I225" t="n">
        <v>-12275.37</v>
      </c>
      <c r="J225" t="n">
        <v>-0.2073</v>
      </c>
      <c r="K225" t="n">
        <v>54590</v>
      </c>
    </row>
    <row r="226">
      <c r="A226" t="inlineStr">
        <is>
          <t>WSA-202206.ASX</t>
        </is>
      </c>
      <c r="B226" t="inlineStr">
        <is>
          <t>Western Areas Limited Ordinary</t>
        </is>
      </c>
      <c r="C226" t="inlineStr">
        <is>
          <t>Closed</t>
        </is>
      </c>
      <c r="D226" s="35" t="n">
        <v>41831</v>
      </c>
      <c r="E226" t="n">
        <v>4.703424</v>
      </c>
      <c r="F226" s="35" t="n">
        <v>41915</v>
      </c>
      <c r="G226" t="n">
        <v>3.930758</v>
      </c>
      <c r="H226" t="n">
        <v>-0.1643</v>
      </c>
      <c r="I226" t="n">
        <v>-9770.940000000001</v>
      </c>
      <c r="J226" t="n">
        <v>-0.1661</v>
      </c>
      <c r="K226" t="n">
        <v>12506</v>
      </c>
    </row>
    <row r="227">
      <c r="A227" t="inlineStr">
        <is>
          <t>ABG.ASX</t>
        </is>
      </c>
      <c r="B227" t="inlineStr">
        <is>
          <t>Abacus Group Ordinary/Units Stapled Securities</t>
        </is>
      </c>
      <c r="C227" t="inlineStr">
        <is>
          <t>Closed</t>
        </is>
      </c>
      <c r="D227" s="35" t="n">
        <v>40403</v>
      </c>
      <c r="E227" t="n">
        <v>0.3976072</v>
      </c>
      <c r="F227" s="35" t="n">
        <v>41908</v>
      </c>
      <c r="G227" t="n">
        <v>0.6270981</v>
      </c>
      <c r="H227" t="n">
        <v>0.5772</v>
      </c>
      <c r="I227" t="n">
        <v>24257.17</v>
      </c>
      <c r="J227" t="n">
        <v>0.5746</v>
      </c>
      <c r="K227" t="n">
        <v>106174</v>
      </c>
    </row>
    <row r="228">
      <c r="A228" t="inlineStr">
        <is>
          <t>DLS-201602.ASX</t>
        </is>
      </c>
      <c r="B228" t="inlineStr">
        <is>
          <t>Drillsearch Energy Limited Ordinary</t>
        </is>
      </c>
      <c r="C228" t="inlineStr">
        <is>
          <t>Closed</t>
        </is>
      </c>
      <c r="D228" s="35" t="n">
        <v>41712</v>
      </c>
      <c r="E228" t="n">
        <v>1.645</v>
      </c>
      <c r="F228" s="35" t="n">
        <v>41866</v>
      </c>
      <c r="G228" t="n">
        <v>1.49</v>
      </c>
      <c r="H228" t="n">
        <v>-0.09420000000000001</v>
      </c>
      <c r="I228" t="n">
        <v>-5814.15</v>
      </c>
      <c r="J228" t="n">
        <v>-0.0961</v>
      </c>
      <c r="K228" t="n">
        <v>36767</v>
      </c>
    </row>
    <row r="229">
      <c r="A229" t="inlineStr">
        <is>
          <t>MFG.ASX</t>
        </is>
      </c>
      <c r="B229" t="inlineStr">
        <is>
          <t>Magellan Financial Group Limited Ordinary</t>
        </is>
      </c>
      <c r="C229" t="inlineStr">
        <is>
          <t>Closed</t>
        </is>
      </c>
      <c r="D229" s="35" t="n">
        <v>41474</v>
      </c>
      <c r="E229" t="n">
        <v>6.55431</v>
      </c>
      <c r="F229" s="35" t="n">
        <v>41810</v>
      </c>
      <c r="G229" t="n">
        <v>6.092051</v>
      </c>
      <c r="H229" t="n">
        <v>-0.07049999999999999</v>
      </c>
      <c r="I229" t="n">
        <v>-4045.72</v>
      </c>
      <c r="J229" t="n">
        <v>-0.0725</v>
      </c>
      <c r="K229" t="n">
        <v>8519</v>
      </c>
    </row>
    <row r="230">
      <c r="A230" t="inlineStr">
        <is>
          <t>AQA-201407.ASX</t>
        </is>
      </c>
      <c r="B230" t="inlineStr">
        <is>
          <t>Aquila Resources Limited Ordinary</t>
        </is>
      </c>
      <c r="C230" t="inlineStr">
        <is>
          <t>Closed</t>
        </is>
      </c>
      <c r="D230" s="35" t="n">
        <v>41691</v>
      </c>
      <c r="E230" t="n">
        <v>2.79</v>
      </c>
      <c r="F230" s="35" t="n">
        <v>41810</v>
      </c>
      <c r="G230" t="n">
        <v>3.02</v>
      </c>
      <c r="H230" t="n">
        <v>0.0824</v>
      </c>
      <c r="I230" t="n">
        <v>4781.08</v>
      </c>
      <c r="J230" t="n">
        <v>0.0804</v>
      </c>
      <c r="K230" t="n">
        <v>21326</v>
      </c>
    </row>
    <row r="231">
      <c r="A231" t="inlineStr">
        <is>
          <t>ABC-202406.ASX</t>
        </is>
      </c>
      <c r="B231" t="inlineStr">
        <is>
          <t>Adbri Limited Ordinary</t>
        </is>
      </c>
      <c r="C231" t="inlineStr">
        <is>
          <t>Closed</t>
        </is>
      </c>
      <c r="D231" s="35" t="n">
        <v>40886</v>
      </c>
      <c r="E231" t="n">
        <v>1.910223</v>
      </c>
      <c r="F231" s="35" t="n">
        <v>41796</v>
      </c>
      <c r="G231" t="n">
        <v>2.312332</v>
      </c>
      <c r="H231" t="n">
        <v>0.2105</v>
      </c>
      <c r="I231" t="n">
        <v>8555.35</v>
      </c>
      <c r="J231" t="n">
        <v>0.2083</v>
      </c>
      <c r="K231" t="n">
        <v>21502</v>
      </c>
    </row>
    <row r="232">
      <c r="A232" t="inlineStr">
        <is>
          <t>TME-201905.ASX</t>
        </is>
      </c>
      <c r="B232" t="inlineStr">
        <is>
          <t>Trade ME Group Limited Ordinary Foreign Exempt NZX</t>
        </is>
      </c>
      <c r="C232" t="inlineStr">
        <is>
          <t>Closed</t>
        </is>
      </c>
      <c r="D232" s="35" t="n">
        <v>41397</v>
      </c>
      <c r="E232" t="n">
        <v>3.198795</v>
      </c>
      <c r="F232" s="35" t="n">
        <v>41789</v>
      </c>
      <c r="G232" t="n">
        <v>2.666123</v>
      </c>
      <c r="H232" t="n">
        <v>-0.1665</v>
      </c>
      <c r="I232" t="n">
        <v>-9451.860000000001</v>
      </c>
      <c r="J232" t="n">
        <v>-0.1684</v>
      </c>
      <c r="K232" t="n">
        <v>17551</v>
      </c>
    </row>
    <row r="233">
      <c r="A233" t="inlineStr">
        <is>
          <t>FOX-201405.ASX</t>
        </is>
      </c>
      <c r="B233" t="inlineStr">
        <is>
          <t>Twenty-First Century Fox Inc. Class B Voting Common Stock-CDI</t>
        </is>
      </c>
      <c r="C233" t="inlineStr">
        <is>
          <t>Closed</t>
        </is>
      </c>
      <c r="D233" s="35" t="n">
        <v>40886</v>
      </c>
      <c r="E233" t="n">
        <v>16.18878</v>
      </c>
      <c r="F233" s="35" t="n">
        <v>41733</v>
      </c>
      <c r="G233" t="n">
        <v>33.35</v>
      </c>
      <c r="H233" t="n">
        <v>1.0601</v>
      </c>
      <c r="I233" t="n">
        <v>43412.34</v>
      </c>
      <c r="J233" t="n">
        <v>1.057</v>
      </c>
      <c r="K233" t="n">
        <v>2537</v>
      </c>
    </row>
    <row r="234">
      <c r="A234" t="inlineStr">
        <is>
          <t>CPA-201403.ASX</t>
        </is>
      </c>
      <c r="B234" t="inlineStr">
        <is>
          <t>Commonwealth Property Office Fund Ordinary Units</t>
        </is>
      </c>
      <c r="C234" t="inlineStr">
        <is>
          <t>Closed</t>
        </is>
      </c>
      <c r="D234" s="35" t="n">
        <v>40928</v>
      </c>
      <c r="E234" t="n">
        <v>0.8804801</v>
      </c>
      <c r="F234" s="35" t="n">
        <v>41708</v>
      </c>
      <c r="G234" t="n">
        <v>1.255</v>
      </c>
      <c r="H234" t="n">
        <v>0.4254</v>
      </c>
      <c r="I234" t="n">
        <v>17271.93</v>
      </c>
      <c r="J234" t="n">
        <v>0.4229</v>
      </c>
      <c r="K234" t="n">
        <v>46382</v>
      </c>
    </row>
    <row r="235">
      <c r="A235" t="inlineStr">
        <is>
          <t>GFF-201503.ASX</t>
        </is>
      </c>
      <c r="B235" t="inlineStr">
        <is>
          <t>Goodman Fielder Limited Ordinary</t>
        </is>
      </c>
      <c r="C235" t="inlineStr">
        <is>
          <t>Closed</t>
        </is>
      </c>
      <c r="D235" s="35" t="n">
        <v>41250</v>
      </c>
      <c r="E235" t="n">
        <v>0.6262558</v>
      </c>
      <c r="F235" s="35" t="n">
        <v>41691</v>
      </c>
      <c r="G235" t="n">
        <v>0.5953967999999999</v>
      </c>
      <c r="H235" t="n">
        <v>-0.0493</v>
      </c>
      <c r="I235" t="n">
        <v>-2496.55</v>
      </c>
      <c r="J235" t="n">
        <v>-0.0512</v>
      </c>
      <c r="K235" t="n">
        <v>77821</v>
      </c>
    </row>
    <row r="236">
      <c r="A236" t="inlineStr">
        <is>
          <t>MMS.ASX</t>
        </is>
      </c>
      <c r="B236" t="inlineStr">
        <is>
          <t>McMillan Shakespeare Limited Ordinary</t>
        </is>
      </c>
      <c r="C236" t="inlineStr">
        <is>
          <t>Closed</t>
        </is>
      </c>
      <c r="D236" s="35" t="n">
        <v>41471</v>
      </c>
      <c r="E236" t="n">
        <v>9.182461999999999</v>
      </c>
      <c r="F236" s="35" t="n">
        <v>41488</v>
      </c>
      <c r="G236" t="n">
        <v>5.05289</v>
      </c>
      <c r="H236" t="n">
        <v>-0.4497</v>
      </c>
      <c r="I236" t="n">
        <v>-25289.64</v>
      </c>
      <c r="J236" t="n">
        <v>-0.4513</v>
      </c>
      <c r="K236" t="n">
        <v>6103</v>
      </c>
    </row>
    <row r="237">
      <c r="A237" t="inlineStr">
        <is>
          <t>NVN-201505.ASX</t>
        </is>
      </c>
      <c r="B237" t="inlineStr">
        <is>
          <t>Novion Property Group Stapled Securities</t>
        </is>
      </c>
      <c r="C237" t="inlineStr">
        <is>
          <t>Closed</t>
        </is>
      </c>
      <c r="D237" s="35" t="n">
        <v>40886</v>
      </c>
      <c r="E237" t="n">
        <v>1.465609</v>
      </c>
      <c r="F237" s="35" t="n">
        <v>41432</v>
      </c>
      <c r="G237" t="n">
        <v>1.756683</v>
      </c>
      <c r="H237" t="n">
        <v>0.1986</v>
      </c>
      <c r="I237" t="n">
        <v>8064.17</v>
      </c>
      <c r="J237" t="n">
        <v>0.1964</v>
      </c>
      <c r="K237" t="n">
        <v>28015</v>
      </c>
    </row>
    <row r="238">
      <c r="A238" t="inlineStr">
        <is>
          <t>WBC.ASX</t>
        </is>
      </c>
      <c r="B238" t="inlineStr">
        <is>
          <t>Westpac Banking Corporation Ordinary</t>
        </is>
      </c>
      <c r="C238" t="inlineStr">
        <is>
          <t>Closed</t>
        </is>
      </c>
      <c r="D238" s="35" t="n">
        <v>40851</v>
      </c>
      <c r="E238" t="n">
        <v>10.10148</v>
      </c>
      <c r="F238" s="35" t="n">
        <v>41432</v>
      </c>
      <c r="G238" t="n">
        <v>14.71911</v>
      </c>
      <c r="H238" t="n">
        <v>0.4571</v>
      </c>
      <c r="I238" t="n">
        <v>18807.55</v>
      </c>
      <c r="J238" t="n">
        <v>0.4547</v>
      </c>
      <c r="K238" t="n">
        <v>4095</v>
      </c>
    </row>
    <row r="239">
      <c r="A239" t="inlineStr">
        <is>
          <t>EWC.ASX</t>
        </is>
      </c>
      <c r="B239" t="inlineStr">
        <is>
          <t>Energy World Corporation Ltd Ordinary</t>
        </is>
      </c>
      <c r="C239" t="inlineStr">
        <is>
          <t>Closed</t>
        </is>
      </c>
      <c r="D239" s="35" t="n">
        <v>41383</v>
      </c>
      <c r="E239" t="n">
        <v>0.3891455</v>
      </c>
      <c r="F239" s="35" t="n">
        <v>41390</v>
      </c>
      <c r="G239" t="n">
        <v>0.328195</v>
      </c>
      <c r="H239" t="n">
        <v>-0.1566</v>
      </c>
      <c r="I239" t="n">
        <v>-8766.700000000001</v>
      </c>
      <c r="J239" t="n">
        <v>-0.1585</v>
      </c>
      <c r="K239" t="n">
        <v>142160</v>
      </c>
    </row>
    <row r="240">
      <c r="A240" t="inlineStr">
        <is>
          <t>IGO.ASX</t>
        </is>
      </c>
      <c r="B240" t="inlineStr">
        <is>
          <t>IGO Limited Ordinary</t>
        </is>
      </c>
      <c r="C240" t="inlineStr">
        <is>
          <t>Closed</t>
        </is>
      </c>
      <c r="D240" s="35" t="n">
        <v>41250</v>
      </c>
      <c r="E240" t="n">
        <v>3.579138</v>
      </c>
      <c r="F240" s="35" t="n">
        <v>41376</v>
      </c>
      <c r="G240" t="n">
        <v>2.807913</v>
      </c>
      <c r="H240" t="n">
        <v>-0.2155</v>
      </c>
      <c r="I240" t="n">
        <v>-10589.52</v>
      </c>
      <c r="J240" t="n">
        <v>-0.2173</v>
      </c>
      <c r="K240" t="n">
        <v>13618</v>
      </c>
    </row>
    <row r="241">
      <c r="A241" t="inlineStr">
        <is>
          <t>CDD-202501.ASX</t>
        </is>
      </c>
      <c r="B241" t="inlineStr">
        <is>
          <t>Cardno Limited Ordinary</t>
        </is>
      </c>
      <c r="C241" t="inlineStr">
        <is>
          <t>Closed</t>
        </is>
      </c>
      <c r="D241" s="35" t="n">
        <v>41117</v>
      </c>
      <c r="E241" t="n">
        <v>0.03340991</v>
      </c>
      <c r="F241" s="35" t="n">
        <v>41243</v>
      </c>
      <c r="G241" t="n">
        <v>0.02652024</v>
      </c>
      <c r="H241" t="n">
        <v>-0.2062</v>
      </c>
      <c r="I241" t="n">
        <v>-9477.860000000001</v>
      </c>
      <c r="J241" t="n">
        <v>-0.208</v>
      </c>
      <c r="K241" t="n">
        <v>1363800</v>
      </c>
    </row>
    <row r="242">
      <c r="A242" t="inlineStr">
        <is>
          <t>HDF-201211.ASX</t>
        </is>
      </c>
      <c r="B242" t="inlineStr">
        <is>
          <t>APA SUB Group Stapled Security</t>
        </is>
      </c>
      <c r="C242" t="inlineStr">
        <is>
          <t>Closed</t>
        </is>
      </c>
      <c r="D242" s="35" t="n">
        <v>40178</v>
      </c>
      <c r="E242" t="n">
        <v>0.9536029</v>
      </c>
      <c r="F242" s="35" t="n">
        <v>41236</v>
      </c>
      <c r="G242" t="n">
        <v>2.79</v>
      </c>
      <c r="H242" t="n">
        <v>1.9257</v>
      </c>
      <c r="I242" t="n">
        <v>89578.27</v>
      </c>
      <c r="J242" t="n">
        <v>1.9218</v>
      </c>
      <c r="K242" t="n">
        <v>48879</v>
      </c>
    </row>
    <row r="243">
      <c r="A243" t="inlineStr">
        <is>
          <t>RRL.ASX</t>
        </is>
      </c>
      <c r="B243" t="inlineStr">
        <is>
          <t>Regis Resources Limited Ordinary</t>
        </is>
      </c>
      <c r="C243" t="inlineStr">
        <is>
          <t>Closed</t>
        </is>
      </c>
      <c r="D243" s="35" t="n">
        <v>40858</v>
      </c>
      <c r="E243" t="n">
        <v>2.235217</v>
      </c>
      <c r="F243" s="35" t="n">
        <v>41047</v>
      </c>
      <c r="G243" t="n">
        <v>2.7582</v>
      </c>
      <c r="H243" t="n">
        <v>0.234</v>
      </c>
      <c r="I243" t="n">
        <v>9466.780000000001</v>
      </c>
      <c r="J243" t="n">
        <v>0.2317</v>
      </c>
      <c r="K243" t="n">
        <v>18276</v>
      </c>
    </row>
    <row r="244">
      <c r="A244" t="inlineStr">
        <is>
          <t>BEN.ASX</t>
        </is>
      </c>
      <c r="B244" t="inlineStr">
        <is>
          <t>Bendigo and Adelaide Bank Limited Ordinary</t>
        </is>
      </c>
      <c r="C244" t="inlineStr">
        <is>
          <t>Closed</t>
        </is>
      </c>
      <c r="D244" s="35" t="n">
        <v>40851</v>
      </c>
      <c r="E244" t="n">
        <v>4.354164</v>
      </c>
      <c r="F244" s="35" t="n">
        <v>40907</v>
      </c>
      <c r="G244" t="n">
        <v>3.758569</v>
      </c>
      <c r="H244" t="n">
        <v>-0.1368</v>
      </c>
      <c r="I244" t="n">
        <v>-5738.24</v>
      </c>
      <c r="J244" t="n">
        <v>-0.1387</v>
      </c>
      <c r="K244" t="n">
        <v>9505</v>
      </c>
    </row>
    <row r="245">
      <c r="A245" t="inlineStr">
        <is>
          <t>JHX.ASX</t>
        </is>
      </c>
      <c r="B245" t="inlineStr">
        <is>
          <t>James Hardie Industries PLC CDI 1:1</t>
        </is>
      </c>
      <c r="C245" t="inlineStr">
        <is>
          <t>Closed</t>
        </is>
      </c>
      <c r="D245" s="35" t="n">
        <v>40851</v>
      </c>
      <c r="E245" t="n">
        <v>4.572368</v>
      </c>
      <c r="F245" s="35" t="n">
        <v>40900</v>
      </c>
      <c r="G245" t="n">
        <v>4.664377</v>
      </c>
      <c r="H245" t="n">
        <v>0.0201</v>
      </c>
      <c r="I245" t="n">
        <v>749.01</v>
      </c>
      <c r="J245" t="n">
        <v>0.0181</v>
      </c>
      <c r="K245" t="n">
        <v>9049</v>
      </c>
    </row>
    <row r="246">
      <c r="A246" t="inlineStr">
        <is>
          <t>RSG.ASX</t>
        </is>
      </c>
      <c r="B246" t="inlineStr">
        <is>
          <t>Resolute Mining Limited Ordinary</t>
        </is>
      </c>
      <c r="C246" t="inlineStr">
        <is>
          <t>Closed</t>
        </is>
      </c>
      <c r="D246" s="35" t="n">
        <v>40865</v>
      </c>
      <c r="E246" t="n">
        <v>1.64826</v>
      </c>
      <c r="F246" s="35" t="n">
        <v>40879</v>
      </c>
      <c r="G246" t="n">
        <v>1.564592</v>
      </c>
      <c r="H246" t="n">
        <v>-0.0508</v>
      </c>
      <c r="I246" t="n">
        <v>-2207.73</v>
      </c>
      <c r="J246" t="n">
        <v>-0.0527</v>
      </c>
      <c r="K246" t="n">
        <v>25411</v>
      </c>
    </row>
    <row r="247">
      <c r="A247" t="inlineStr">
        <is>
          <t>FWD.ASX</t>
        </is>
      </c>
      <c r="B247" t="inlineStr">
        <is>
          <t>Fleetwood Limited Ordinary</t>
        </is>
      </c>
      <c r="C247" t="inlineStr">
        <is>
          <t>Closed</t>
        </is>
      </c>
      <c r="D247" s="35" t="n">
        <v>40858</v>
      </c>
      <c r="E247" t="n">
        <v>8.735169000000001</v>
      </c>
      <c r="F247" s="35" t="n">
        <v>40879</v>
      </c>
      <c r="G247" t="n">
        <v>7.793939</v>
      </c>
      <c r="H247" t="n">
        <v>-0.1078</v>
      </c>
      <c r="I247" t="n">
        <v>-4479.44</v>
      </c>
      <c r="J247" t="n">
        <v>-0.1096</v>
      </c>
      <c r="K247" t="n">
        <v>4677</v>
      </c>
    </row>
    <row r="248">
      <c r="A248" t="inlineStr">
        <is>
          <t>VAH-202004.ASX</t>
        </is>
      </c>
      <c r="B248" t="inlineStr">
        <is>
          <t>Virgin Australia Holdings Limited Ordinary</t>
        </is>
      </c>
      <c r="C248" t="inlineStr">
        <is>
          <t>Closed</t>
        </is>
      </c>
      <c r="D248" s="35" t="n">
        <v>40858</v>
      </c>
      <c r="E248" t="n">
        <v>0.3737692</v>
      </c>
      <c r="F248" s="35" t="n">
        <v>40879</v>
      </c>
      <c r="G248" t="n">
        <v>0.3344251</v>
      </c>
      <c r="H248" t="n">
        <v>-0.1053</v>
      </c>
      <c r="I248" t="n">
        <v>-4378.68</v>
      </c>
      <c r="J248" t="n">
        <v>-0.1072</v>
      </c>
      <c r="K248" t="n">
        <v>109324</v>
      </c>
    </row>
    <row r="249">
      <c r="A249" t="inlineStr">
        <is>
          <t>NAB.ASX</t>
        </is>
      </c>
      <c r="B249" t="inlineStr">
        <is>
          <t>National Australia Bank Limited Ordinary</t>
        </is>
      </c>
      <c r="C249" t="inlineStr">
        <is>
          <t>Closed</t>
        </is>
      </c>
      <c r="D249" s="35" t="n">
        <v>40851</v>
      </c>
      <c r="E249" t="n">
        <v>10.90368</v>
      </c>
      <c r="F249" s="35" t="n">
        <v>40879</v>
      </c>
      <c r="G249" t="n">
        <v>9.8172</v>
      </c>
      <c r="H249" t="n">
        <v>-0.09959999999999999</v>
      </c>
      <c r="I249" t="n">
        <v>-4200.72</v>
      </c>
      <c r="J249" t="n">
        <v>-0.1015</v>
      </c>
      <c r="K249" t="n">
        <v>3794</v>
      </c>
    </row>
    <row r="250">
      <c r="A250" t="inlineStr">
        <is>
          <t>NVT-201906.ASX</t>
        </is>
      </c>
      <c r="B250" t="inlineStr">
        <is>
          <t>Navitas Limited Ordinary</t>
        </is>
      </c>
      <c r="C250" t="inlineStr">
        <is>
          <t>Closed</t>
        </is>
      </c>
      <c r="D250" s="35" t="n">
        <v>40851</v>
      </c>
      <c r="E250" t="n">
        <v>3.131643</v>
      </c>
      <c r="F250" s="35" t="n">
        <v>40879</v>
      </c>
      <c r="G250" t="n">
        <v>2.658517</v>
      </c>
      <c r="H250" t="n">
        <v>-0.1511</v>
      </c>
      <c r="I250" t="n">
        <v>-6328.4</v>
      </c>
      <c r="J250" t="n">
        <v>-0.1529</v>
      </c>
      <c r="K250" t="n">
        <v>13214</v>
      </c>
    </row>
    <row r="251">
      <c r="A251" t="inlineStr">
        <is>
          <t>SUN.ASX</t>
        </is>
      </c>
      <c r="B251" t="inlineStr">
        <is>
          <t>Suncorp Group Limited Ordinary</t>
        </is>
      </c>
      <c r="C251" t="inlineStr">
        <is>
          <t>Closed</t>
        </is>
      </c>
      <c r="D251" s="35" t="n">
        <v>40851</v>
      </c>
      <c r="E251" t="n">
        <v>4.101201</v>
      </c>
      <c r="F251" s="35" t="n">
        <v>40879</v>
      </c>
      <c r="G251" t="n">
        <v>3.783168</v>
      </c>
      <c r="H251" t="n">
        <v>-0.0775</v>
      </c>
      <c r="I251" t="n">
        <v>-3289.16</v>
      </c>
      <c r="J251" t="n">
        <v>-0.0795</v>
      </c>
      <c r="K251" t="n">
        <v>10092</v>
      </c>
    </row>
    <row r="252">
      <c r="A252" t="inlineStr">
        <is>
          <t>FBU.ASX</t>
        </is>
      </c>
      <c r="B252" t="inlineStr">
        <is>
          <t>Fletcher Building Limited Ordinary Foreign Exempt NZX</t>
        </is>
      </c>
      <c r="C252" t="inlineStr">
        <is>
          <t>Closed</t>
        </is>
      </c>
      <c r="D252" s="35" t="n">
        <v>40641</v>
      </c>
      <c r="E252" t="n">
        <v>3.866837</v>
      </c>
      <c r="F252" s="35" t="n">
        <v>40837</v>
      </c>
      <c r="G252" t="n">
        <v>3.060731</v>
      </c>
      <c r="H252" t="n">
        <v>-0.2085</v>
      </c>
      <c r="I252" t="n">
        <v>-9791.360000000001</v>
      </c>
      <c r="J252" t="n">
        <v>-0.2103</v>
      </c>
      <c r="K252" t="n">
        <v>12043</v>
      </c>
    </row>
    <row r="253">
      <c r="A253" t="inlineStr">
        <is>
          <t>IOF-201812.ASX</t>
        </is>
      </c>
      <c r="B253" t="inlineStr">
        <is>
          <t>Investa Office Fund Stapled Securities</t>
        </is>
      </c>
      <c r="C253" t="inlineStr">
        <is>
          <t>Closed</t>
        </is>
      </c>
      <c r="D253" s="35" t="n">
        <v>40641</v>
      </c>
      <c r="E253" t="n">
        <v>1.688533</v>
      </c>
      <c r="F253" s="35" t="n">
        <v>40774</v>
      </c>
      <c r="G253" t="n">
        <v>1.589826</v>
      </c>
      <c r="H253" t="n">
        <v>-0.0585</v>
      </c>
      <c r="I253" t="n">
        <v>-2812.45</v>
      </c>
      <c r="J253" t="n">
        <v>-0.0604</v>
      </c>
      <c r="K253" t="n">
        <v>27577</v>
      </c>
    </row>
    <row r="254">
      <c r="A254" t="inlineStr">
        <is>
          <t>ALX.ASX</t>
        </is>
      </c>
      <c r="B254" t="inlineStr">
        <is>
          <t>Atlas Arteria FPO Stap US Prohibited Excluding QIB/QP</t>
        </is>
      </c>
      <c r="C254" t="inlineStr">
        <is>
          <t>Closed</t>
        </is>
      </c>
      <c r="D254" s="35" t="n">
        <v>40403</v>
      </c>
      <c r="E254" t="n">
        <v>0.6629024</v>
      </c>
      <c r="F254" s="35" t="n">
        <v>40774</v>
      </c>
      <c r="G254" t="n">
        <v>0.7597881</v>
      </c>
      <c r="H254" t="n">
        <v>0.1462</v>
      </c>
      <c r="I254" t="n">
        <v>6080.9</v>
      </c>
      <c r="J254" t="n">
        <v>0.144</v>
      </c>
      <c r="K254" t="n">
        <v>63699</v>
      </c>
    </row>
    <row r="255">
      <c r="A255" t="inlineStr">
        <is>
          <t>IFL.ASX</t>
        </is>
      </c>
      <c r="B255" t="inlineStr">
        <is>
          <t>Insignia Financial Ltd Ordinary</t>
        </is>
      </c>
      <c r="C255" t="inlineStr">
        <is>
          <t>Closed</t>
        </is>
      </c>
      <c r="D255" s="35" t="n">
        <v>40480</v>
      </c>
      <c r="E255" t="n">
        <v>2.906061</v>
      </c>
      <c r="F255" s="35" t="n">
        <v>40767</v>
      </c>
      <c r="G255" t="n">
        <v>2.369928</v>
      </c>
      <c r="H255" t="n">
        <v>-0.1845</v>
      </c>
      <c r="I255" t="n">
        <v>-8659.299999999999</v>
      </c>
      <c r="J255" t="n">
        <v>-0.1863</v>
      </c>
      <c r="K255" t="n">
        <v>15994</v>
      </c>
    </row>
    <row r="256">
      <c r="A256" t="inlineStr">
        <is>
          <t>RMD.ASX</t>
        </is>
      </c>
      <c r="B256" t="inlineStr">
        <is>
          <t>Resmed Inc CDI 10:1 Foreign Exempt NYSE</t>
        </is>
      </c>
      <c r="C256" t="inlineStr">
        <is>
          <t>Closed</t>
        </is>
      </c>
      <c r="D256" s="35" t="n">
        <v>40178</v>
      </c>
      <c r="E256" t="n">
        <v>2.59631</v>
      </c>
      <c r="F256" s="35" t="n">
        <v>40760</v>
      </c>
      <c r="G256" t="n">
        <v>2.395924</v>
      </c>
      <c r="H256" t="n">
        <v>-0.0772</v>
      </c>
      <c r="I256" t="n">
        <v>-3686.13</v>
      </c>
      <c r="J256" t="n">
        <v>-0.0791</v>
      </c>
      <c r="K256" t="n">
        <v>17948</v>
      </c>
    </row>
    <row r="257">
      <c r="A257" t="inlineStr">
        <is>
          <t>JBH.ASX</t>
        </is>
      </c>
      <c r="B257" t="inlineStr">
        <is>
          <t>JB HI-FI Limited Ordinary</t>
        </is>
      </c>
      <c r="C257" t="inlineStr">
        <is>
          <t>Closed</t>
        </is>
      </c>
      <c r="D257" s="35" t="n">
        <v>39906</v>
      </c>
      <c r="E257" t="n">
        <v>5.14864</v>
      </c>
      <c r="F257" s="35" t="n">
        <v>40746</v>
      </c>
      <c r="G257" t="n">
        <v>7.392593</v>
      </c>
      <c r="H257" t="n">
        <v>0.4358</v>
      </c>
      <c r="I257" t="n">
        <v>15057.57</v>
      </c>
      <c r="J257" t="n">
        <v>0.4334</v>
      </c>
      <c r="K257" t="n">
        <v>6748</v>
      </c>
    </row>
    <row r="258">
      <c r="A258" t="inlineStr">
        <is>
          <t>LYC.ASX</t>
        </is>
      </c>
      <c r="B258" t="inlineStr">
        <is>
          <t>Lynas Rare Earths Limited Ordinary</t>
        </is>
      </c>
      <c r="C258" t="inlineStr">
        <is>
          <t>Closed</t>
        </is>
      </c>
      <c r="D258" s="35" t="n">
        <v>40648</v>
      </c>
      <c r="E258" t="n">
        <v>24.85476</v>
      </c>
      <c r="F258" s="35" t="n">
        <v>40711</v>
      </c>
      <c r="G258" t="n">
        <v>20.12052</v>
      </c>
      <c r="H258" t="n">
        <v>-0.1905</v>
      </c>
      <c r="I258" t="n">
        <v>-8980.15</v>
      </c>
      <c r="J258" t="n">
        <v>-0.1923</v>
      </c>
      <c r="K258" t="n">
        <v>1879</v>
      </c>
    </row>
    <row r="259">
      <c r="A259" t="inlineStr">
        <is>
          <t>SGH.ASX</t>
        </is>
      </c>
      <c r="B259" t="inlineStr">
        <is>
          <t>SGH Limited Ordinary</t>
        </is>
      </c>
      <c r="C259" t="inlineStr">
        <is>
          <t>Closed</t>
        </is>
      </c>
      <c r="D259" s="35" t="n">
        <v>40654</v>
      </c>
      <c r="E259" t="n">
        <v>5.677436</v>
      </c>
      <c r="F259" s="35" t="n">
        <v>40690</v>
      </c>
      <c r="G259" t="n">
        <v>5.328338</v>
      </c>
      <c r="H259" t="n">
        <v>-0.0615</v>
      </c>
      <c r="I259" t="n">
        <v>-2921.16</v>
      </c>
      <c r="J259" t="n">
        <v>-0.0634</v>
      </c>
      <c r="K259" t="n">
        <v>8112</v>
      </c>
    </row>
    <row r="260">
      <c r="A260" t="inlineStr">
        <is>
          <t>GRY-201609.ASX</t>
        </is>
      </c>
      <c r="B260" t="inlineStr">
        <is>
          <t>Gryphon Minerals Limited Ordinary</t>
        </is>
      </c>
      <c r="C260" t="inlineStr">
        <is>
          <t>Closed</t>
        </is>
      </c>
      <c r="D260" s="35" t="n">
        <v>40648</v>
      </c>
      <c r="E260" t="n">
        <v>2.08</v>
      </c>
      <c r="F260" s="35" t="n">
        <v>40676</v>
      </c>
      <c r="G260" t="n">
        <v>1.53</v>
      </c>
      <c r="H260" t="n">
        <v>-0.2644</v>
      </c>
      <c r="I260" t="n">
        <v>-12429.1</v>
      </c>
      <c r="J260" t="n">
        <v>-0.2662</v>
      </c>
      <c r="K260" t="n">
        <v>22451</v>
      </c>
    </row>
    <row r="261">
      <c r="A261" t="inlineStr">
        <is>
          <t>PRN.ASX</t>
        </is>
      </c>
      <c r="B261" t="inlineStr">
        <is>
          <t>Perenti Limited Ordinary</t>
        </is>
      </c>
      <c r="C261" t="inlineStr">
        <is>
          <t>Closed</t>
        </is>
      </c>
      <c r="D261" s="35" t="n">
        <v>40641</v>
      </c>
      <c r="E261" t="n">
        <v>2.213479</v>
      </c>
      <c r="F261" s="35" t="n">
        <v>40676</v>
      </c>
      <c r="G261" t="n">
        <v>1.881881</v>
      </c>
      <c r="H261" t="n">
        <v>-0.1498</v>
      </c>
      <c r="I261" t="n">
        <v>-7064.67</v>
      </c>
      <c r="J261" t="n">
        <v>-0.1517</v>
      </c>
      <c r="K261" t="n">
        <v>21045</v>
      </c>
    </row>
    <row r="262">
      <c r="A262" t="inlineStr">
        <is>
          <t>SDG-202310.ASX</t>
        </is>
      </c>
      <c r="B262" t="inlineStr">
        <is>
          <t>Sunland Group Limited Ordinary</t>
        </is>
      </c>
      <c r="C262" t="inlineStr">
        <is>
          <t>Closed</t>
        </is>
      </c>
      <c r="D262" s="35" t="n">
        <v>40018</v>
      </c>
      <c r="E262" t="n">
        <v>0.008416654000000001</v>
      </c>
      <c r="F262" s="35" t="n">
        <v>40627</v>
      </c>
      <c r="G262" t="n">
        <v>0.007955466</v>
      </c>
      <c r="H262" t="n">
        <v>-0.0548</v>
      </c>
      <c r="I262" t="n">
        <v>-2263.43</v>
      </c>
      <c r="J262" t="n">
        <v>-0.0567</v>
      </c>
      <c r="K262" t="n">
        <v>4739652</v>
      </c>
    </row>
    <row r="263">
      <c r="A263" t="inlineStr">
        <is>
          <t>LYC.ASX</t>
        </is>
      </c>
      <c r="B263" t="inlineStr">
        <is>
          <t>Lynas Rare Earths Limited Ordinary</t>
        </is>
      </c>
      <c r="C263" t="inlineStr">
        <is>
          <t>Closed</t>
        </is>
      </c>
      <c r="D263" s="35" t="n">
        <v>40403</v>
      </c>
      <c r="E263" t="n">
        <v>8.778069</v>
      </c>
      <c r="F263" s="35" t="n">
        <v>40620</v>
      </c>
      <c r="G263" t="n">
        <v>19.03559</v>
      </c>
      <c r="H263" t="n">
        <v>1.1685</v>
      </c>
      <c r="I263" t="n">
        <v>49215.12</v>
      </c>
      <c r="J263" t="n">
        <v>1.1654</v>
      </c>
      <c r="K263" t="n">
        <v>4811</v>
      </c>
    </row>
    <row r="264">
      <c r="A264" t="inlineStr">
        <is>
          <t>AQA-201407.ASX</t>
        </is>
      </c>
      <c r="B264" t="inlineStr">
        <is>
          <t>Aquila Resources Limited Ordinary</t>
        </is>
      </c>
      <c r="C264" t="inlineStr">
        <is>
          <t>Closed</t>
        </is>
      </c>
      <c r="D264" s="35" t="n">
        <v>40522</v>
      </c>
      <c r="E264" t="n">
        <v>9.245547</v>
      </c>
      <c r="F264" s="35" t="n">
        <v>40620</v>
      </c>
      <c r="G264" t="n">
        <v>6.790977</v>
      </c>
      <c r="H264" t="n">
        <v>-0.2655</v>
      </c>
      <c r="I264" t="n">
        <v>-12377.75</v>
      </c>
      <c r="J264" t="n">
        <v>-0.2672</v>
      </c>
      <c r="K264" t="n">
        <v>5010</v>
      </c>
    </row>
    <row r="265">
      <c r="A265" t="inlineStr">
        <is>
          <t>RRL.ASX</t>
        </is>
      </c>
      <c r="B265" t="inlineStr">
        <is>
          <t>Regis Resources Limited Ordinary</t>
        </is>
      </c>
      <c r="C265" t="inlineStr">
        <is>
          <t>Closed</t>
        </is>
      </c>
      <c r="D265" s="35" t="n">
        <v>40522</v>
      </c>
      <c r="E265" t="n">
        <v>1.518801</v>
      </c>
      <c r="F265" s="35" t="n">
        <v>40620</v>
      </c>
      <c r="G265" t="n">
        <v>1.375518</v>
      </c>
      <c r="H265" t="n">
        <v>-0.09429999999999999</v>
      </c>
      <c r="I265" t="n">
        <v>-4459.14</v>
      </c>
      <c r="J265" t="n">
        <v>-0.09619999999999999</v>
      </c>
      <c r="K265" t="n">
        <v>30505</v>
      </c>
    </row>
    <row r="266">
      <c r="A266" t="inlineStr">
        <is>
          <t>PNA-201506.ASX</t>
        </is>
      </c>
      <c r="B266" t="inlineStr">
        <is>
          <t>Panaust Limited Ordinary</t>
        </is>
      </c>
      <c r="C266" t="inlineStr">
        <is>
          <t>Closed</t>
        </is>
      </c>
      <c r="D266" s="35" t="n">
        <v>40403</v>
      </c>
      <c r="E266" t="n">
        <v>2.779939</v>
      </c>
      <c r="F266" s="35" t="n">
        <v>40620</v>
      </c>
      <c r="G266" t="n">
        <v>3.36396</v>
      </c>
      <c r="H266" t="n">
        <v>0.2101</v>
      </c>
      <c r="I266" t="n">
        <v>8774.49</v>
      </c>
      <c r="J266" t="n">
        <v>0.2079</v>
      </c>
      <c r="K266" t="n">
        <v>15184</v>
      </c>
    </row>
    <row r="267">
      <c r="A267" t="inlineStr">
        <is>
          <t>EQN-201107.ASX</t>
        </is>
      </c>
      <c r="B267" t="inlineStr">
        <is>
          <t>Equinox Minerals Limited CDI 1:1</t>
        </is>
      </c>
      <c r="C267" t="inlineStr">
        <is>
          <t>Closed</t>
        </is>
      </c>
      <c r="D267" s="35" t="n">
        <v>40403</v>
      </c>
      <c r="E267" t="n">
        <v>5.11</v>
      </c>
      <c r="F267" s="35" t="n">
        <v>40620</v>
      </c>
      <c r="G267" t="n">
        <v>5.16</v>
      </c>
      <c r="H267" t="n">
        <v>0.0098</v>
      </c>
      <c r="I267" t="n">
        <v>328.33</v>
      </c>
      <c r="J267" t="n">
        <v>0.0078</v>
      </c>
      <c r="K267" t="n">
        <v>8264</v>
      </c>
    </row>
    <row r="268">
      <c r="A268" t="inlineStr">
        <is>
          <t>JHG-202312.ASX</t>
        </is>
      </c>
      <c r="B268" t="inlineStr">
        <is>
          <t>Janus Henderson Group PLC CDI 1:1 Foreign Exempt NYSE</t>
        </is>
      </c>
      <c r="C268" t="inlineStr">
        <is>
          <t>Closed</t>
        </is>
      </c>
      <c r="D268" s="35" t="n">
        <v>40004</v>
      </c>
      <c r="E268" t="n">
        <v>9.455655</v>
      </c>
      <c r="F268" s="35" t="n">
        <v>40515</v>
      </c>
      <c r="G268" t="n">
        <v>10.14056</v>
      </c>
      <c r="H268" t="n">
        <v>0.07240000000000001</v>
      </c>
      <c r="I268" t="n">
        <v>2806.92</v>
      </c>
      <c r="J268" t="n">
        <v>0.0704</v>
      </c>
      <c r="K268" t="n">
        <v>4219</v>
      </c>
    </row>
    <row r="269">
      <c r="A269" t="inlineStr">
        <is>
          <t>GNC.ASX</t>
        </is>
      </c>
      <c r="B269" t="inlineStr">
        <is>
          <t>Graincorp Limited Ordinary Class A</t>
        </is>
      </c>
      <c r="C269" t="inlineStr">
        <is>
          <t>Closed</t>
        </is>
      </c>
      <c r="D269" s="35" t="n">
        <v>40403</v>
      </c>
      <c r="E269" t="n">
        <v>1.660824</v>
      </c>
      <c r="F269" s="35" t="n">
        <v>40515</v>
      </c>
      <c r="G269" t="n">
        <v>1.777601</v>
      </c>
      <c r="H269" t="n">
        <v>0.0703</v>
      </c>
      <c r="I269" t="n">
        <v>2880.16</v>
      </c>
      <c r="J269" t="n">
        <v>0.0682</v>
      </c>
      <c r="K269" t="n">
        <v>25412</v>
      </c>
    </row>
    <row r="270">
      <c r="A270" t="inlineStr">
        <is>
          <t>CEY-201010.ASX</t>
        </is>
      </c>
      <c r="B270" t="inlineStr">
        <is>
          <t>Centennial Coal Company Limited Ordinary</t>
        </is>
      </c>
      <c r="C270" t="inlineStr">
        <is>
          <t>Closed</t>
        </is>
      </c>
      <c r="D270" s="35" t="n">
        <v>40410</v>
      </c>
      <c r="E270" t="n">
        <v>6.03</v>
      </c>
      <c r="F270" s="35" t="n">
        <v>40479</v>
      </c>
      <c r="G270" t="n">
        <v>6.14</v>
      </c>
      <c r="H270" t="n">
        <v>0.0182</v>
      </c>
      <c r="I270" t="n">
        <v>670.72</v>
      </c>
      <c r="J270" t="n">
        <v>0.0162</v>
      </c>
      <c r="K270" t="n">
        <v>6856</v>
      </c>
    </row>
    <row r="271">
      <c r="A271" t="inlineStr">
        <is>
          <t>LNC-201311.ASX</t>
        </is>
      </c>
      <c r="B271" t="inlineStr">
        <is>
          <t>Linc Energy Ltd Ordinary</t>
        </is>
      </c>
      <c r="C271" t="inlineStr">
        <is>
          <t>Closed</t>
        </is>
      </c>
      <c r="D271" s="35" t="n">
        <v>40403</v>
      </c>
      <c r="E271" t="n">
        <v>1.836944</v>
      </c>
      <c r="F271" s="35" t="n">
        <v>40417</v>
      </c>
      <c r="G271" t="n">
        <v>1.577222</v>
      </c>
      <c r="H271" t="n">
        <v>-0.1414</v>
      </c>
      <c r="I271" t="n">
        <v>-6047.92</v>
      </c>
      <c r="J271" t="n">
        <v>-0.1432</v>
      </c>
      <c r="K271" t="n">
        <v>22984</v>
      </c>
    </row>
    <row r="272">
      <c r="A272" t="inlineStr">
        <is>
          <t>SYD-202202.ASX</t>
        </is>
      </c>
      <c r="B272" t="inlineStr">
        <is>
          <t>Sydney Airport Ordinary/Units Stapled Securities</t>
        </is>
      </c>
      <c r="C272" t="inlineStr">
        <is>
          <t>Closed</t>
        </is>
      </c>
      <c r="D272" s="35" t="n">
        <v>40249</v>
      </c>
      <c r="E272" t="n">
        <v>1.399022</v>
      </c>
      <c r="F272" s="35" t="n">
        <v>40326</v>
      </c>
      <c r="G272" t="n">
        <v>1.142397</v>
      </c>
      <c r="H272" t="n">
        <v>-0.1834</v>
      </c>
      <c r="I272" t="n">
        <v>-8465.15</v>
      </c>
      <c r="J272" t="n">
        <v>-0.1852</v>
      </c>
      <c r="K272" t="n">
        <v>32663</v>
      </c>
    </row>
    <row r="273">
      <c r="A273" t="inlineStr">
        <is>
          <t>AOV.ASX</t>
        </is>
      </c>
      <c r="B273" t="inlineStr">
        <is>
          <t>Amotiv Limited Ordinary</t>
        </is>
      </c>
      <c r="C273" t="inlineStr">
        <is>
          <t>Closed</t>
        </is>
      </c>
      <c r="D273" s="35" t="n">
        <v>39906</v>
      </c>
      <c r="E273" t="n">
        <v>2.557372</v>
      </c>
      <c r="F273" s="35" t="n">
        <v>40326</v>
      </c>
      <c r="G273" t="n">
        <v>3.495149</v>
      </c>
      <c r="H273" t="n">
        <v>0.3667</v>
      </c>
      <c r="I273" t="n">
        <v>12652.82</v>
      </c>
      <c r="J273" t="n">
        <v>0.3643</v>
      </c>
      <c r="K273" t="n">
        <v>13580</v>
      </c>
    </row>
    <row r="274">
      <c r="A274" t="inlineStr">
        <is>
          <t>ARI-201604.ASX</t>
        </is>
      </c>
      <c r="B274" t="inlineStr">
        <is>
          <t>Arrium Limited Ordinary</t>
        </is>
      </c>
      <c r="C274" t="inlineStr">
        <is>
          <t>Closed</t>
        </is>
      </c>
      <c r="D274" s="35" t="n">
        <v>40249</v>
      </c>
      <c r="E274" t="n">
        <v>2.420557</v>
      </c>
      <c r="F274" s="35" t="n">
        <v>40312</v>
      </c>
      <c r="G274" t="n">
        <v>2.214975</v>
      </c>
      <c r="H274" t="n">
        <v>-0.0849</v>
      </c>
      <c r="I274" t="n">
        <v>-3967.65</v>
      </c>
      <c r="J274" t="n">
        <v>-0.0868</v>
      </c>
      <c r="K274" t="n">
        <v>18874</v>
      </c>
    </row>
    <row r="275">
      <c r="A275" t="inlineStr">
        <is>
          <t>MAH.ASX</t>
        </is>
      </c>
      <c r="B275" t="inlineStr">
        <is>
          <t>Macmahon Holdings Limited Ordinary</t>
        </is>
      </c>
      <c r="C275" t="inlineStr">
        <is>
          <t>Closed</t>
        </is>
      </c>
      <c r="D275" s="35" t="n">
        <v>40249</v>
      </c>
      <c r="E275" t="n">
        <v>0.45194</v>
      </c>
      <c r="F275" s="35" t="n">
        <v>40312</v>
      </c>
      <c r="G275" t="n">
        <v>0.3845099</v>
      </c>
      <c r="H275" t="n">
        <v>-0.1492</v>
      </c>
      <c r="I275" t="n">
        <v>-6901.75</v>
      </c>
      <c r="J275" t="n">
        <v>-0.1511</v>
      </c>
      <c r="K275" t="n">
        <v>101100</v>
      </c>
    </row>
    <row r="276">
      <c r="A276" t="inlineStr">
        <is>
          <t>VAH-202004.ASX</t>
        </is>
      </c>
      <c r="B276" t="inlineStr">
        <is>
          <t>Virgin Australia Holdings Limited Ordinary</t>
        </is>
      </c>
      <c r="C276" t="inlineStr">
        <is>
          <t>Closed</t>
        </is>
      </c>
      <c r="D276" s="35" t="n">
        <v>40249</v>
      </c>
      <c r="E276" t="n">
        <v>0.6885223</v>
      </c>
      <c r="F276" s="35" t="n">
        <v>40312</v>
      </c>
      <c r="G276" t="n">
        <v>0.4918016</v>
      </c>
      <c r="H276" t="n">
        <v>-0.2857</v>
      </c>
      <c r="I276" t="n">
        <v>-13136.27</v>
      </c>
      <c r="J276" t="n">
        <v>-0.2874</v>
      </c>
      <c r="K276" t="n">
        <v>66378</v>
      </c>
    </row>
    <row r="277">
      <c r="A277" t="inlineStr">
        <is>
          <t>HIL-202305.ASX</t>
        </is>
      </c>
      <c r="B277" t="inlineStr">
        <is>
          <t>Hills Limited Ordinary</t>
        </is>
      </c>
      <c r="C277" t="inlineStr">
        <is>
          <t>Closed</t>
        </is>
      </c>
      <c r="D277" s="35" t="n">
        <v>40249</v>
      </c>
      <c r="E277" t="n">
        <v>1.738344</v>
      </c>
      <c r="F277" s="35" t="n">
        <v>40312</v>
      </c>
      <c r="G277" t="n">
        <v>1.390675</v>
      </c>
      <c r="H277" t="n">
        <v>-0.2</v>
      </c>
      <c r="I277" t="n">
        <v>-9223.879999999999</v>
      </c>
      <c r="J277" t="n">
        <v>-0.2018</v>
      </c>
      <c r="K277" t="n">
        <v>26294</v>
      </c>
    </row>
    <row r="278">
      <c r="A278" t="inlineStr">
        <is>
          <t>SGH.ASX</t>
        </is>
      </c>
      <c r="B278" t="inlineStr">
        <is>
          <t>SGH Limited Ordinary</t>
        </is>
      </c>
      <c r="C278" t="inlineStr">
        <is>
          <t>Closed</t>
        </is>
      </c>
      <c r="D278" s="35" t="n">
        <v>40178</v>
      </c>
      <c r="E278" t="n">
        <v>3.846999</v>
      </c>
      <c r="F278" s="35" t="n">
        <v>40312</v>
      </c>
      <c r="G278" t="n">
        <v>3.94063</v>
      </c>
      <c r="H278" t="n">
        <v>0.0243</v>
      </c>
      <c r="I278" t="n">
        <v>1039.91</v>
      </c>
      <c r="J278" t="n">
        <v>0.0223</v>
      </c>
      <c r="K278" t="n">
        <v>12114</v>
      </c>
    </row>
    <row r="279">
      <c r="A279" t="inlineStr">
        <is>
          <t>CPU.ASX</t>
        </is>
      </c>
      <c r="B279" t="inlineStr">
        <is>
          <t>Computershare Limited Ordinary</t>
        </is>
      </c>
      <c r="C279" t="inlineStr">
        <is>
          <t>Closed</t>
        </is>
      </c>
      <c r="D279" s="35" t="n">
        <v>39906</v>
      </c>
      <c r="E279" t="n">
        <v>5.495842</v>
      </c>
      <c r="F279" s="35" t="n">
        <v>40312</v>
      </c>
      <c r="G279" t="n">
        <v>7.387796</v>
      </c>
      <c r="H279" t="n">
        <v>0.3443</v>
      </c>
      <c r="I279" t="n">
        <v>11868.21</v>
      </c>
      <c r="J279" t="n">
        <v>0.3419</v>
      </c>
      <c r="K279" t="n">
        <v>6316</v>
      </c>
    </row>
    <row r="280">
      <c r="A280" t="inlineStr">
        <is>
          <t>AUN-201204.ASX</t>
        </is>
      </c>
      <c r="B280" t="inlineStr">
        <is>
          <t>Austar United Communications Limited Ordinary</t>
        </is>
      </c>
      <c r="C280" t="inlineStr">
        <is>
          <t>Closed</t>
        </is>
      </c>
      <c r="D280" s="35" t="n">
        <v>40018</v>
      </c>
      <c r="E280" t="n">
        <v>0.9350000000000001</v>
      </c>
      <c r="F280" s="35" t="n">
        <v>40242</v>
      </c>
      <c r="G280" t="n">
        <v>1.13</v>
      </c>
      <c r="H280" t="n">
        <v>0.2086</v>
      </c>
      <c r="I280" t="n">
        <v>8228.48</v>
      </c>
      <c r="J280" t="n">
        <v>0.2063</v>
      </c>
      <c r="K280" t="n">
        <v>42649</v>
      </c>
    </row>
    <row r="281">
      <c r="A281" t="inlineStr">
        <is>
          <t>CEH.ASX</t>
        </is>
      </c>
      <c r="B281" t="inlineStr">
        <is>
          <t>Coast Entertainment Holdings Limited Ordinary</t>
        </is>
      </c>
      <c r="C281" t="inlineStr">
        <is>
          <t>Closed</t>
        </is>
      </c>
      <c r="D281" s="35" t="n">
        <v>40178</v>
      </c>
      <c r="E281" t="n">
        <v>0.3203759</v>
      </c>
      <c r="F281" s="35" t="n">
        <v>40214</v>
      </c>
      <c r="G281" t="n">
        <v>0.3097611</v>
      </c>
      <c r="H281" t="n">
        <v>-0.0331</v>
      </c>
      <c r="I281" t="n">
        <v>-1635.41</v>
      </c>
      <c r="J281" t="n">
        <v>-0.0351</v>
      </c>
      <c r="K281" t="n">
        <v>145435</v>
      </c>
    </row>
    <row r="282">
      <c r="A282" t="inlineStr">
        <is>
          <t>CAR.ASX</t>
        </is>
      </c>
      <c r="B282" t="inlineStr">
        <is>
          <t>Car Group Limited Ordinary</t>
        </is>
      </c>
      <c r="C282" t="inlineStr">
        <is>
          <t>Closed</t>
        </is>
      </c>
      <c r="D282" s="35" t="n">
        <v>40178</v>
      </c>
      <c r="E282" t="n">
        <v>3.23609</v>
      </c>
      <c r="F282" s="35" t="n">
        <v>40214</v>
      </c>
      <c r="G282" t="n">
        <v>2.672001</v>
      </c>
      <c r="H282" t="n">
        <v>-0.1743</v>
      </c>
      <c r="I282" t="n">
        <v>-8210.809999999999</v>
      </c>
      <c r="J282" t="n">
        <v>-0.1761</v>
      </c>
      <c r="K282" t="n">
        <v>14405</v>
      </c>
    </row>
    <row r="283">
      <c r="A283" t="inlineStr">
        <is>
          <t>WHC.ASX</t>
        </is>
      </c>
      <c r="B283" t="inlineStr">
        <is>
          <t>Whitehaven Coal Limited Ordinary</t>
        </is>
      </c>
      <c r="C283" t="inlineStr">
        <is>
          <t>Closed</t>
        </is>
      </c>
      <c r="D283" s="35" t="n">
        <v>40178</v>
      </c>
      <c r="E283" t="n">
        <v>2.632029</v>
      </c>
      <c r="F283" s="35" t="n">
        <v>40214</v>
      </c>
      <c r="G283" t="n">
        <v>2.295001</v>
      </c>
      <c r="H283" t="n">
        <v>-0.128</v>
      </c>
      <c r="I283" t="n">
        <v>-6057.05</v>
      </c>
      <c r="J283" t="n">
        <v>-0.1299</v>
      </c>
      <c r="K283" t="n">
        <v>17713</v>
      </c>
    </row>
    <row r="284">
      <c r="A284" t="inlineStr">
        <is>
          <t>BHP.ASX</t>
        </is>
      </c>
      <c r="B284" t="inlineStr">
        <is>
          <t>BHP Group Limited Ordinary</t>
        </is>
      </c>
      <c r="C284" t="inlineStr">
        <is>
          <t>Closed</t>
        </is>
      </c>
      <c r="D284" s="35" t="n">
        <v>39906</v>
      </c>
      <c r="E284" t="n">
        <v>11.97544</v>
      </c>
      <c r="F284" s="35" t="n">
        <v>40214</v>
      </c>
      <c r="G284" t="n">
        <v>14.39045</v>
      </c>
      <c r="H284" t="n">
        <v>0.2017</v>
      </c>
      <c r="I284" t="n">
        <v>6924.68</v>
      </c>
      <c r="J284" t="n">
        <v>0.1995</v>
      </c>
      <c r="K284" t="n">
        <v>2899</v>
      </c>
    </row>
    <row r="285">
      <c r="A285" t="inlineStr">
        <is>
          <t>GCL-201206.ASX</t>
        </is>
      </c>
      <c r="B285" t="inlineStr">
        <is>
          <t>Gloucester Coal Ltd Ordinary</t>
        </is>
      </c>
      <c r="C285" t="inlineStr">
        <is>
          <t>Closed</t>
        </is>
      </c>
      <c r="D285" s="35" t="n">
        <v>39906</v>
      </c>
      <c r="E285" t="n">
        <v>2.493555</v>
      </c>
      <c r="F285" s="35" t="n">
        <v>40214</v>
      </c>
      <c r="G285" t="n">
        <v>4.053878</v>
      </c>
      <c r="H285" t="n">
        <v>0.6257</v>
      </c>
      <c r="I285" t="n">
        <v>21645.65</v>
      </c>
      <c r="J285" t="n">
        <v>0.6231</v>
      </c>
      <c r="K285" t="n">
        <v>13931</v>
      </c>
    </row>
    <row r="286">
      <c r="A286" t="inlineStr">
        <is>
          <t>OSH-202112.ASX</t>
        </is>
      </c>
      <c r="B286" t="inlineStr">
        <is>
          <t>Oil Search Limited 10 Toea Ordinary</t>
        </is>
      </c>
      <c r="C286" t="inlineStr">
        <is>
          <t>Closed</t>
        </is>
      </c>
      <c r="D286" s="35" t="n">
        <v>39906</v>
      </c>
      <c r="E286" t="n">
        <v>4.633529</v>
      </c>
      <c r="F286" s="35" t="n">
        <v>40165</v>
      </c>
      <c r="G286" t="n">
        <v>4.531771</v>
      </c>
      <c r="H286" t="n">
        <v>-0.022</v>
      </c>
      <c r="I286" t="n">
        <v>-830.8200000000001</v>
      </c>
      <c r="J286" t="n">
        <v>-0.0239</v>
      </c>
      <c r="K286" t="n">
        <v>7490</v>
      </c>
    </row>
    <row r="287">
      <c r="A287" t="inlineStr">
        <is>
          <t>KCN.ASX</t>
        </is>
      </c>
      <c r="B287" t="inlineStr">
        <is>
          <t>Kingsgate Consolidated Limited Ordinary</t>
        </is>
      </c>
      <c r="C287" t="inlineStr">
        <is>
          <t>Closed</t>
        </is>
      </c>
      <c r="D287" s="35" t="n">
        <v>39906</v>
      </c>
      <c r="E287" t="n">
        <v>4.302487</v>
      </c>
      <c r="F287" s="35" t="n">
        <v>40165</v>
      </c>
      <c r="G287" t="n">
        <v>7.79491</v>
      </c>
      <c r="H287" t="n">
        <v>0.8117</v>
      </c>
      <c r="I287" t="n">
        <v>28107.11</v>
      </c>
      <c r="J287" t="n">
        <v>0.8089</v>
      </c>
      <c r="K287" t="n">
        <v>8076</v>
      </c>
    </row>
    <row r="288">
      <c r="A288" t="inlineStr">
        <is>
          <t>BOQ.ASX</t>
        </is>
      </c>
      <c r="B288" t="inlineStr">
        <is>
          <t>Bank of Queensland Limited Ordinary</t>
        </is>
      </c>
      <c r="C288" t="inlineStr">
        <is>
          <t>Closed</t>
        </is>
      </c>
      <c r="D288" s="35" t="n">
        <v>40018</v>
      </c>
      <c r="E288" t="n">
        <v>3.544693</v>
      </c>
      <c r="F288" s="35" t="n">
        <v>40151</v>
      </c>
      <c r="G288" t="n">
        <v>4.056827</v>
      </c>
      <c r="H288" t="n">
        <v>0.1445</v>
      </c>
      <c r="I288" t="n">
        <v>5676.49</v>
      </c>
      <c r="J288" t="n">
        <v>0.1423</v>
      </c>
      <c r="K288" t="n">
        <v>11251</v>
      </c>
    </row>
    <row r="289">
      <c r="A289" t="inlineStr">
        <is>
          <t>CSR-202406.ASX</t>
        </is>
      </c>
      <c r="B289" t="inlineStr">
        <is>
          <t>CSR Limited Ordinary</t>
        </is>
      </c>
      <c r="C289" t="inlineStr">
        <is>
          <t>Closed</t>
        </is>
      </c>
      <c r="D289" s="35" t="n">
        <v>40018</v>
      </c>
      <c r="E289" t="n">
        <v>1.592592</v>
      </c>
      <c r="F289" s="35" t="n">
        <v>40151</v>
      </c>
      <c r="G289" t="n">
        <v>1.605055</v>
      </c>
      <c r="H289" t="n">
        <v>0.0078</v>
      </c>
      <c r="I289" t="n">
        <v>232.05</v>
      </c>
      <c r="J289" t="n">
        <v>0.0058</v>
      </c>
      <c r="K289" t="n">
        <v>25045</v>
      </c>
    </row>
    <row r="290">
      <c r="A290" t="inlineStr">
        <is>
          <t>CQR.ASX</t>
        </is>
      </c>
      <c r="B290" t="inlineStr">
        <is>
          <t>Charter Hall Retail Reit Ordinary Units</t>
        </is>
      </c>
      <c r="C290" t="inlineStr">
        <is>
          <t>Closed</t>
        </is>
      </c>
      <c r="D290" s="35" t="n">
        <v>40018</v>
      </c>
      <c r="E290" t="n">
        <v>1.022149</v>
      </c>
      <c r="F290" s="35" t="n">
        <v>40151</v>
      </c>
      <c r="G290" t="n">
        <v>0.9528505</v>
      </c>
      <c r="H290" t="n">
        <v>-0.0678</v>
      </c>
      <c r="I290" t="n">
        <v>-2781.95</v>
      </c>
      <c r="J290" t="n">
        <v>-0.0697</v>
      </c>
      <c r="K290" t="n">
        <v>39032</v>
      </c>
    </row>
    <row r="291">
      <c r="A291" t="inlineStr">
        <is>
          <t>ESG-201111.ASX</t>
        </is>
      </c>
      <c r="B291" t="inlineStr">
        <is>
          <t>Eastern Star Gas Limited Ordinary</t>
        </is>
      </c>
      <c r="C291" t="inlineStr">
        <is>
          <t>Closed</t>
        </is>
      </c>
      <c r="D291" s="35" t="n">
        <v>39906</v>
      </c>
      <c r="E291" t="n">
        <v>0.8149999999999999</v>
      </c>
      <c r="F291" s="35" t="n">
        <v>40151</v>
      </c>
      <c r="G291" t="n">
        <v>0.8</v>
      </c>
      <c r="H291" t="n">
        <v>-0.0184</v>
      </c>
      <c r="I291" t="n">
        <v>-708.48</v>
      </c>
      <c r="J291" t="n">
        <v>-0.0204</v>
      </c>
      <c r="K291" t="n">
        <v>42641</v>
      </c>
    </row>
    <row r="292">
      <c r="A292" t="inlineStr">
        <is>
          <t>PLA-201206.ASX</t>
        </is>
      </c>
      <c r="B292" t="inlineStr">
        <is>
          <t>Platinum Australia Limited Ordinary</t>
        </is>
      </c>
      <c r="C292" t="inlineStr">
        <is>
          <t>Closed</t>
        </is>
      </c>
      <c r="D292" s="35" t="n">
        <v>39912</v>
      </c>
      <c r="E292" t="n">
        <v>0.852618</v>
      </c>
      <c r="F292" s="35" t="n">
        <v>40011</v>
      </c>
      <c r="G292" t="n">
        <v>0.7742164</v>
      </c>
      <c r="H292" t="n">
        <v>-0.092</v>
      </c>
      <c r="I292" t="n">
        <v>-3382.4</v>
      </c>
      <c r="J292" t="n">
        <v>-0.0939</v>
      </c>
      <c r="K292" t="n">
        <v>42265</v>
      </c>
    </row>
    <row r="293">
      <c r="A293" t="inlineStr">
        <is>
          <t>MGX.ASX</t>
        </is>
      </c>
      <c r="B293" t="inlineStr">
        <is>
          <t>Mount Gibson Iron Limited Ordinary</t>
        </is>
      </c>
      <c r="C293" t="inlineStr">
        <is>
          <t>Closed</t>
        </is>
      </c>
      <c r="D293" s="35" t="n">
        <v>39912</v>
      </c>
      <c r="E293" t="n">
        <v>0.4066461</v>
      </c>
      <c r="F293" s="35" t="n">
        <v>40011</v>
      </c>
      <c r="G293" t="n">
        <v>0.5411276</v>
      </c>
      <c r="H293" t="n">
        <v>0.3307</v>
      </c>
      <c r="I293" t="n">
        <v>11836.43</v>
      </c>
      <c r="J293" t="n">
        <v>0.3284</v>
      </c>
      <c r="K293" t="n">
        <v>88640</v>
      </c>
    </row>
    <row r="294">
      <c r="A294" t="inlineStr">
        <is>
          <t>NWH.ASX</t>
        </is>
      </c>
      <c r="B294" t="inlineStr">
        <is>
          <t>NRW Holdings Limited Ordinary</t>
        </is>
      </c>
      <c r="C294" t="inlineStr">
        <is>
          <t>Closed</t>
        </is>
      </c>
      <c r="D294" s="35" t="n">
        <v>39909</v>
      </c>
      <c r="E294" t="n">
        <v>0.3604873</v>
      </c>
      <c r="F294" s="35" t="n">
        <v>40011</v>
      </c>
      <c r="G294" t="n">
        <v>0.4566172</v>
      </c>
      <c r="H294" t="n">
        <v>0.2667</v>
      </c>
      <c r="I294" t="n">
        <v>9374.68</v>
      </c>
      <c r="J294" t="n">
        <v>0.2644</v>
      </c>
      <c r="K294" t="n">
        <v>98357</v>
      </c>
    </row>
    <row r="295">
      <c r="A295" t="inlineStr">
        <is>
          <t>STO.ASX</t>
        </is>
      </c>
      <c r="B295" t="inlineStr">
        <is>
          <t>Santos Limited Ordinary</t>
        </is>
      </c>
      <c r="C295" t="inlineStr">
        <is>
          <t>Closed</t>
        </is>
      </c>
      <c r="D295" s="35" t="n">
        <v>39906</v>
      </c>
      <c r="E295" t="n">
        <v>8.860664</v>
      </c>
      <c r="F295" s="35" t="n">
        <v>40011</v>
      </c>
      <c r="G295" t="n">
        <v>7.465373</v>
      </c>
      <c r="H295" t="n">
        <v>-0.1575</v>
      </c>
      <c r="I295" t="n">
        <v>-5530.7</v>
      </c>
      <c r="J295" t="n">
        <v>-0.1593</v>
      </c>
      <c r="K295" t="n">
        <v>3918</v>
      </c>
    </row>
    <row r="296">
      <c r="A296" t="inlineStr">
        <is>
          <t>MND.ASX</t>
        </is>
      </c>
      <c r="B296" t="inlineStr">
        <is>
          <t>Monadelphous Group Limited Ordinary</t>
        </is>
      </c>
      <c r="C296" t="inlineStr">
        <is>
          <t>Closed</t>
        </is>
      </c>
      <c r="D296" s="35" t="n">
        <v>39906</v>
      </c>
      <c r="E296" t="n">
        <v>3.509912</v>
      </c>
      <c r="F296" s="35" t="n">
        <v>40011</v>
      </c>
      <c r="G296" t="n">
        <v>4.428354</v>
      </c>
      <c r="H296" t="n">
        <v>0.2617</v>
      </c>
      <c r="I296" t="n">
        <v>9007.610000000001</v>
      </c>
      <c r="J296" t="n">
        <v>0.2594</v>
      </c>
      <c r="K296" t="n">
        <v>9893</v>
      </c>
    </row>
    <row r="297">
      <c r="A297" t="inlineStr">
        <is>
          <t>PNA-201506.ASX</t>
        </is>
      </c>
      <c r="B297" t="inlineStr">
        <is>
          <t>Panaust Limited Ordinary</t>
        </is>
      </c>
      <c r="C297" t="inlineStr">
        <is>
          <t>Closed</t>
        </is>
      </c>
      <c r="D297" s="35" t="n">
        <v>39906</v>
      </c>
      <c r="E297" t="n">
        <v>1.283252</v>
      </c>
      <c r="F297" s="35" t="n">
        <v>40011</v>
      </c>
      <c r="G297" t="n">
        <v>1.518454</v>
      </c>
      <c r="H297" t="n">
        <v>0.1833</v>
      </c>
      <c r="I297" t="n">
        <v>6290.61</v>
      </c>
      <c r="J297" t="n">
        <v>0.1811</v>
      </c>
      <c r="K297" t="n">
        <v>27068</v>
      </c>
    </row>
    <row r="298">
      <c r="A298" t="inlineStr">
        <is>
          <t>MCG-200907.ASX</t>
        </is>
      </c>
      <c r="B298" t="inlineStr">
        <is>
          <t>Macquarie Communications Infrastructure Group Stapled Securities</t>
        </is>
      </c>
      <c r="C298" t="inlineStr">
        <is>
          <t>Closed</t>
        </is>
      </c>
      <c r="D298" s="35" t="n">
        <v>39912</v>
      </c>
      <c r="E298" t="n">
        <v>1.915987</v>
      </c>
      <c r="F298" s="35" t="n">
        <v>40000</v>
      </c>
      <c r="G298" t="n">
        <v>2.631171</v>
      </c>
      <c r="H298" t="n">
        <v>0.3733</v>
      </c>
      <c r="I298" t="n">
        <v>13367.08</v>
      </c>
      <c r="J298" t="n">
        <v>0.3709</v>
      </c>
      <c r="K298" t="n">
        <v>18810</v>
      </c>
    </row>
    <row r="299">
      <c r="A299" t="inlineStr">
        <is>
          <t>HSP-201009.ASX</t>
        </is>
      </c>
      <c r="B299" t="inlineStr">
        <is>
          <t>Healthscope Limited Ordinary</t>
        </is>
      </c>
      <c r="C299" t="inlineStr">
        <is>
          <t>Closed</t>
        </is>
      </c>
      <c r="D299" s="35" t="n">
        <v>38961</v>
      </c>
      <c r="E299" t="n">
        <v>3.722539</v>
      </c>
      <c r="F299" s="35" t="n">
        <v>39780</v>
      </c>
      <c r="G299" t="n">
        <v>4.032694</v>
      </c>
      <c r="H299" t="n">
        <v>0.0833</v>
      </c>
      <c r="I299" t="n">
        <v>2177.28</v>
      </c>
      <c r="J299" t="n">
        <v>0.08119999999999999</v>
      </c>
      <c r="K299" t="n">
        <v>7200</v>
      </c>
    </row>
    <row r="300">
      <c r="A300" t="inlineStr">
        <is>
          <t>ORG.ASX</t>
        </is>
      </c>
      <c r="B300" t="inlineStr">
        <is>
          <t>Origin Energy Limited Ordinary</t>
        </is>
      </c>
      <c r="C300" t="inlineStr">
        <is>
          <t>Closed</t>
        </is>
      </c>
      <c r="D300" s="35" t="n">
        <v>39570</v>
      </c>
      <c r="E300" t="n">
        <v>4.697415</v>
      </c>
      <c r="F300" s="35" t="n">
        <v>39710</v>
      </c>
      <c r="G300" t="n">
        <v>7.688472</v>
      </c>
      <c r="H300" t="n">
        <v>0.6367</v>
      </c>
      <c r="I300" t="n">
        <v>21845.57</v>
      </c>
      <c r="J300" t="n">
        <v>0.6341</v>
      </c>
      <c r="K300" t="n">
        <v>7334</v>
      </c>
    </row>
    <row r="301">
      <c r="A301" t="inlineStr">
        <is>
          <t>DNL.ASX</t>
        </is>
      </c>
      <c r="B301" t="inlineStr">
        <is>
          <t>Dyno Nobel Limited Ordinary</t>
        </is>
      </c>
      <c r="C301" t="inlineStr">
        <is>
          <t>Closed</t>
        </is>
      </c>
      <c r="D301" s="35" t="n">
        <v>39570</v>
      </c>
      <c r="E301" t="n">
        <v>4.007421</v>
      </c>
      <c r="F301" s="35" t="n">
        <v>39661</v>
      </c>
      <c r="G301" t="n">
        <v>3.500467</v>
      </c>
      <c r="H301" t="n">
        <v>-0.1265</v>
      </c>
      <c r="I301" t="n">
        <v>-4425.4</v>
      </c>
      <c r="J301" t="n">
        <v>-0.1284</v>
      </c>
      <c r="K301" t="n">
        <v>8602</v>
      </c>
    </row>
    <row r="302">
      <c r="A302" t="inlineStr">
        <is>
          <t>STO.ASX</t>
        </is>
      </c>
      <c r="B302" t="inlineStr">
        <is>
          <t>Santos Limited Ordinary</t>
        </is>
      </c>
      <c r="C302" t="inlineStr">
        <is>
          <t>Closed</t>
        </is>
      </c>
      <c r="D302" s="35" t="n">
        <v>39570</v>
      </c>
      <c r="E302" t="n">
        <v>8.222351</v>
      </c>
      <c r="F302" s="35" t="n">
        <v>39647</v>
      </c>
      <c r="G302" t="n">
        <v>9.595266000000001</v>
      </c>
      <c r="H302" t="n">
        <v>0.167</v>
      </c>
      <c r="I302" t="n">
        <v>5676.52</v>
      </c>
      <c r="J302" t="n">
        <v>0.1648</v>
      </c>
      <c r="K302" t="n">
        <v>4189</v>
      </c>
    </row>
    <row r="303">
      <c r="A303" t="inlineStr">
        <is>
          <t>WDS.ASX</t>
        </is>
      </c>
      <c r="B303" t="inlineStr">
        <is>
          <t>Woodside Energy Group Ltd Ordinary</t>
        </is>
      </c>
      <c r="C303" t="inlineStr">
        <is>
          <t>Closed</t>
        </is>
      </c>
      <c r="D303" s="35" t="n">
        <v>39570</v>
      </c>
      <c r="E303" t="n">
        <v>24.93937</v>
      </c>
      <c r="F303" s="35" t="n">
        <v>39647</v>
      </c>
      <c r="G303" t="n">
        <v>25.10481</v>
      </c>
      <c r="H303" t="n">
        <v>0.0066</v>
      </c>
      <c r="I303" t="n">
        <v>159.36</v>
      </c>
      <c r="J303" t="n">
        <v>0.0046</v>
      </c>
      <c r="K303" t="n">
        <v>1381</v>
      </c>
    </row>
    <row r="304">
      <c r="A304" t="inlineStr">
        <is>
          <t>WSA-202206.ASX</t>
        </is>
      </c>
      <c r="B304" t="inlineStr">
        <is>
          <t>Western Areas Limited Ordinary</t>
        </is>
      </c>
      <c r="C304" t="inlineStr">
        <is>
          <t>Closed</t>
        </is>
      </c>
      <c r="D304" s="35" t="n">
        <v>39570</v>
      </c>
      <c r="E304" t="n">
        <v>7.220284</v>
      </c>
      <c r="F304" s="35" t="n">
        <v>39647</v>
      </c>
      <c r="G304" t="n">
        <v>7.418691</v>
      </c>
      <c r="H304" t="n">
        <v>0.0275</v>
      </c>
      <c r="I304" t="n">
        <v>877.3099999999999</v>
      </c>
      <c r="J304" t="n">
        <v>0.0255</v>
      </c>
      <c r="K304" t="n">
        <v>4774</v>
      </c>
    </row>
    <row r="305">
      <c r="A305" t="inlineStr">
        <is>
          <t>EHL.ASX</t>
        </is>
      </c>
      <c r="B305" t="inlineStr">
        <is>
          <t>Emeco Holdings Limited Ordinary</t>
        </is>
      </c>
      <c r="C305" t="inlineStr">
        <is>
          <t>Closed</t>
        </is>
      </c>
      <c r="D305" s="35" t="n">
        <v>39605</v>
      </c>
      <c r="E305" t="n">
        <v>7.176182</v>
      </c>
      <c r="F305" s="35" t="n">
        <v>39640</v>
      </c>
      <c r="G305" t="n">
        <v>6.392229</v>
      </c>
      <c r="H305" t="n">
        <v>-0.1092</v>
      </c>
      <c r="I305" t="n">
        <v>-4230.05</v>
      </c>
      <c r="J305" t="n">
        <v>-0.1111</v>
      </c>
      <c r="K305" t="n">
        <v>5304</v>
      </c>
    </row>
    <row r="306">
      <c r="A306" t="inlineStr">
        <is>
          <t>BHP.ASX</t>
        </is>
      </c>
      <c r="B306" t="inlineStr">
        <is>
          <t>BHP Group Limited Ordinary</t>
        </is>
      </c>
      <c r="C306" t="inlineStr">
        <is>
          <t>Closed</t>
        </is>
      </c>
      <c r="D306" s="35" t="n">
        <v>39570</v>
      </c>
      <c r="E306" t="n">
        <v>15.67731</v>
      </c>
      <c r="F306" s="35" t="n">
        <v>39640</v>
      </c>
      <c r="G306" t="n">
        <v>14.09637</v>
      </c>
      <c r="H306" t="n">
        <v>-0.1008</v>
      </c>
      <c r="I306" t="n">
        <v>-3537.13</v>
      </c>
      <c r="J306" t="n">
        <v>-0.1027</v>
      </c>
      <c r="K306" t="n">
        <v>2196</v>
      </c>
    </row>
    <row r="307">
      <c r="A307" t="inlineStr">
        <is>
          <t>NUF.ASX</t>
        </is>
      </c>
      <c r="B307" t="inlineStr">
        <is>
          <t>Nufarm Limited Ordinary</t>
        </is>
      </c>
      <c r="C307" t="inlineStr">
        <is>
          <t>Closed</t>
        </is>
      </c>
      <c r="D307" s="35" t="n">
        <v>39570</v>
      </c>
      <c r="E307" t="n">
        <v>13.15826</v>
      </c>
      <c r="F307" s="35" t="n">
        <v>39640</v>
      </c>
      <c r="G307" t="n">
        <v>10.96147</v>
      </c>
      <c r="H307" t="n">
        <v>-0.167</v>
      </c>
      <c r="I307" t="n">
        <v>-5814.34</v>
      </c>
      <c r="J307" t="n">
        <v>-0.1688</v>
      </c>
      <c r="K307" t="n">
        <v>2618</v>
      </c>
    </row>
    <row r="308">
      <c r="A308" t="inlineStr">
        <is>
          <t>SGM.ASX</t>
        </is>
      </c>
      <c r="B308" t="inlineStr">
        <is>
          <t>Sims Limited Ordinary</t>
        </is>
      </c>
      <c r="C308" t="inlineStr">
        <is>
          <t>Closed</t>
        </is>
      </c>
      <c r="D308" s="35" t="n">
        <v>39339</v>
      </c>
      <c r="E308" t="n">
        <v>18.4442</v>
      </c>
      <c r="F308" s="35" t="n">
        <v>39640</v>
      </c>
      <c r="G308" t="n">
        <v>23.90542</v>
      </c>
      <c r="H308" t="n">
        <v>0.2961</v>
      </c>
      <c r="I308" t="n">
        <v>10176.64</v>
      </c>
      <c r="J308" t="n">
        <v>0.2938</v>
      </c>
      <c r="K308" t="n">
        <v>1878</v>
      </c>
    </row>
    <row r="309">
      <c r="A309" t="inlineStr">
        <is>
          <t>CSL.ASX</t>
        </is>
      </c>
      <c r="B309" t="inlineStr">
        <is>
          <t>CSL Limited Ordinary</t>
        </is>
      </c>
      <c r="C309" t="inlineStr">
        <is>
          <t>Closed</t>
        </is>
      </c>
      <c r="D309" s="35" t="n">
        <v>39570</v>
      </c>
      <c r="E309" t="n">
        <v>30.91817</v>
      </c>
      <c r="F309" s="35" t="n">
        <v>39633</v>
      </c>
      <c r="G309" t="n">
        <v>27.12869</v>
      </c>
      <c r="H309" t="n">
        <v>-0.1226</v>
      </c>
      <c r="I309" t="n">
        <v>-4286.14</v>
      </c>
      <c r="J309" t="n">
        <v>-0.1244</v>
      </c>
      <c r="K309" t="n">
        <v>1114</v>
      </c>
    </row>
    <row r="310">
      <c r="A310" t="inlineStr">
        <is>
          <t>MCC-201111.ASX</t>
        </is>
      </c>
      <c r="B310" t="inlineStr">
        <is>
          <t>Macarthur Coal Limited Ordinary</t>
        </is>
      </c>
      <c r="C310" t="inlineStr">
        <is>
          <t>Closed</t>
        </is>
      </c>
      <c r="D310" s="35" t="n">
        <v>39570</v>
      </c>
      <c r="E310" t="n">
        <v>15.36666</v>
      </c>
      <c r="F310" s="35" t="n">
        <v>39633</v>
      </c>
      <c r="G310" t="n">
        <v>16.94486</v>
      </c>
      <c r="H310" t="n">
        <v>0.1027</v>
      </c>
      <c r="I310" t="n">
        <v>3467.43</v>
      </c>
      <c r="J310" t="n">
        <v>0.1006</v>
      </c>
      <c r="K310" t="n">
        <v>2243</v>
      </c>
    </row>
    <row r="311">
      <c r="A311" t="inlineStr">
        <is>
          <t>AWB-201011.ASX</t>
        </is>
      </c>
      <c r="B311" t="inlineStr">
        <is>
          <t>AWB Limited Ordinary</t>
        </is>
      </c>
      <c r="C311" t="inlineStr">
        <is>
          <t>Closed</t>
        </is>
      </c>
      <c r="D311" s="35" t="n">
        <v>39570</v>
      </c>
      <c r="E311" t="n">
        <v>2.643718</v>
      </c>
      <c r="F311" s="35" t="n">
        <v>39626</v>
      </c>
      <c r="G311" t="n">
        <v>2.161279</v>
      </c>
      <c r="H311" t="n">
        <v>-0.1825</v>
      </c>
      <c r="I311" t="n">
        <v>-6345.38</v>
      </c>
      <c r="J311" t="n">
        <v>-0.1843</v>
      </c>
      <c r="K311" t="n">
        <v>13023</v>
      </c>
    </row>
    <row r="312">
      <c r="A312" t="inlineStr">
        <is>
          <t>ABB-200909.ASX</t>
        </is>
      </c>
      <c r="B312" t="inlineStr">
        <is>
          <t>ABB Grain Limited Ordinary B Class</t>
        </is>
      </c>
      <c r="C312" t="inlineStr">
        <is>
          <t>Closed</t>
        </is>
      </c>
      <c r="D312" s="35" t="n">
        <v>39570</v>
      </c>
      <c r="E312" t="n">
        <v>9.216135</v>
      </c>
      <c r="F312" s="35" t="n">
        <v>39619</v>
      </c>
      <c r="G312" t="n">
        <v>8.817359</v>
      </c>
      <c r="H312" t="n">
        <v>-0.0433</v>
      </c>
      <c r="I312" t="n">
        <v>-1557.22</v>
      </c>
      <c r="J312" t="n">
        <v>-0.0452</v>
      </c>
      <c r="K312" t="n">
        <v>3736</v>
      </c>
    </row>
    <row r="313">
      <c r="A313" t="inlineStr">
        <is>
          <t>FLX-200912.ASX</t>
        </is>
      </c>
      <c r="B313" t="inlineStr">
        <is>
          <t>Felix Resources Limited Ordinary</t>
        </is>
      </c>
      <c r="C313" t="inlineStr">
        <is>
          <t>Closed</t>
        </is>
      </c>
      <c r="D313" s="35" t="n">
        <v>39577</v>
      </c>
      <c r="E313" t="n">
        <v>13.67667</v>
      </c>
      <c r="F313" s="35" t="n">
        <v>39619</v>
      </c>
      <c r="G313" t="n">
        <v>15.3831</v>
      </c>
      <c r="H313" t="n">
        <v>0.1248</v>
      </c>
      <c r="I313" t="n">
        <v>4445</v>
      </c>
      <c r="J313" t="n">
        <v>0.1226</v>
      </c>
      <c r="K313" t="n">
        <v>2650</v>
      </c>
    </row>
    <row r="314">
      <c r="A314" t="inlineStr">
        <is>
          <t>DXL-200806.ASX</t>
        </is>
      </c>
      <c r="B314" t="inlineStr">
        <is>
          <t>Dyno Nobel Limited Ordinary</t>
        </is>
      </c>
      <c r="C314" t="inlineStr">
        <is>
          <t>Closed</t>
        </is>
      </c>
      <c r="D314" s="35" t="n">
        <v>39570</v>
      </c>
      <c r="E314" t="n">
        <v>3.1</v>
      </c>
      <c r="F314" s="35" t="n">
        <v>39601</v>
      </c>
      <c r="G314" t="n">
        <v>3.17</v>
      </c>
      <c r="H314" t="n">
        <v>0.0226</v>
      </c>
      <c r="I314" t="n">
        <v>708.49</v>
      </c>
      <c r="J314" t="n">
        <v>0.0206</v>
      </c>
      <c r="K314" t="n">
        <v>11117</v>
      </c>
    </row>
    <row r="315">
      <c r="A315" t="inlineStr">
        <is>
          <t>SKI-202111.ASX</t>
        </is>
      </c>
      <c r="B315" t="inlineStr">
        <is>
          <t>Spark Infrastructure Group Stapled $0.65 Loan Note and Unit US Prohibited</t>
        </is>
      </c>
      <c r="C315" t="inlineStr">
        <is>
          <t>Closed</t>
        </is>
      </c>
      <c r="D315" s="35" t="n">
        <v>38961</v>
      </c>
      <c r="E315" t="n">
        <v>0.4751222</v>
      </c>
      <c r="F315" s="35" t="n">
        <v>39527</v>
      </c>
      <c r="G315" t="n">
        <v>0.5037624000000001</v>
      </c>
      <c r="H315" t="n">
        <v>0.0603</v>
      </c>
      <c r="I315" t="n">
        <v>1560.71</v>
      </c>
      <c r="J315" t="n">
        <v>0.0582</v>
      </c>
      <c r="K315" t="n">
        <v>56422</v>
      </c>
    </row>
    <row r="316">
      <c r="A316" t="inlineStr">
        <is>
          <t>CEY-201010.ASX</t>
        </is>
      </c>
      <c r="B316" t="inlineStr">
        <is>
          <t>Centennial Coal Company Limited Ordinary</t>
        </is>
      </c>
      <c r="C316" t="inlineStr">
        <is>
          <t>Closed</t>
        </is>
      </c>
      <c r="D316" s="35" t="n">
        <v>39339</v>
      </c>
      <c r="E316" t="n">
        <v>1.880223</v>
      </c>
      <c r="F316" s="35" t="n">
        <v>39514</v>
      </c>
      <c r="G316" t="n">
        <v>3.902347</v>
      </c>
      <c r="H316" t="n">
        <v>1.0755</v>
      </c>
      <c r="I316" t="n">
        <v>37159.17</v>
      </c>
      <c r="J316" t="n">
        <v>1.0724</v>
      </c>
      <c r="K316" t="n">
        <v>18429</v>
      </c>
    </row>
    <row r="317">
      <c r="A317" t="inlineStr">
        <is>
          <t>QBE.ASX</t>
        </is>
      </c>
      <c r="B317" t="inlineStr">
        <is>
          <t>QBE Insurance Group Limited Ordinary</t>
        </is>
      </c>
      <c r="C317" t="inlineStr">
        <is>
          <t>Closed</t>
        </is>
      </c>
      <c r="D317" s="35" t="n">
        <v>37596</v>
      </c>
      <c r="E317" t="n">
        <v>3.212201</v>
      </c>
      <c r="F317" s="35" t="n">
        <v>39514</v>
      </c>
      <c r="G317" t="n">
        <v>10.71333</v>
      </c>
      <c r="H317" t="n">
        <v>2.3352</v>
      </c>
      <c r="I317" t="n">
        <v>21518.22</v>
      </c>
      <c r="J317" t="n">
        <v>2.3309</v>
      </c>
      <c r="K317" t="n">
        <v>2874</v>
      </c>
    </row>
    <row r="318">
      <c r="A318" t="inlineStr">
        <is>
          <t>CPA-201403.ASX</t>
        </is>
      </c>
      <c r="B318" t="inlineStr">
        <is>
          <t>Commonwealth Property Office Fund Ordinary Units</t>
        </is>
      </c>
      <c r="C318" t="inlineStr">
        <is>
          <t>Closed</t>
        </is>
      </c>
      <c r="D318" s="35" t="n">
        <v>36686</v>
      </c>
      <c r="E318" t="n">
        <v>0.3602172</v>
      </c>
      <c r="F318" s="35" t="n">
        <v>39507</v>
      </c>
      <c r="G318" t="n">
        <v>0.8833623</v>
      </c>
      <c r="H318" t="n">
        <v>1.4523</v>
      </c>
      <c r="I318" t="n">
        <v>9493.91</v>
      </c>
      <c r="J318" t="n">
        <v>1.4489</v>
      </c>
      <c r="K318" t="n">
        <v>18191</v>
      </c>
    </row>
    <row r="319">
      <c r="A319" t="inlineStr">
        <is>
          <t>SXL.ASX</t>
        </is>
      </c>
      <c r="B319" t="inlineStr">
        <is>
          <t>Southern Cross Media Group Limited Ordinary</t>
        </is>
      </c>
      <c r="C319" t="inlineStr">
        <is>
          <t>Closed</t>
        </is>
      </c>
      <c r="D319" s="35" t="n">
        <v>39269</v>
      </c>
      <c r="E319" t="n">
        <v>9.338086000000001</v>
      </c>
      <c r="F319" s="35" t="n">
        <v>39500</v>
      </c>
      <c r="G319" t="n">
        <v>7.333037</v>
      </c>
      <c r="H319" t="n">
        <v>-0.2147</v>
      </c>
      <c r="I319" t="n">
        <v>-7854.4</v>
      </c>
      <c r="J319" t="n">
        <v>-0.2165</v>
      </c>
      <c r="K319" t="n">
        <v>3885</v>
      </c>
    </row>
    <row r="320">
      <c r="A320" t="inlineStr">
        <is>
          <t>COH.ASX</t>
        </is>
      </c>
      <c r="B320" t="inlineStr">
        <is>
          <t>Cochlear Limited Ordinary</t>
        </is>
      </c>
      <c r="C320" t="inlineStr">
        <is>
          <t>Closed</t>
        </is>
      </c>
      <c r="D320" s="35" t="n">
        <v>38513</v>
      </c>
      <c r="E320" t="n">
        <v>21.74726</v>
      </c>
      <c r="F320" s="35" t="n">
        <v>39500</v>
      </c>
      <c r="G320" t="n">
        <v>37.84555</v>
      </c>
      <c r="H320" t="n">
        <v>0.7402</v>
      </c>
      <c r="I320" t="n">
        <v>14098.01</v>
      </c>
      <c r="J320" t="n">
        <v>0.7375</v>
      </c>
      <c r="K320" t="n">
        <v>879</v>
      </c>
    </row>
    <row r="321">
      <c r="A321" t="inlineStr">
        <is>
          <t>WES.ASX</t>
        </is>
      </c>
      <c r="B321" t="inlineStr">
        <is>
          <t>Wesfarmers Limited Ordinary</t>
        </is>
      </c>
      <c r="C321" t="inlineStr">
        <is>
          <t>Closed</t>
        </is>
      </c>
      <c r="D321" s="35" t="n">
        <v>39423</v>
      </c>
      <c r="E321" t="n">
        <v>12.1972</v>
      </c>
      <c r="F321" s="35" t="n">
        <v>39472</v>
      </c>
      <c r="G321" t="n">
        <v>9.827394999999999</v>
      </c>
      <c r="H321" t="n">
        <v>-0.1943</v>
      </c>
      <c r="I321" t="n">
        <v>-7182.65</v>
      </c>
      <c r="J321" t="n">
        <v>-0.1961</v>
      </c>
      <c r="K321" t="n">
        <v>3003</v>
      </c>
    </row>
    <row r="322">
      <c r="A322" t="inlineStr">
        <is>
          <t>CSM-200801.ASX</t>
        </is>
      </c>
      <c r="B322" t="inlineStr">
        <is>
          <t>Consolidated Minerals Limited Ordinary</t>
        </is>
      </c>
      <c r="C322" t="inlineStr">
        <is>
          <t>Closed</t>
        </is>
      </c>
      <c r="D322" s="35" t="n">
        <v>39332</v>
      </c>
      <c r="E322" t="n">
        <v>4.08</v>
      </c>
      <c r="F322" s="35" t="n">
        <v>39469</v>
      </c>
      <c r="G322" t="n">
        <v>4.92</v>
      </c>
      <c r="H322" t="n">
        <v>0.2059</v>
      </c>
      <c r="I322" t="n">
        <v>7065.16</v>
      </c>
      <c r="J322" t="n">
        <v>0.2037</v>
      </c>
      <c r="K322" t="n">
        <v>8502</v>
      </c>
    </row>
    <row r="323">
      <c r="A323" t="inlineStr">
        <is>
          <t>WOR.ASX</t>
        </is>
      </c>
      <c r="B323" t="inlineStr">
        <is>
          <t>Worley Limited Ordinary</t>
        </is>
      </c>
      <c r="C323" t="inlineStr">
        <is>
          <t>Closed</t>
        </is>
      </c>
      <c r="D323" s="35" t="n">
        <v>39423</v>
      </c>
      <c r="E323" t="n">
        <v>26.93774</v>
      </c>
      <c r="F323" s="35" t="n">
        <v>39465</v>
      </c>
      <c r="G323" t="n">
        <v>22.70052</v>
      </c>
      <c r="H323" t="n">
        <v>-0.1573</v>
      </c>
      <c r="I323" t="n">
        <v>-5830.13</v>
      </c>
      <c r="J323" t="n">
        <v>-0.1591</v>
      </c>
      <c r="K323" t="n">
        <v>1360</v>
      </c>
    </row>
    <row r="324">
      <c r="A324" t="inlineStr">
        <is>
          <t>JBH.ASX</t>
        </is>
      </c>
      <c r="B324" t="inlineStr">
        <is>
          <t>JB HI-FI Limited Ordinary</t>
        </is>
      </c>
      <c r="C324" t="inlineStr">
        <is>
          <t>Closed</t>
        </is>
      </c>
      <c r="D324" s="35" t="n">
        <v>39339</v>
      </c>
      <c r="E324" t="n">
        <v>5.587745</v>
      </c>
      <c r="F324" s="35" t="n">
        <v>39465</v>
      </c>
      <c r="G324" t="n">
        <v>5.325752</v>
      </c>
      <c r="H324" t="n">
        <v>-0.0469</v>
      </c>
      <c r="I324" t="n">
        <v>-1692.57</v>
      </c>
      <c r="J324" t="n">
        <v>-0.0488</v>
      </c>
      <c r="K324" t="n">
        <v>6202</v>
      </c>
    </row>
    <row r="325">
      <c r="A325" t="inlineStr">
        <is>
          <t>ANN.ASX</t>
        </is>
      </c>
      <c r="B325" t="inlineStr">
        <is>
          <t>Ansell Limited Ordinary</t>
        </is>
      </c>
      <c r="C325" t="inlineStr">
        <is>
          <t>Closed</t>
        </is>
      </c>
      <c r="D325" s="35" t="n">
        <v>39332</v>
      </c>
      <c r="E325" t="n">
        <v>8.560815</v>
      </c>
      <c r="F325" s="35" t="n">
        <v>39465</v>
      </c>
      <c r="G325" t="n">
        <v>7.107091</v>
      </c>
      <c r="H325" t="n">
        <v>-0.1698</v>
      </c>
      <c r="I325" t="n">
        <v>-5951.02</v>
      </c>
      <c r="J325" t="n">
        <v>-0.1716</v>
      </c>
      <c r="K325" t="n">
        <v>4050</v>
      </c>
    </row>
    <row r="326">
      <c r="A326" t="inlineStr">
        <is>
          <t>IOF-201812.ASX</t>
        </is>
      </c>
      <c r="B326" t="inlineStr">
        <is>
          <t>Investa Office Fund Stapled Securities</t>
        </is>
      </c>
      <c r="C326" t="inlineStr">
        <is>
          <t>Closed</t>
        </is>
      </c>
      <c r="D326" s="35" t="n">
        <v>36686</v>
      </c>
      <c r="E326" t="n">
        <v>1.047195</v>
      </c>
      <c r="F326" s="35" t="n">
        <v>39465</v>
      </c>
      <c r="G326" t="n">
        <v>2.452313</v>
      </c>
      <c r="H326" t="n">
        <v>1.3418</v>
      </c>
      <c r="I326" t="n">
        <v>8768.530000000001</v>
      </c>
      <c r="J326" t="n">
        <v>1.3385</v>
      </c>
      <c r="K326" t="n">
        <v>6256</v>
      </c>
    </row>
    <row r="327">
      <c r="A327" t="inlineStr">
        <is>
          <t>BXB.ASX</t>
        </is>
      </c>
      <c r="B327" t="inlineStr">
        <is>
          <t>Brambles Limited Ordinary</t>
        </is>
      </c>
      <c r="C327" t="inlineStr">
        <is>
          <t>Closed</t>
        </is>
      </c>
      <c r="D327" s="35" t="n">
        <v>39332</v>
      </c>
      <c r="E327" t="n">
        <v>7.120454</v>
      </c>
      <c r="F327" s="35" t="n">
        <v>39437</v>
      </c>
      <c r="G327" t="n">
        <v>6.227301</v>
      </c>
      <c r="H327" t="n">
        <v>-0.1254</v>
      </c>
      <c r="I327" t="n">
        <v>-4414.66</v>
      </c>
      <c r="J327" t="n">
        <v>-0.1273</v>
      </c>
      <c r="K327" t="n">
        <v>4870</v>
      </c>
    </row>
    <row r="328">
      <c r="A328" t="inlineStr">
        <is>
          <t>GPT.ASX</t>
        </is>
      </c>
      <c r="B328" t="inlineStr">
        <is>
          <t>GPT Group Ordinary/Units Stapled Securities</t>
        </is>
      </c>
      <c r="C328" t="inlineStr">
        <is>
          <t>Closed</t>
        </is>
      </c>
      <c r="D328" s="35" t="n">
        <v>36630</v>
      </c>
      <c r="E328" t="n">
        <v>1.888166</v>
      </c>
      <c r="F328" s="35" t="n">
        <v>39437</v>
      </c>
      <c r="G328" t="n">
        <v>5.11144</v>
      </c>
      <c r="H328" t="n">
        <v>1.7071</v>
      </c>
      <c r="I328" t="n">
        <v>11437.07</v>
      </c>
      <c r="J328" t="n">
        <v>1.7034</v>
      </c>
      <c r="K328" t="n">
        <v>3556</v>
      </c>
    </row>
    <row r="329">
      <c r="A329" t="inlineStr">
        <is>
          <t>CIM-202205.ASX</t>
        </is>
      </c>
      <c r="B329" t="inlineStr">
        <is>
          <t>Cimic Group Limited Ordinary</t>
        </is>
      </c>
      <c r="C329" t="inlineStr">
        <is>
          <t>Closed</t>
        </is>
      </c>
      <c r="D329" s="35" t="n">
        <v>39339</v>
      </c>
      <c r="E329" t="n">
        <v>26.57946</v>
      </c>
      <c r="F329" s="35" t="n">
        <v>39416</v>
      </c>
      <c r="G329" t="n">
        <v>32.48474</v>
      </c>
      <c r="H329" t="n">
        <v>0.2222</v>
      </c>
      <c r="I329" t="n">
        <v>7617.62</v>
      </c>
      <c r="J329" t="n">
        <v>0.22</v>
      </c>
      <c r="K329" t="n">
        <v>1303</v>
      </c>
    </row>
    <row r="330">
      <c r="A330" t="inlineStr">
        <is>
          <t>WOR.ASX</t>
        </is>
      </c>
      <c r="B330" t="inlineStr">
        <is>
          <t>Worley Limited Ordinary</t>
        </is>
      </c>
      <c r="C330" t="inlineStr">
        <is>
          <t>Closed</t>
        </is>
      </c>
      <c r="D330" s="35" t="n">
        <v>39332</v>
      </c>
      <c r="E330" t="n">
        <v>20.55217</v>
      </c>
      <c r="F330" s="35" t="n">
        <v>39416</v>
      </c>
      <c r="G330" t="n">
        <v>23.1033</v>
      </c>
      <c r="H330" t="n">
        <v>0.1241</v>
      </c>
      <c r="I330" t="n">
        <v>4230.11</v>
      </c>
      <c r="J330" t="n">
        <v>0.122</v>
      </c>
      <c r="K330" t="n">
        <v>1687</v>
      </c>
    </row>
    <row r="331">
      <c r="A331" t="inlineStr">
        <is>
          <t>A2B-202404.ASX</t>
        </is>
      </c>
      <c r="B331" t="inlineStr">
        <is>
          <t>A2B Australia Limited Ordinary</t>
        </is>
      </c>
      <c r="C331" t="inlineStr">
        <is>
          <t>Closed</t>
        </is>
      </c>
      <c r="D331" s="35" t="n">
        <v>39101</v>
      </c>
      <c r="E331" t="n">
        <v>2.556719</v>
      </c>
      <c r="F331" s="35" t="n">
        <v>39318</v>
      </c>
      <c r="G331" t="n">
        <v>2.571832</v>
      </c>
      <c r="H331" t="n">
        <v>0.0059</v>
      </c>
      <c r="I331" t="n">
        <v>124.54</v>
      </c>
      <c r="J331" t="n">
        <v>0.0039</v>
      </c>
      <c r="K331" t="n">
        <v>12473</v>
      </c>
    </row>
    <row r="332">
      <c r="A332" t="inlineStr">
        <is>
          <t>TSO-201203.ASX</t>
        </is>
      </c>
      <c r="B332" t="inlineStr">
        <is>
          <t>Tishman Speyer Office Fund Ordinary Units</t>
        </is>
      </c>
      <c r="C332" t="inlineStr">
        <is>
          <t>Closed</t>
        </is>
      </c>
      <c r="D332" s="35" t="n">
        <v>38506</v>
      </c>
      <c r="E332" t="n">
        <v>1.531889</v>
      </c>
      <c r="F332" s="35" t="n">
        <v>39318</v>
      </c>
      <c r="G332" t="n">
        <v>2.023725</v>
      </c>
      <c r="H332" t="n">
        <v>0.3211</v>
      </c>
      <c r="I332" t="n">
        <v>5967.76</v>
      </c>
      <c r="J332" t="n">
        <v>0.3187</v>
      </c>
      <c r="K332" t="n">
        <v>12222</v>
      </c>
    </row>
    <row r="333">
      <c r="A333" t="inlineStr">
        <is>
          <t>ADB-200711.ASX</t>
        </is>
      </c>
      <c r="B333" t="inlineStr">
        <is>
          <t>Adelaide Bank Limited Ordinary</t>
        </is>
      </c>
      <c r="C333" t="inlineStr">
        <is>
          <t>Closed</t>
        </is>
      </c>
      <c r="D333" s="35" t="n">
        <v>36756</v>
      </c>
      <c r="E333" t="n">
        <v>3.683888</v>
      </c>
      <c r="F333" s="35" t="n">
        <v>39318</v>
      </c>
      <c r="G333" t="n">
        <v>14.6072</v>
      </c>
      <c r="H333" t="n">
        <v>2.9652</v>
      </c>
      <c r="I333" t="n">
        <v>20599.58</v>
      </c>
      <c r="J333" t="n">
        <v>2.9602</v>
      </c>
      <c r="K333" t="n">
        <v>1889</v>
      </c>
    </row>
    <row r="334">
      <c r="A334" t="inlineStr">
        <is>
          <t>CWY.ASX</t>
        </is>
      </c>
      <c r="B334" t="inlineStr">
        <is>
          <t>Cleanaway Waste Management Limited Ordinary</t>
        </is>
      </c>
      <c r="C334" t="inlineStr">
        <is>
          <t>Closed</t>
        </is>
      </c>
      <c r="D334" s="35" t="n">
        <v>39045</v>
      </c>
      <c r="E334" t="n">
        <v>4.75422</v>
      </c>
      <c r="F334" s="35" t="n">
        <v>39304</v>
      </c>
      <c r="G334" t="n">
        <v>6.568242</v>
      </c>
      <c r="H334" t="n">
        <v>0.3816</v>
      </c>
      <c r="I334" t="n">
        <v>11690.51</v>
      </c>
      <c r="J334" t="n">
        <v>0.3792</v>
      </c>
      <c r="K334" t="n">
        <v>6485</v>
      </c>
    </row>
    <row r="335">
      <c r="A335" t="inlineStr">
        <is>
          <t>SRS-201907.ASX</t>
        </is>
      </c>
      <c r="B335" t="inlineStr">
        <is>
          <t>Spicers Limited Ordinary</t>
        </is>
      </c>
      <c r="C335" t="inlineStr">
        <is>
          <t>Closed</t>
        </is>
      </c>
      <c r="D335" s="35" t="n">
        <v>38996</v>
      </c>
      <c r="E335" t="n">
        <v>3.301577</v>
      </c>
      <c r="F335" s="35" t="n">
        <v>39304</v>
      </c>
      <c r="G335" t="n">
        <v>2.608511</v>
      </c>
      <c r="H335" t="n">
        <v>-0.2099</v>
      </c>
      <c r="I335" t="n">
        <v>-6157.98</v>
      </c>
      <c r="J335" t="n">
        <v>-0.2117</v>
      </c>
      <c r="K335" t="n">
        <v>8810</v>
      </c>
    </row>
    <row r="336">
      <c r="A336" t="inlineStr">
        <is>
          <t>MRE-201110.ASX</t>
        </is>
      </c>
      <c r="B336" t="inlineStr">
        <is>
          <t>Minara Resources Limited Ordinary</t>
        </is>
      </c>
      <c r="C336" t="inlineStr">
        <is>
          <t>Closed</t>
        </is>
      </c>
      <c r="D336" s="35" t="n">
        <v>38954</v>
      </c>
      <c r="E336" t="n">
        <v>1.286274</v>
      </c>
      <c r="F336" s="35" t="n">
        <v>39297</v>
      </c>
      <c r="G336" t="n">
        <v>2.915343</v>
      </c>
      <c r="H336" t="n">
        <v>1.2665</v>
      </c>
      <c r="I336" t="n">
        <v>33912.61</v>
      </c>
      <c r="J336" t="n">
        <v>1.2632</v>
      </c>
      <c r="K336" t="n">
        <v>20871</v>
      </c>
    </row>
    <row r="337">
      <c r="A337" t="inlineStr">
        <is>
          <t>CPU.ASX</t>
        </is>
      </c>
      <c r="B337" t="inlineStr">
        <is>
          <t>Computershare Limited Ordinary</t>
        </is>
      </c>
      <c r="C337" t="inlineStr">
        <is>
          <t>Closed</t>
        </is>
      </c>
      <c r="D337" s="35" t="n">
        <v>38226</v>
      </c>
      <c r="E337" t="n">
        <v>1.946564</v>
      </c>
      <c r="F337" s="35" t="n">
        <v>39297</v>
      </c>
      <c r="G337" t="n">
        <v>5.887694</v>
      </c>
      <c r="H337" t="n">
        <v>2.0247</v>
      </c>
      <c r="I337" t="n">
        <v>28288.26</v>
      </c>
      <c r="J337" t="n">
        <v>2.0206</v>
      </c>
      <c r="K337" t="n">
        <v>7192</v>
      </c>
    </row>
    <row r="338">
      <c r="A338" t="inlineStr">
        <is>
          <t>PBG-201606.ASX</t>
        </is>
      </c>
      <c r="B338" t="inlineStr">
        <is>
          <t>Pacific Brands Limited Ordinary</t>
        </is>
      </c>
      <c r="C338" t="inlineStr">
        <is>
          <t>Closed</t>
        </is>
      </c>
      <c r="D338" s="35" t="n">
        <v>38961</v>
      </c>
      <c r="E338" t="n">
        <v>1.231753</v>
      </c>
      <c r="F338" s="35" t="n">
        <v>39297</v>
      </c>
      <c r="G338" t="n">
        <v>2.004898</v>
      </c>
      <c r="H338" t="n">
        <v>0.6277</v>
      </c>
      <c r="I338" t="n">
        <v>16751.67</v>
      </c>
      <c r="J338" t="n">
        <v>0.6251</v>
      </c>
      <c r="K338" t="n">
        <v>21758</v>
      </c>
    </row>
    <row r="339">
      <c r="A339" t="inlineStr">
        <is>
          <t>CMR-200901.ASX</t>
        </is>
      </c>
      <c r="B339" t="inlineStr">
        <is>
          <t>Compass Resources Limited Ordinary</t>
        </is>
      </c>
      <c r="C339" t="inlineStr">
        <is>
          <t>Closed</t>
        </is>
      </c>
      <c r="D339" s="35" t="n">
        <v>39143</v>
      </c>
      <c r="E339" t="n">
        <v>6.15</v>
      </c>
      <c r="F339" s="35" t="n">
        <v>39269</v>
      </c>
      <c r="G339" t="n">
        <v>4.36</v>
      </c>
      <c r="H339" t="n">
        <v>-0.2911</v>
      </c>
      <c r="I339" t="n">
        <v>-10212.49</v>
      </c>
      <c r="J339" t="n">
        <v>-0.2928</v>
      </c>
      <c r="K339" t="n">
        <v>5672</v>
      </c>
    </row>
    <row r="340">
      <c r="A340" t="inlineStr">
        <is>
          <t>COA-200712.ASX</t>
        </is>
      </c>
      <c r="B340" t="inlineStr">
        <is>
          <t>Coates Hire Limited Ordinary</t>
        </is>
      </c>
      <c r="C340" t="inlineStr">
        <is>
          <t>Closed</t>
        </is>
      </c>
      <c r="D340" s="35" t="n">
        <v>38583</v>
      </c>
      <c r="E340" t="n">
        <v>4.267623</v>
      </c>
      <c r="F340" s="35" t="n">
        <v>39143</v>
      </c>
      <c r="G340" t="n">
        <v>4.626039</v>
      </c>
      <c r="H340" t="n">
        <v>0.08400000000000001</v>
      </c>
      <c r="I340" t="n">
        <v>1696.58</v>
      </c>
      <c r="J340" t="n">
        <v>0.0819</v>
      </c>
      <c r="K340" t="n">
        <v>4854</v>
      </c>
    </row>
    <row r="341">
      <c r="A341" t="inlineStr">
        <is>
          <t>VSL-200701.ASX</t>
        </is>
      </c>
      <c r="B341" t="inlineStr">
        <is>
          <t>Vision Systems Limited Ordinary</t>
        </is>
      </c>
      <c r="C341" t="inlineStr">
        <is>
          <t>Closed</t>
        </is>
      </c>
      <c r="D341" s="35" t="n">
        <v>38954</v>
      </c>
      <c r="E341" t="n">
        <v>2.12</v>
      </c>
      <c r="F341" s="35" t="n">
        <v>39099</v>
      </c>
      <c r="G341" t="n">
        <v>3.64</v>
      </c>
      <c r="H341" t="n">
        <v>0.717</v>
      </c>
      <c r="I341" t="n">
        <v>19177.85</v>
      </c>
      <c r="J341" t="n">
        <v>0.7143</v>
      </c>
      <c r="K341" t="n">
        <v>12665</v>
      </c>
    </row>
    <row r="342">
      <c r="A342" t="inlineStr">
        <is>
          <t>BPC-200611.ASX</t>
        </is>
      </c>
      <c r="B342" t="inlineStr">
        <is>
          <t>Burns, Philp &amp; Company Limited Ordinary</t>
        </is>
      </c>
      <c r="C342" t="inlineStr">
        <is>
          <t>Closed</t>
        </is>
      </c>
      <c r="D342" s="35" t="n">
        <v>38961</v>
      </c>
      <c r="E342" t="n">
        <v>1.075</v>
      </c>
      <c r="F342" s="35" t="n">
        <v>39041</v>
      </c>
      <c r="G342" t="n">
        <v>1.095</v>
      </c>
      <c r="H342" t="n">
        <v>0.0186</v>
      </c>
      <c r="I342" t="n">
        <v>444.45</v>
      </c>
      <c r="J342" t="n">
        <v>0.0166</v>
      </c>
      <c r="K342" t="n">
        <v>24927</v>
      </c>
    </row>
    <row r="343">
      <c r="A343" t="inlineStr">
        <is>
          <t>CIM-202205.ASX</t>
        </is>
      </c>
      <c r="B343" t="inlineStr">
        <is>
          <t>Cimic Group Limited Ordinary</t>
        </is>
      </c>
      <c r="C343" t="inlineStr">
        <is>
          <t>Closed</t>
        </is>
      </c>
      <c r="D343" s="35" t="n">
        <v>38968</v>
      </c>
      <c r="E343" t="n">
        <v>10.87105</v>
      </c>
      <c r="F343" s="35" t="n">
        <v>38989</v>
      </c>
      <c r="G343" t="n">
        <v>10.35003</v>
      </c>
      <c r="H343" t="n">
        <v>-0.0479</v>
      </c>
      <c r="I343" t="n">
        <v>-1376.75</v>
      </c>
      <c r="J343" t="n">
        <v>-0.0499</v>
      </c>
      <c r="K343" t="n">
        <v>2539</v>
      </c>
    </row>
    <row r="344">
      <c r="A344" t="inlineStr">
        <is>
          <t>BKN-201704.ASX</t>
        </is>
      </c>
      <c r="B344" t="inlineStr">
        <is>
          <t>Bradken Limited Ordinary</t>
        </is>
      </c>
      <c r="C344" t="inlineStr">
        <is>
          <t>Closed</t>
        </is>
      </c>
      <c r="D344" s="35" t="n">
        <v>38597</v>
      </c>
      <c r="E344" t="n">
        <v>1.940822</v>
      </c>
      <c r="F344" s="35" t="n">
        <v>38919</v>
      </c>
      <c r="G344" t="n">
        <v>3.245052</v>
      </c>
      <c r="H344" t="n">
        <v>0.672</v>
      </c>
      <c r="I344" t="n">
        <v>14290.78</v>
      </c>
      <c r="J344" t="n">
        <v>0.6693</v>
      </c>
      <c r="K344" t="n">
        <v>11001</v>
      </c>
    </row>
    <row r="345">
      <c r="A345" t="inlineStr">
        <is>
          <t>SFE-200607.ASX</t>
        </is>
      </c>
      <c r="B345" t="inlineStr">
        <is>
          <t>SFE Corporation Limited Ordinary</t>
        </is>
      </c>
      <c r="C345" t="inlineStr">
        <is>
          <t>Closed</t>
        </is>
      </c>
      <c r="D345" s="35" t="n">
        <v>37722</v>
      </c>
      <c r="E345" t="n">
        <v>2.364885</v>
      </c>
      <c r="F345" s="35" t="n">
        <v>38909</v>
      </c>
      <c r="G345" t="n">
        <v>17.07679</v>
      </c>
      <c r="H345" t="n">
        <v>6.221</v>
      </c>
      <c r="I345" t="n">
        <v>61282.26</v>
      </c>
      <c r="J345" t="n">
        <v>6.2128</v>
      </c>
      <c r="K345" t="n">
        <v>4171</v>
      </c>
    </row>
    <row r="346">
      <c r="A346" t="inlineStr">
        <is>
          <t>NCM-202310.ASX</t>
        </is>
      </c>
      <c r="B346" t="inlineStr">
        <is>
          <t>Newcrest Mining Limited Ordinary</t>
        </is>
      </c>
      <c r="C346" t="inlineStr">
        <is>
          <t>Closed</t>
        </is>
      </c>
      <c r="D346" s="35" t="n">
        <v>38702</v>
      </c>
      <c r="E346" t="n">
        <v>15.96984</v>
      </c>
      <c r="F346" s="35" t="n">
        <v>38870</v>
      </c>
      <c r="G346" t="n">
        <v>15.09301</v>
      </c>
      <c r="H346" t="n">
        <v>-0.0549</v>
      </c>
      <c r="I346" t="n">
        <v>-1228.38</v>
      </c>
      <c r="J346" t="n">
        <v>-0.0569</v>
      </c>
      <c r="K346" t="n">
        <v>1353</v>
      </c>
    </row>
    <row r="347">
      <c r="A347" t="inlineStr">
        <is>
          <t>FMG.ASX</t>
        </is>
      </c>
      <c r="B347" t="inlineStr">
        <is>
          <t>Fortescue Ltd Ordinary</t>
        </is>
      </c>
      <c r="C347" t="inlineStr">
        <is>
          <t>Closed</t>
        </is>
      </c>
      <c r="D347" s="35" t="n">
        <v>38681</v>
      </c>
      <c r="E347" t="n">
        <v>0.1823946</v>
      </c>
      <c r="F347" s="35" t="n">
        <v>38870</v>
      </c>
      <c r="G347" t="n">
        <v>0.2529206</v>
      </c>
      <c r="H347" t="n">
        <v>0.3867</v>
      </c>
      <c r="I347" t="n">
        <v>8599.15</v>
      </c>
      <c r="J347" t="n">
        <v>0.3843</v>
      </c>
      <c r="K347" t="n">
        <v>122686</v>
      </c>
    </row>
    <row r="348">
      <c r="A348" t="inlineStr">
        <is>
          <t>LGL-201008.ASX</t>
        </is>
      </c>
      <c r="B348" t="inlineStr">
        <is>
          <t>Lihir Gold Limited 10 Toea Ordinary</t>
        </is>
      </c>
      <c r="C348" t="inlineStr">
        <is>
          <t>Closed</t>
        </is>
      </c>
      <c r="D348" s="35" t="n">
        <v>38674</v>
      </c>
      <c r="E348" t="n">
        <v>1.844502</v>
      </c>
      <c r="F348" s="35" t="n">
        <v>38870</v>
      </c>
      <c r="G348" t="n">
        <v>2.775884</v>
      </c>
      <c r="H348" t="n">
        <v>0.505</v>
      </c>
      <c r="I348" t="n">
        <v>10857.01</v>
      </c>
      <c r="J348" t="n">
        <v>0.5024</v>
      </c>
      <c r="K348" t="n">
        <v>11715</v>
      </c>
    </row>
    <row r="349">
      <c r="A349" t="inlineStr">
        <is>
          <t>KIM-200712.ASX</t>
        </is>
      </c>
      <c r="B349" t="inlineStr">
        <is>
          <t>Kimberley Diamond Company NL Ordinary</t>
        </is>
      </c>
      <c r="C349" t="inlineStr">
        <is>
          <t>Closed</t>
        </is>
      </c>
      <c r="D349" s="35" t="n">
        <v>38667</v>
      </c>
      <c r="E349" t="n">
        <v>1.428383</v>
      </c>
      <c r="F349" s="35" t="n">
        <v>38870</v>
      </c>
      <c r="G349" t="n">
        <v>1.435</v>
      </c>
      <c r="H349" t="n">
        <v>0.0046</v>
      </c>
      <c r="I349" t="n">
        <v>56.39</v>
      </c>
      <c r="J349" t="n">
        <v>0.0026</v>
      </c>
      <c r="K349" t="n">
        <v>15023</v>
      </c>
    </row>
    <row r="350">
      <c r="A350" t="inlineStr">
        <is>
          <t>SIG-200512.ASX</t>
        </is>
      </c>
      <c r="B350" t="inlineStr">
        <is>
          <t>Sigma Company Limited Ordinary</t>
        </is>
      </c>
      <c r="C350" t="inlineStr">
        <is>
          <t>Closed</t>
        </is>
      </c>
      <c r="D350" s="35" t="n">
        <v>38667</v>
      </c>
      <c r="E350" t="n">
        <v>12.6824</v>
      </c>
      <c r="F350" s="35" t="n">
        <v>38691</v>
      </c>
      <c r="G350" t="n">
        <v>13.44</v>
      </c>
      <c r="H350" t="n">
        <v>0.0597</v>
      </c>
      <c r="I350" t="n">
        <v>1237.66</v>
      </c>
      <c r="J350" t="n">
        <v>0.0577</v>
      </c>
      <c r="K350" t="n">
        <v>1692</v>
      </c>
    </row>
    <row r="351">
      <c r="A351" t="inlineStr">
        <is>
          <t>JBM-200802.ASX</t>
        </is>
      </c>
      <c r="B351" t="inlineStr">
        <is>
          <t>Jubilee Mines NL Ordinary</t>
        </is>
      </c>
      <c r="C351" t="inlineStr">
        <is>
          <t>Closed</t>
        </is>
      </c>
      <c r="D351" s="35" t="n">
        <v>38226</v>
      </c>
      <c r="E351" t="n">
        <v>3.748033</v>
      </c>
      <c r="F351" s="35" t="n">
        <v>38660</v>
      </c>
      <c r="G351" t="n">
        <v>6.043457</v>
      </c>
      <c r="H351" t="n">
        <v>0.6124000000000001</v>
      </c>
      <c r="I351" t="n">
        <v>8536.84</v>
      </c>
      <c r="J351" t="n">
        <v>0.6098</v>
      </c>
      <c r="K351" t="n">
        <v>3735</v>
      </c>
    </row>
    <row r="352">
      <c r="A352" t="inlineStr">
        <is>
          <t>BNB-200901.ASX</t>
        </is>
      </c>
      <c r="B352" t="inlineStr">
        <is>
          <t>Babcock &amp; Brown Limited Ordinary</t>
        </is>
      </c>
      <c r="C352" t="inlineStr">
        <is>
          <t>Closed</t>
        </is>
      </c>
      <c r="D352" s="35" t="n">
        <v>38506</v>
      </c>
      <c r="E352" t="n">
        <v>11.06484</v>
      </c>
      <c r="F352" s="35" t="n">
        <v>38646</v>
      </c>
      <c r="G352" t="n">
        <v>16.01345</v>
      </c>
      <c r="H352" t="n">
        <v>0.4472</v>
      </c>
      <c r="I352" t="n">
        <v>8327.23</v>
      </c>
      <c r="J352" t="n">
        <v>0.4448</v>
      </c>
      <c r="K352" t="n">
        <v>1692</v>
      </c>
    </row>
    <row r="353">
      <c r="A353" t="inlineStr">
        <is>
          <t>BRS-201605.ASX</t>
        </is>
      </c>
      <c r="B353" t="inlineStr">
        <is>
          <t>Broadspectrum Limited Ordinary</t>
        </is>
      </c>
      <c r="C353" t="inlineStr">
        <is>
          <t>Closed</t>
        </is>
      </c>
      <c r="D353" s="35" t="n">
        <v>37722</v>
      </c>
      <c r="E353" t="n">
        <v>1.216246</v>
      </c>
      <c r="F353" s="35" t="n">
        <v>38646</v>
      </c>
      <c r="G353" t="n">
        <v>3.446784</v>
      </c>
      <c r="H353" t="n">
        <v>1.834</v>
      </c>
      <c r="I353" t="n">
        <v>18054.07</v>
      </c>
      <c r="J353" t="n">
        <v>1.8301</v>
      </c>
      <c r="K353" t="n">
        <v>8111</v>
      </c>
    </row>
    <row r="354">
      <c r="A354" t="inlineStr">
        <is>
          <t>IAG.ASX</t>
        </is>
      </c>
      <c r="B354" t="inlineStr">
        <is>
          <t>Insurance Australia Group Limited Ordinary</t>
        </is>
      </c>
      <c r="C354" t="inlineStr">
        <is>
          <t>Closed</t>
        </is>
      </c>
      <c r="D354" s="35" t="n">
        <v>37722</v>
      </c>
      <c r="E354" t="n">
        <v>1.13588</v>
      </c>
      <c r="F354" s="35" t="n">
        <v>38597</v>
      </c>
      <c r="G354" t="n">
        <v>2.188395</v>
      </c>
      <c r="H354" t="n">
        <v>0.9266</v>
      </c>
      <c r="I354" t="n">
        <v>9113.27</v>
      </c>
      <c r="J354" t="n">
        <v>0.9237</v>
      </c>
      <c r="K354" t="n">
        <v>8686</v>
      </c>
    </row>
    <row r="355">
      <c r="A355" t="inlineStr">
        <is>
          <t>GNS-201203.ASX</t>
        </is>
      </c>
      <c r="B355" t="inlineStr">
        <is>
          <t>Gunns Limited Ordinary</t>
        </is>
      </c>
      <c r="C355" t="inlineStr">
        <is>
          <t>Closed</t>
        </is>
      </c>
      <c r="D355" s="35" t="n">
        <v>37596</v>
      </c>
      <c r="E355" t="n">
        <v>1.425114</v>
      </c>
      <c r="F355" s="35" t="n">
        <v>38583</v>
      </c>
      <c r="G355" t="n">
        <v>2.695943</v>
      </c>
      <c r="H355" t="n">
        <v>0.8917</v>
      </c>
      <c r="I355" t="n">
        <v>8208.27</v>
      </c>
      <c r="J355" t="n">
        <v>0.8888</v>
      </c>
      <c r="K355" t="n">
        <v>6480</v>
      </c>
    </row>
    <row r="356">
      <c r="A356" t="inlineStr">
        <is>
          <t>ABS-200808.ASX</t>
        </is>
      </c>
      <c r="B356" t="inlineStr">
        <is>
          <t>A.B.C. Learning Centres Limited Ordinary</t>
        </is>
      </c>
      <c r="C356" t="inlineStr">
        <is>
          <t>Closed</t>
        </is>
      </c>
      <c r="D356" s="35" t="n">
        <v>38352</v>
      </c>
      <c r="E356" t="n">
        <v>4.835139</v>
      </c>
      <c r="F356" s="35" t="n">
        <v>38485</v>
      </c>
      <c r="G356" t="n">
        <v>4.681686</v>
      </c>
      <c r="H356" t="n">
        <v>-0.0317</v>
      </c>
      <c r="I356" t="n">
        <v>-596.14</v>
      </c>
      <c r="J356" t="n">
        <v>-0.0337</v>
      </c>
      <c r="K356" t="n">
        <v>3658</v>
      </c>
    </row>
    <row r="357">
      <c r="A357" t="inlineStr">
        <is>
          <t>EXL-200610.ASX</t>
        </is>
      </c>
      <c r="B357" t="inlineStr">
        <is>
          <t>Excel Coal Limited Ordinary</t>
        </is>
      </c>
      <c r="C357" t="inlineStr">
        <is>
          <t>Closed</t>
        </is>
      </c>
      <c r="D357" s="35" t="n">
        <v>38275</v>
      </c>
      <c r="E357" t="n">
        <v>3.902256</v>
      </c>
      <c r="F357" s="35" t="n">
        <v>38485</v>
      </c>
      <c r="G357" t="n">
        <v>6.317195</v>
      </c>
      <c r="H357" t="n">
        <v>0.6189</v>
      </c>
      <c r="I357" t="n">
        <v>9436.120000000001</v>
      </c>
      <c r="J357" t="n">
        <v>0.6162</v>
      </c>
      <c r="K357" t="n">
        <v>3924</v>
      </c>
    </row>
    <row r="358">
      <c r="A358" t="inlineStr">
        <is>
          <t>MGR.ASX</t>
        </is>
      </c>
      <c r="B358" t="inlineStr">
        <is>
          <t>Mirvac Group Ordinary/Units Stapled Securities</t>
        </is>
      </c>
      <c r="C358" t="inlineStr">
        <is>
          <t>Closed</t>
        </is>
      </c>
      <c r="D358" s="35" t="n">
        <v>36588</v>
      </c>
      <c r="E358" t="n">
        <v>0.6807585</v>
      </c>
      <c r="F358" s="35" t="n">
        <v>38485</v>
      </c>
      <c r="G358" t="n">
        <v>1.141033</v>
      </c>
      <c r="H358" t="n">
        <v>0.6761</v>
      </c>
      <c r="I358" t="n">
        <v>4113.24</v>
      </c>
      <c r="J358" t="n">
        <v>0.6734</v>
      </c>
      <c r="K358" t="n">
        <v>8972</v>
      </c>
    </row>
    <row r="359">
      <c r="A359" t="inlineStr">
        <is>
          <t>UTB-200609.ASX</t>
        </is>
      </c>
      <c r="B359" t="inlineStr">
        <is>
          <t>Unitab Limited Ordinary</t>
        </is>
      </c>
      <c r="C359" t="inlineStr">
        <is>
          <t>Closed</t>
        </is>
      </c>
      <c r="D359" s="35" t="n">
        <v>38107</v>
      </c>
      <c r="E359" t="n">
        <v>6.394367</v>
      </c>
      <c r="F359" s="35" t="n">
        <v>38464</v>
      </c>
      <c r="G359" t="n">
        <v>11.24836</v>
      </c>
      <c r="H359" t="n">
        <v>0.7591</v>
      </c>
      <c r="I359" t="n">
        <v>9861.32</v>
      </c>
      <c r="J359" t="n">
        <v>0.7563</v>
      </c>
      <c r="K359" t="n">
        <v>2039</v>
      </c>
    </row>
    <row r="360">
      <c r="A360" t="inlineStr">
        <is>
          <t>JFG-200412.ASX</t>
        </is>
      </c>
      <c r="B360" t="inlineStr">
        <is>
          <t>James Fielding Group Ordinary/Units  Stapled Security</t>
        </is>
      </c>
      <c r="C360" t="inlineStr">
        <is>
          <t>Closed</t>
        </is>
      </c>
      <c r="D360" s="35" t="n">
        <v>37979</v>
      </c>
      <c r="E360" t="n">
        <v>2.673457</v>
      </c>
      <c r="F360" s="35" t="n">
        <v>38350</v>
      </c>
      <c r="G360" t="n">
        <v>3.42</v>
      </c>
      <c r="H360" t="n">
        <v>0.2792</v>
      </c>
      <c r="I360" t="n">
        <v>3189.86</v>
      </c>
      <c r="J360" t="n">
        <v>0.277</v>
      </c>
      <c r="K360" t="n">
        <v>4308</v>
      </c>
    </row>
    <row r="361">
      <c r="A361" t="inlineStr">
        <is>
          <t>PAO-200410.ASX</t>
        </is>
      </c>
      <c r="B361" t="inlineStr">
        <is>
          <t>Principal America Office Trust Units</t>
        </is>
      </c>
      <c r="C361" t="inlineStr">
        <is>
          <t>Closed</t>
        </is>
      </c>
      <c r="D361" s="35" t="n">
        <v>38142</v>
      </c>
      <c r="E361" t="n">
        <v>1.240039</v>
      </c>
      <c r="F361" s="35" t="n">
        <v>38271</v>
      </c>
      <c r="G361" t="n">
        <v>1.31</v>
      </c>
      <c r="H361" t="n">
        <v>0.0564</v>
      </c>
      <c r="I361" t="n">
        <v>722.4400000000001</v>
      </c>
      <c r="J361" t="n">
        <v>0.0544</v>
      </c>
      <c r="K361" t="n">
        <v>10717</v>
      </c>
    </row>
    <row r="362">
      <c r="A362" t="inlineStr">
        <is>
          <t>HDR-200612.ASX</t>
        </is>
      </c>
      <c r="B362" t="inlineStr">
        <is>
          <t>Hardman Resources Limited Ordinary</t>
        </is>
      </c>
      <c r="C362" t="inlineStr">
        <is>
          <t>Closed</t>
        </is>
      </c>
      <c r="D362" s="35" t="n">
        <v>37979</v>
      </c>
      <c r="E362" t="n">
        <v>0.74459</v>
      </c>
      <c r="F362" s="35" t="n">
        <v>38219</v>
      </c>
      <c r="G362" t="n">
        <v>2.02</v>
      </c>
      <c r="H362" t="n">
        <v>1.7129</v>
      </c>
      <c r="I362" t="n">
        <v>19689.1</v>
      </c>
      <c r="J362" t="n">
        <v>1.7092</v>
      </c>
      <c r="K362" t="n">
        <v>15471</v>
      </c>
    </row>
    <row r="363">
      <c r="A363" t="inlineStr">
        <is>
          <t>ABC-202406.ASX</t>
        </is>
      </c>
      <c r="B363" t="inlineStr">
        <is>
          <t>Adbri Limited Ordinary</t>
        </is>
      </c>
      <c r="C363" t="inlineStr">
        <is>
          <t>Closed</t>
        </is>
      </c>
      <c r="D363" s="35" t="n">
        <v>37979</v>
      </c>
      <c r="E363" t="n">
        <v>0.5803525</v>
      </c>
      <c r="F363" s="35" t="n">
        <v>38128</v>
      </c>
      <c r="G363" t="n">
        <v>0.4797581</v>
      </c>
      <c r="H363" t="n">
        <v>-0.1733</v>
      </c>
      <c r="I363" t="n">
        <v>-2018.05</v>
      </c>
      <c r="J363" t="n">
        <v>-0.1752</v>
      </c>
      <c r="K363" t="n">
        <v>19852</v>
      </c>
    </row>
    <row r="364">
      <c r="A364" t="inlineStr">
        <is>
          <t>SGW-200408.ASX</t>
        </is>
      </c>
      <c r="B364" t="inlineStr">
        <is>
          <t>Sons of Gwalia Limited Ordinary</t>
        </is>
      </c>
      <c r="C364" t="inlineStr">
        <is>
          <t>Closed</t>
        </is>
      </c>
      <c r="D364" s="35" t="n">
        <v>37827</v>
      </c>
      <c r="E364" t="n">
        <v>2.89</v>
      </c>
      <c r="F364" s="35" t="n">
        <v>38107</v>
      </c>
      <c r="G364" t="n">
        <v>2.54</v>
      </c>
      <c r="H364" t="n">
        <v>-0.1211</v>
      </c>
      <c r="I364" t="n">
        <v>-1327.18</v>
      </c>
      <c r="J364" t="n">
        <v>-0.123</v>
      </c>
      <c r="K364" t="n">
        <v>3734</v>
      </c>
    </row>
    <row r="365">
      <c r="A365" t="inlineStr">
        <is>
          <t>MPR-200707.ASX</t>
        </is>
      </c>
      <c r="B365" t="inlineStr">
        <is>
          <t>Macquarie Prologis Trust Units</t>
        </is>
      </c>
      <c r="C365" t="inlineStr">
        <is>
          <t>Closed</t>
        </is>
      </c>
      <c r="D365" s="35" t="n">
        <v>37624</v>
      </c>
      <c r="E365" t="n">
        <v>0.7257591</v>
      </c>
      <c r="F365" s="35" t="n">
        <v>37939</v>
      </c>
      <c r="G365" t="n">
        <v>0.7436002</v>
      </c>
      <c r="H365" t="n">
        <v>0.0246</v>
      </c>
      <c r="I365" t="n">
        <v>211.7</v>
      </c>
      <c r="J365" t="n">
        <v>0.0226</v>
      </c>
      <c r="K365" t="n">
        <v>12931</v>
      </c>
    </row>
    <row r="366">
      <c r="A366" t="inlineStr">
        <is>
          <t>GAS-200611.ASX</t>
        </is>
      </c>
      <c r="B366" t="inlineStr">
        <is>
          <t>Gasnet Australia Group Ordinary Shares/Units Triple Stapled</t>
        </is>
      </c>
      <c r="C366" t="inlineStr">
        <is>
          <t>Closed</t>
        </is>
      </c>
      <c r="D366" s="35" t="n">
        <v>37596</v>
      </c>
      <c r="E366" t="n">
        <v>1.425133</v>
      </c>
      <c r="F366" s="35" t="n">
        <v>37939</v>
      </c>
      <c r="G366" t="n">
        <v>1.616507</v>
      </c>
      <c r="H366" t="n">
        <v>0.1343</v>
      </c>
      <c r="I366" t="n">
        <v>1219.64</v>
      </c>
      <c r="J366" t="n">
        <v>0.1322</v>
      </c>
      <c r="K366" t="n">
        <v>6476</v>
      </c>
    </row>
    <row r="367">
      <c r="A367" t="inlineStr">
        <is>
          <t>WFA-200407.ASX</t>
        </is>
      </c>
      <c r="B367" t="inlineStr">
        <is>
          <t>Westfield America Trust Units</t>
        </is>
      </c>
      <c r="C367" t="inlineStr">
        <is>
          <t>Closed</t>
        </is>
      </c>
      <c r="D367" s="35" t="n">
        <v>36588</v>
      </c>
      <c r="E367" t="n">
        <v>1.062185</v>
      </c>
      <c r="F367" s="35" t="n">
        <v>37939</v>
      </c>
      <c r="G367" t="n">
        <v>1.687338</v>
      </c>
      <c r="H367" t="n">
        <v>0.5886</v>
      </c>
      <c r="I367" t="n">
        <v>3578.82</v>
      </c>
      <c r="J367" t="n">
        <v>0.586</v>
      </c>
      <c r="K367" t="n">
        <v>5750</v>
      </c>
    </row>
    <row r="368">
      <c r="A368" t="inlineStr">
        <is>
          <t>RIC.ASX</t>
        </is>
      </c>
      <c r="B368" t="inlineStr">
        <is>
          <t>Ridley Corporation Limited Ordinary</t>
        </is>
      </c>
      <c r="C368" t="inlineStr">
        <is>
          <t>Closed</t>
        </is>
      </c>
      <c r="D368" s="35" t="n">
        <v>37197</v>
      </c>
      <c r="E368" t="n">
        <v>0.3335573</v>
      </c>
      <c r="F368" s="35" t="n">
        <v>37932</v>
      </c>
      <c r="G368" t="n">
        <v>0.4419941</v>
      </c>
      <c r="H368" t="n">
        <v>0.3251</v>
      </c>
      <c r="I368" t="n">
        <v>2743.32</v>
      </c>
      <c r="J368" t="n">
        <v>0.3228</v>
      </c>
      <c r="K368" t="n">
        <v>25481</v>
      </c>
    </row>
    <row r="369">
      <c r="A369" t="inlineStr">
        <is>
          <t>ADP-200307.ASX</t>
        </is>
      </c>
      <c r="B369" t="inlineStr">
        <is>
          <t>AMP Diversified Property Trust Units</t>
        </is>
      </c>
      <c r="C369" t="inlineStr">
        <is>
          <t>Closed</t>
        </is>
      </c>
      <c r="D369" s="35" t="n">
        <v>36588</v>
      </c>
      <c r="E369" t="n">
        <v>1.819369</v>
      </c>
      <c r="F369" s="35" t="n">
        <v>37825</v>
      </c>
      <c r="G369" t="n">
        <v>3.05</v>
      </c>
      <c r="H369" t="n">
        <v>0.6764</v>
      </c>
      <c r="I369" t="n">
        <v>4114.88</v>
      </c>
      <c r="J369" t="n">
        <v>0.6737</v>
      </c>
      <c r="K369" t="n">
        <v>3357</v>
      </c>
    </row>
    <row r="370">
      <c r="A370" t="inlineStr">
        <is>
          <t>GMF-200304.ASX</t>
        </is>
      </c>
      <c r="B370" t="inlineStr">
        <is>
          <t>Goodman Fielder Limited Ordinary</t>
        </is>
      </c>
      <c r="C370" t="inlineStr">
        <is>
          <t>Closed</t>
        </is>
      </c>
      <c r="D370" s="35" t="n">
        <v>37197</v>
      </c>
      <c r="E370" t="n">
        <v>1.186496</v>
      </c>
      <c r="F370" s="35" t="n">
        <v>37722</v>
      </c>
      <c r="G370" t="n">
        <v>1.63</v>
      </c>
      <c r="H370" t="n">
        <v>0.3738</v>
      </c>
      <c r="I370" t="n">
        <v>3154.88</v>
      </c>
      <c r="J370" t="n">
        <v>0.3714</v>
      </c>
      <c r="K370" t="n">
        <v>7159</v>
      </c>
    </row>
    <row r="371">
      <c r="A371" t="inlineStr">
        <is>
          <t>FOX-201405.ASX</t>
        </is>
      </c>
      <c r="B371" t="inlineStr">
        <is>
          <t>Twenty-First Century Fox Inc. Class B Voting Common Stock-CDI</t>
        </is>
      </c>
      <c r="C371" t="inlineStr">
        <is>
          <t>Closed</t>
        </is>
      </c>
      <c r="D371" s="35" t="n">
        <v>37596</v>
      </c>
      <c r="E371" t="n">
        <v>21.86067</v>
      </c>
      <c r="F371" s="35" t="n">
        <v>37694</v>
      </c>
      <c r="G371" t="n">
        <v>16.79729</v>
      </c>
      <c r="H371" t="n">
        <v>-0.2316</v>
      </c>
      <c r="I371" t="n">
        <v>-2153.06</v>
      </c>
      <c r="J371" t="n">
        <v>-0.2334</v>
      </c>
      <c r="K371" t="n">
        <v>422</v>
      </c>
    </row>
    <row r="372">
      <c r="A372" t="inlineStr">
        <is>
          <t>OZL-202304.ASX</t>
        </is>
      </c>
      <c r="B372" t="inlineStr">
        <is>
          <t>OZ Minerals Limited Ordinary</t>
        </is>
      </c>
      <c r="C372" t="inlineStr">
        <is>
          <t>Closed</t>
        </is>
      </c>
      <c r="D372" s="35" t="n">
        <v>37624</v>
      </c>
      <c r="E372" t="n">
        <v>2.49726</v>
      </c>
      <c r="F372" s="35" t="n">
        <v>37666</v>
      </c>
      <c r="G372" t="n">
        <v>3.069549</v>
      </c>
      <c r="H372" t="n">
        <v>0.2292</v>
      </c>
      <c r="I372" t="n">
        <v>2129.74</v>
      </c>
      <c r="J372" t="n">
        <v>0.2269</v>
      </c>
      <c r="K372" t="n">
        <v>3758</v>
      </c>
    </row>
    <row r="373">
      <c r="A373" t="inlineStr">
        <is>
          <t>ALD.ASX</t>
        </is>
      </c>
      <c r="B373" t="inlineStr">
        <is>
          <t>Ampol Limited Ordinary</t>
        </is>
      </c>
      <c r="C373" t="inlineStr">
        <is>
          <t>Closed</t>
        </is>
      </c>
      <c r="D373" s="35" t="n">
        <v>37596</v>
      </c>
      <c r="E373" t="n">
        <v>1.013507</v>
      </c>
      <c r="F373" s="35" t="n">
        <v>37617</v>
      </c>
      <c r="G373" t="n">
        <v>0.9579723</v>
      </c>
      <c r="H373" t="n">
        <v>-0.0548</v>
      </c>
      <c r="I373" t="n">
        <v>-523.71</v>
      </c>
      <c r="J373" t="n">
        <v>-0.0567</v>
      </c>
      <c r="K373" t="n">
        <v>9107</v>
      </c>
    </row>
    <row r="374">
      <c r="A374" t="inlineStr">
        <is>
          <t>FOXLV-201404.ASX</t>
        </is>
      </c>
      <c r="B374" t="inlineStr">
        <is>
          <t>Twenty-First Century Fox Inc. Class A non-Voting Common Stock-CDI</t>
        </is>
      </c>
      <c r="C374" t="inlineStr">
        <is>
          <t>Closed</t>
        </is>
      </c>
      <c r="D374" s="35" t="n">
        <v>37596</v>
      </c>
      <c r="E374" t="n">
        <v>18.01558</v>
      </c>
      <c r="F374" s="35" t="n">
        <v>37610</v>
      </c>
      <c r="G374" t="n">
        <v>16.35312</v>
      </c>
      <c r="H374" t="n">
        <v>-0.09229999999999999</v>
      </c>
      <c r="I374" t="n">
        <v>-868.78</v>
      </c>
      <c r="J374" t="n">
        <v>-0.09420000000000001</v>
      </c>
      <c r="K374" t="n">
        <v>512</v>
      </c>
    </row>
    <row r="375">
      <c r="A375" t="inlineStr">
        <is>
          <t>WDS.ASX</t>
        </is>
      </c>
      <c r="B375" t="inlineStr">
        <is>
          <t>Woodside Energy Group Ltd Ordinary</t>
        </is>
      </c>
      <c r="C375" t="inlineStr">
        <is>
          <t>Closed</t>
        </is>
      </c>
      <c r="D375" s="35" t="n">
        <v>36553</v>
      </c>
      <c r="E375" t="n">
        <v>3.468835</v>
      </c>
      <c r="F375" s="35" t="n">
        <v>37533</v>
      </c>
      <c r="G375" t="n">
        <v>3.966168</v>
      </c>
      <c r="H375" t="n">
        <v>0.1434</v>
      </c>
      <c r="I375" t="n">
        <v>873.49</v>
      </c>
      <c r="J375" t="n">
        <v>0.1412</v>
      </c>
      <c r="K375" t="n">
        <v>1783</v>
      </c>
    </row>
    <row r="376">
      <c r="A376" t="inlineStr">
        <is>
          <t>CFT-200210.ASX</t>
        </is>
      </c>
      <c r="B376" t="inlineStr">
        <is>
          <t>Colonial First State Property Trust Group Stapled Securities</t>
        </is>
      </c>
      <c r="C376" t="inlineStr">
        <is>
          <t>Closed</t>
        </is>
      </c>
      <c r="D376" s="35" t="n">
        <v>36686</v>
      </c>
      <c r="E376" t="n">
        <v>1.764858</v>
      </c>
      <c r="F376" s="35" t="n">
        <v>37531</v>
      </c>
      <c r="G376" t="n">
        <v>2.42</v>
      </c>
      <c r="H376" t="n">
        <v>0.3712</v>
      </c>
      <c r="I376" t="n">
        <v>2416.35</v>
      </c>
      <c r="J376" t="n">
        <v>0.3688</v>
      </c>
      <c r="K376" t="n">
        <v>3712</v>
      </c>
    </row>
    <row r="377">
      <c r="A377" t="inlineStr">
        <is>
          <t>TOL-201505.ASX</t>
        </is>
      </c>
      <c r="B377" t="inlineStr">
        <is>
          <t>Toll Holdings Limited Ordinary</t>
        </is>
      </c>
      <c r="C377" t="inlineStr">
        <is>
          <t>Closed</t>
        </is>
      </c>
      <c r="D377" s="35" t="n">
        <v>37197</v>
      </c>
      <c r="E377" t="n">
        <v>2.345602</v>
      </c>
      <c r="F377" s="35" t="n">
        <v>37512</v>
      </c>
      <c r="G377" t="n">
        <v>2.552025</v>
      </c>
      <c r="H377" t="n">
        <v>0.08799999999999999</v>
      </c>
      <c r="I377" t="n">
        <v>729.92</v>
      </c>
      <c r="J377" t="n">
        <v>0.0859</v>
      </c>
      <c r="K377" t="n">
        <v>3622</v>
      </c>
    </row>
    <row r="378">
      <c r="A378" t="inlineStr">
        <is>
          <t>HLY-200505.ASX</t>
        </is>
      </c>
      <c r="B378" t="inlineStr">
        <is>
          <t>Hills Motorway Group Ordinary/Units  Stapled Securities</t>
        </is>
      </c>
      <c r="C378" t="inlineStr">
        <is>
          <t>Closed</t>
        </is>
      </c>
      <c r="D378" s="35" t="n">
        <v>36574</v>
      </c>
      <c r="E378" t="n">
        <v>2.828656</v>
      </c>
      <c r="F378" s="35" t="n">
        <v>37449</v>
      </c>
      <c r="G378" t="n">
        <v>4.047059</v>
      </c>
      <c r="H378" t="n">
        <v>0.4307</v>
      </c>
      <c r="I378" t="n">
        <v>2631.44</v>
      </c>
      <c r="J378" t="n">
        <v>0.4283</v>
      </c>
      <c r="K378" t="n">
        <v>2172</v>
      </c>
    </row>
    <row r="379">
      <c r="A379" t="inlineStr">
        <is>
          <t>COH.ASX</t>
        </is>
      </c>
      <c r="B379" t="inlineStr">
        <is>
          <t>Cochlear Limited Ordinary</t>
        </is>
      </c>
      <c r="C379" t="inlineStr">
        <is>
          <t>Closed</t>
        </is>
      </c>
      <c r="D379" s="35" t="n">
        <v>37197</v>
      </c>
      <c r="E379" t="n">
        <v>29.22131</v>
      </c>
      <c r="F379" s="35" t="n">
        <v>37386</v>
      </c>
      <c r="G379" t="n">
        <v>21.73759</v>
      </c>
      <c r="H379" t="n">
        <v>-0.2561</v>
      </c>
      <c r="I379" t="n">
        <v>-2185.06</v>
      </c>
      <c r="J379" t="n">
        <v>-0.2578</v>
      </c>
      <c r="K379" t="n">
        <v>290</v>
      </c>
    </row>
    <row r="380">
      <c r="A380" t="inlineStr">
        <is>
          <t>DOW.ASX</t>
        </is>
      </c>
      <c r="B380" t="inlineStr">
        <is>
          <t>Downer EDI Limited Ordinary</t>
        </is>
      </c>
      <c r="C380" t="inlineStr">
        <is>
          <t>Closed</t>
        </is>
      </c>
      <c r="D380" s="35" t="n">
        <v>37197</v>
      </c>
      <c r="E380" t="n">
        <v>1.20694</v>
      </c>
      <c r="F380" s="35" t="n">
        <v>37379</v>
      </c>
      <c r="G380" t="n">
        <v>1.184451</v>
      </c>
      <c r="H380" t="n">
        <v>-0.0186</v>
      </c>
      <c r="I380" t="n">
        <v>-175.08</v>
      </c>
      <c r="J380" t="n">
        <v>-0.0206</v>
      </c>
      <c r="K380" t="n">
        <v>7037</v>
      </c>
    </row>
    <row r="381">
      <c r="A381" t="inlineStr">
        <is>
          <t>AOR-200211.ASX</t>
        </is>
      </c>
      <c r="B381" t="inlineStr">
        <is>
          <t>Auriongold Limited Ordinary</t>
        </is>
      </c>
      <c r="C381" t="inlineStr">
        <is>
          <t>Closed</t>
        </is>
      </c>
      <c r="D381" s="35" t="n">
        <v>37197</v>
      </c>
      <c r="E381" t="n">
        <v>2.286967</v>
      </c>
      <c r="F381" s="35" t="n">
        <v>37365</v>
      </c>
      <c r="G381" t="n">
        <v>2.551575</v>
      </c>
      <c r="H381" t="n">
        <v>0.1157</v>
      </c>
      <c r="I381" t="n">
        <v>965.04</v>
      </c>
      <c r="J381" t="n">
        <v>0.1136</v>
      </c>
      <c r="K381" t="n">
        <v>3715</v>
      </c>
    </row>
    <row r="382">
      <c r="A382" t="inlineStr">
        <is>
          <t>WOW.ASX</t>
        </is>
      </c>
      <c r="B382" t="inlineStr">
        <is>
          <t>Woolworths Group Limited Ordinary</t>
        </is>
      </c>
      <c r="C382" t="inlineStr">
        <is>
          <t>Closed</t>
        </is>
      </c>
      <c r="D382" s="35" t="n">
        <v>36686</v>
      </c>
      <c r="E382" t="n">
        <v>2.100832</v>
      </c>
      <c r="F382" s="35" t="n">
        <v>37190</v>
      </c>
      <c r="G382" t="n">
        <v>4.219617</v>
      </c>
      <c r="H382" t="n">
        <v>1.0085</v>
      </c>
      <c r="I382" t="n">
        <v>6590.89</v>
      </c>
      <c r="J382" t="n">
        <v>1.0055</v>
      </c>
      <c r="K382" t="n">
        <v>3120</v>
      </c>
    </row>
    <row r="383">
      <c r="A383" t="inlineStr">
        <is>
          <t>GHG-200703.ASX</t>
        </is>
      </c>
      <c r="B383" t="inlineStr">
        <is>
          <t>Grand Hotel Group Ordinary/Units</t>
        </is>
      </c>
      <c r="C383" t="inlineStr">
        <is>
          <t>Closed</t>
        </is>
      </c>
      <c r="D383" s="35" t="n">
        <v>36553</v>
      </c>
      <c r="E383" t="n">
        <v>0.8191565</v>
      </c>
      <c r="F383" s="35" t="n">
        <v>37162</v>
      </c>
      <c r="G383" t="n">
        <v>0.5405362</v>
      </c>
      <c r="H383" t="n">
        <v>-0.3401</v>
      </c>
      <c r="I383" t="n">
        <v>-2114.13</v>
      </c>
      <c r="J383" t="n">
        <v>-0.3418</v>
      </c>
      <c r="K383" t="n">
        <v>7551</v>
      </c>
    </row>
    <row r="384">
      <c r="A384" t="inlineStr">
        <is>
          <t>WSF-200407.ASX</t>
        </is>
      </c>
      <c r="B384" t="inlineStr">
        <is>
          <t>Scentre Group Limited Ordinary</t>
        </is>
      </c>
      <c r="C384" t="inlineStr">
        <is>
          <t>Closed</t>
        </is>
      </c>
      <c r="D384" s="35" t="n">
        <v>36686</v>
      </c>
      <c r="E384" t="n">
        <v>10.71123</v>
      </c>
      <c r="F384" s="35" t="n">
        <v>37155</v>
      </c>
      <c r="G384" t="n">
        <v>14.96218</v>
      </c>
      <c r="H384" t="n">
        <v>0.3969</v>
      </c>
      <c r="I384" t="n">
        <v>2581.64</v>
      </c>
      <c r="J384" t="n">
        <v>0.3945</v>
      </c>
      <c r="K384" t="n">
        <v>611</v>
      </c>
    </row>
    <row r="385">
      <c r="A385" t="inlineStr">
        <is>
          <t>PPT.ASX</t>
        </is>
      </c>
      <c r="B385" t="inlineStr">
        <is>
          <t>Perpetual Limited Ordinary</t>
        </is>
      </c>
      <c r="C385" t="inlineStr">
        <is>
          <t>Closed</t>
        </is>
      </c>
      <c r="D385" s="35" t="n">
        <v>36581</v>
      </c>
      <c r="E385" t="n">
        <v>6.279913</v>
      </c>
      <c r="F385" s="35" t="n">
        <v>37155</v>
      </c>
      <c r="G385" t="n">
        <v>10.52134</v>
      </c>
      <c r="H385" t="n">
        <v>0.6754</v>
      </c>
      <c r="I385" t="n">
        <v>4135.91</v>
      </c>
      <c r="J385" t="n">
        <v>0.6727</v>
      </c>
      <c r="K385" t="n">
        <v>979</v>
      </c>
    </row>
    <row r="386">
      <c r="A386" t="inlineStr">
        <is>
          <t>NAB.ASX</t>
        </is>
      </c>
      <c r="B386" t="inlineStr">
        <is>
          <t>National Australia Bank Limited Ordinary</t>
        </is>
      </c>
      <c r="C386" t="inlineStr">
        <is>
          <t>Closed</t>
        </is>
      </c>
      <c r="D386" s="35" t="n">
        <v>36686</v>
      </c>
      <c r="E386" t="n">
        <v>6.129744</v>
      </c>
      <c r="F386" s="35" t="n">
        <v>37148</v>
      </c>
      <c r="G386" t="n">
        <v>7.154909</v>
      </c>
      <c r="H386" t="n">
        <v>0.1672</v>
      </c>
      <c r="I386" t="n">
        <v>1081.7</v>
      </c>
      <c r="J386" t="n">
        <v>0.1651</v>
      </c>
      <c r="K386" t="n">
        <v>1069</v>
      </c>
    </row>
    <row r="387">
      <c r="A387" t="inlineStr">
        <is>
          <t>VSL-200701.ASX</t>
        </is>
      </c>
      <c r="B387" t="inlineStr">
        <is>
          <t>Vision Systems Limited Ordinary</t>
        </is>
      </c>
      <c r="C387" t="inlineStr">
        <is>
          <t>Closed</t>
        </is>
      </c>
      <c r="D387" s="35" t="n">
        <v>36952</v>
      </c>
      <c r="E387" t="n">
        <v>2.006543</v>
      </c>
      <c r="F387" s="35" t="n">
        <v>37099</v>
      </c>
      <c r="G387" t="n">
        <v>2.069718</v>
      </c>
      <c r="H387" t="n">
        <v>0.0315</v>
      </c>
      <c r="I387" t="n">
        <v>221.38</v>
      </c>
      <c r="J387" t="n">
        <v>0.0295</v>
      </c>
      <c r="K387" t="n">
        <v>3746</v>
      </c>
    </row>
    <row r="388">
      <c r="A388" t="inlineStr">
        <is>
          <t>EML-200103.ASX</t>
        </is>
      </c>
      <c r="B388" t="inlineStr">
        <is>
          <t>Email Limited Ordinary</t>
        </is>
      </c>
      <c r="C388" t="inlineStr">
        <is>
          <t>Closed</t>
        </is>
      </c>
      <c r="D388" s="35" t="n">
        <v>36693</v>
      </c>
      <c r="E388" t="n">
        <v>2.924911</v>
      </c>
      <c r="F388" s="35" t="n">
        <v>36952</v>
      </c>
      <c r="G388" t="n">
        <v>2.91</v>
      </c>
      <c r="H388" t="n">
        <v>-0.0051</v>
      </c>
      <c r="I388" t="n">
        <v>-46.16</v>
      </c>
      <c r="J388" t="n">
        <v>-0.0071</v>
      </c>
      <c r="K388" t="n">
        <v>2225</v>
      </c>
    </row>
    <row r="389">
      <c r="A389" t="inlineStr">
        <is>
          <t>IFA-200008.ASX</t>
        </is>
      </c>
      <c r="B389" t="inlineStr">
        <is>
          <t>Infratil Australia Limited Ordinary</t>
        </is>
      </c>
      <c r="C389" t="inlineStr">
        <is>
          <t>Closed</t>
        </is>
      </c>
      <c r="D389" s="35" t="n">
        <v>36630</v>
      </c>
      <c r="E389" t="n">
        <v>0.84</v>
      </c>
      <c r="F389" s="35" t="n">
        <v>36752</v>
      </c>
      <c r="G389" t="n">
        <v>0.92</v>
      </c>
      <c r="H389" t="n">
        <v>0.09520000000000001</v>
      </c>
      <c r="I389" t="n">
        <v>625.37</v>
      </c>
      <c r="J389" t="n">
        <v>0.0931</v>
      </c>
      <c r="K389" t="n">
        <v>7993</v>
      </c>
    </row>
    <row r="390">
      <c r="A390" t="inlineStr">
        <is>
          <t>CMC-200006.ASX</t>
        </is>
      </c>
      <c r="B390" t="inlineStr">
        <is>
          <t>Comalco Limited Ordinary</t>
        </is>
      </c>
      <c r="C390" t="inlineStr">
        <is>
          <t>Closed</t>
        </is>
      </c>
      <c r="D390" s="35" t="n">
        <v>36588</v>
      </c>
      <c r="E390" t="n">
        <v>9.434215999999999</v>
      </c>
      <c r="F390" s="35" t="n">
        <v>36690</v>
      </c>
      <c r="G390" t="n">
        <v>9.470000000000001</v>
      </c>
      <c r="H390" t="n">
        <v>0.0038</v>
      </c>
      <c r="I390" t="n">
        <v>10.92</v>
      </c>
      <c r="J390" t="n">
        <v>0.0018</v>
      </c>
      <c r="K390" t="n">
        <v>647</v>
      </c>
    </row>
    <row r="391">
      <c r="A391" t="inlineStr">
        <is>
          <t>DPT-200006.ASX</t>
        </is>
      </c>
      <c r="B391" t="inlineStr">
        <is>
          <t>Darling Park Trust Units</t>
        </is>
      </c>
      <c r="C391" t="inlineStr">
        <is>
          <t>Closed</t>
        </is>
      </c>
      <c r="D391" s="35" t="n">
        <v>36630</v>
      </c>
      <c r="E391" t="n">
        <v>2.444858</v>
      </c>
      <c r="F391" s="35" t="n">
        <v>36679</v>
      </c>
      <c r="G391" t="n">
        <v>2.45</v>
      </c>
      <c r="H391" t="n">
        <v>0.0021</v>
      </c>
      <c r="I391" t="n">
        <v>0.68</v>
      </c>
      <c r="J391" t="n">
        <v>0.0001</v>
      </c>
      <c r="K391" t="n">
        <v>2746</v>
      </c>
    </row>
    <row r="392">
      <c r="A392" t="inlineStr">
        <is>
          <t>UEL-200307.ASX</t>
        </is>
      </c>
      <c r="B392" t="inlineStr">
        <is>
          <t>United Energy Limited Ordinary</t>
        </is>
      </c>
      <c r="C392" t="inlineStr">
        <is>
          <t>Closed</t>
        </is>
      </c>
      <c r="D392" s="35" t="n">
        <v>36581</v>
      </c>
      <c r="E392" t="n">
        <v>1.850623</v>
      </c>
      <c r="F392" s="35" t="n">
        <v>36679</v>
      </c>
      <c r="G392" t="n">
        <v>2.257753</v>
      </c>
      <c r="H392" t="n">
        <v>0.22</v>
      </c>
      <c r="I392" t="n">
        <v>1339.24</v>
      </c>
      <c r="J392" t="n">
        <v>0.2178</v>
      </c>
      <c r="K392" t="n">
        <v>3323</v>
      </c>
    </row>
    <row r="393">
      <c r="A393" t="inlineStr">
        <is>
          <t>TOL-201505.ASX</t>
        </is>
      </c>
      <c r="B393" t="inlineStr">
        <is>
          <t>Toll Holdings Limited Ordinary</t>
        </is>
      </c>
      <c r="C393" t="inlineStr">
        <is>
          <t>Closed</t>
        </is>
      </c>
      <c r="D393" s="35" t="n">
        <v>36553</v>
      </c>
      <c r="E393" t="n">
        <v>0.4638164</v>
      </c>
      <c r="F393" s="35" t="n">
        <v>36644</v>
      </c>
      <c r="G393" t="n">
        <v>0.6311362</v>
      </c>
      <c r="H393" t="n">
        <v>0.3607</v>
      </c>
      <c r="I393" t="n">
        <v>2217.44</v>
      </c>
      <c r="J393" t="n">
        <v>0.3584</v>
      </c>
      <c r="K393" t="n">
        <v>13340</v>
      </c>
    </row>
    <row r="394">
      <c r="A394" t="inlineStr">
        <is>
          <t>FXJ-201811.ASX</t>
        </is>
      </c>
      <c r="B394" t="inlineStr">
        <is>
          <t>Fairfax Media Limited Ordinary</t>
        </is>
      </c>
      <c r="C394" t="inlineStr">
        <is>
          <t>Closed</t>
        </is>
      </c>
      <c r="D394" s="35" t="n">
        <v>36567</v>
      </c>
      <c r="E394" t="n">
        <v>1.533702</v>
      </c>
      <c r="F394" s="35" t="n">
        <v>36636</v>
      </c>
      <c r="G394" t="n">
        <v>1.412867</v>
      </c>
      <c r="H394" t="n">
        <v>-0.0788</v>
      </c>
      <c r="I394" t="n">
        <v>-498.96</v>
      </c>
      <c r="J394" t="n">
        <v>-0.08069999999999999</v>
      </c>
      <c r="K394" t="n">
        <v>4031</v>
      </c>
    </row>
    <row r="395">
      <c r="A395" t="inlineStr">
        <is>
          <t>GTP-200905.ASX</t>
        </is>
      </c>
      <c r="B395" t="inlineStr">
        <is>
          <t>Great Southern Limited Ordinary</t>
        </is>
      </c>
      <c r="C395" t="inlineStr">
        <is>
          <t>Closed</t>
        </is>
      </c>
      <c r="D395" s="35" t="n">
        <v>36567</v>
      </c>
      <c r="E395" t="n">
        <v>2.293399</v>
      </c>
      <c r="F395" s="35" t="n">
        <v>36636</v>
      </c>
      <c r="G395" t="n">
        <v>1.793501</v>
      </c>
      <c r="H395" t="n">
        <v>-0.218</v>
      </c>
      <c r="I395" t="n">
        <v>-1358.74</v>
      </c>
      <c r="J395" t="n">
        <v>-0.2198</v>
      </c>
      <c r="K395" t="n">
        <v>2696</v>
      </c>
    </row>
    <row r="396">
      <c r="A396" t="inlineStr">
        <is>
          <t>SGW-200408.ASX</t>
        </is>
      </c>
      <c r="B396" t="inlineStr">
        <is>
          <t>Sons of Gwalia Limited Ordinary</t>
        </is>
      </c>
      <c r="C396" t="inlineStr">
        <is>
          <t>Closed</t>
        </is>
      </c>
      <c r="D396" s="35" t="n">
        <v>36532</v>
      </c>
      <c r="E396" t="n">
        <v>4.580076</v>
      </c>
      <c r="F396" s="35" t="n">
        <v>36636</v>
      </c>
      <c r="G396" t="n">
        <v>3.850084</v>
      </c>
      <c r="H396" t="n">
        <v>-0.1594</v>
      </c>
      <c r="I396" t="n">
        <v>-1007.21</v>
      </c>
      <c r="J396" t="n">
        <v>-0.1612</v>
      </c>
      <c r="K396" t="n">
        <v>1364</v>
      </c>
    </row>
    <row r="397">
      <c r="A397" t="inlineStr">
        <is>
          <t>UXC-201602.ASX</t>
        </is>
      </c>
      <c r="B397" t="inlineStr">
        <is>
          <t>UXC Limited Ordinary</t>
        </is>
      </c>
      <c r="C397" t="inlineStr">
        <is>
          <t>Closed</t>
        </is>
      </c>
      <c r="D397" s="35" t="n">
        <v>36581</v>
      </c>
      <c r="E397" t="n">
        <v>28.71963</v>
      </c>
      <c r="F397" s="35" t="n">
        <v>36623</v>
      </c>
      <c r="G397" t="n">
        <v>41.25041</v>
      </c>
      <c r="H397" t="n">
        <v>0.4363</v>
      </c>
      <c r="I397" t="n">
        <v>2666.61</v>
      </c>
      <c r="J397" t="n">
        <v>0.4339</v>
      </c>
      <c r="K397" t="n">
        <v>214</v>
      </c>
    </row>
    <row r="398">
      <c r="A398" t="inlineStr">
        <is>
          <t>GEE-200310.ASX</t>
        </is>
      </c>
      <c r="B398" t="inlineStr">
        <is>
          <t>GES International Limited 20c SG Ordinary</t>
        </is>
      </c>
      <c r="C398" t="inlineStr">
        <is>
          <t>Closed</t>
        </is>
      </c>
      <c r="D398" s="35" t="n">
        <v>36567</v>
      </c>
      <c r="E398" t="n">
        <v>1.359441</v>
      </c>
      <c r="F398" s="35" t="n">
        <v>36623</v>
      </c>
      <c r="G398" t="n">
        <v>1.815978</v>
      </c>
      <c r="H398" t="n">
        <v>0.3358</v>
      </c>
      <c r="I398" t="n">
        <v>2061.44</v>
      </c>
      <c r="J398" t="n">
        <v>0.3335</v>
      </c>
      <c r="K398" t="n">
        <v>4547</v>
      </c>
    </row>
    <row r="399">
      <c r="A399" t="inlineStr">
        <is>
          <t>BTA-201210.ASX</t>
        </is>
      </c>
      <c r="B399" t="inlineStr">
        <is>
          <t>Biota Holdings Limited Ordinary</t>
        </is>
      </c>
      <c r="C399" t="inlineStr">
        <is>
          <t>Closed</t>
        </is>
      </c>
      <c r="D399" s="35" t="n">
        <v>36546</v>
      </c>
      <c r="E399" t="n">
        <v>6.498488</v>
      </c>
      <c r="F399" s="35" t="n">
        <v>36581</v>
      </c>
      <c r="G399" t="n">
        <v>4.422048</v>
      </c>
      <c r="H399" t="n">
        <v>-0.3195</v>
      </c>
      <c r="I399" t="n">
        <v>-1999.69</v>
      </c>
      <c r="J399" t="n">
        <v>-0.3212</v>
      </c>
      <c r="K399" t="n">
        <v>958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37"/>
  <sheetViews>
    <sheetView topLeftCell="A14" workbookViewId="0">
      <selection activeCell="K37" sqref="K37"/>
    </sheetView>
  </sheetViews>
  <sheetFormatPr baseColWidth="8" defaultRowHeight="15"/>
  <cols>
    <col width="9.5703125" customWidth="1" style="26" min="9" max="9"/>
    <col width="22" bestFit="1" customWidth="1" style="26" min="14" max="14"/>
    <col width="21.140625" bestFit="1" customWidth="1" style="26" min="16" max="17"/>
  </cols>
  <sheetData>
    <row r="1">
      <c r="A1" t="inlineStr">
        <is>
          <t>Year</t>
        </is>
      </c>
      <c r="B1" t="inlineStr">
        <is>
          <t>Jan</t>
        </is>
      </c>
      <c r="C1" t="inlineStr">
        <is>
          <t>Feb</t>
        </is>
      </c>
      <c r="D1" t="inlineStr">
        <is>
          <t>Mar</t>
        </is>
      </c>
      <c r="E1" t="inlineStr">
        <is>
          <t>Apr</t>
        </is>
      </c>
      <c r="F1" t="inlineStr">
        <is>
          <t>May</t>
        </is>
      </c>
      <c r="G1" t="inlineStr">
        <is>
          <t>Jun</t>
        </is>
      </c>
      <c r="H1" t="inlineStr">
        <is>
          <t>Jul</t>
        </is>
      </c>
      <c r="I1" t="inlineStr">
        <is>
          <t>Aug</t>
        </is>
      </c>
      <c r="J1" t="inlineStr">
        <is>
          <t>Sep</t>
        </is>
      </c>
      <c r="K1" t="inlineStr">
        <is>
          <t>Oct</t>
        </is>
      </c>
      <c r="L1" t="inlineStr">
        <is>
          <t>Nov</t>
        </is>
      </c>
      <c r="M1" t="inlineStr">
        <is>
          <t>Dec</t>
        </is>
      </c>
      <c r="N1" t="inlineStr">
        <is>
          <t>Yr%</t>
        </is>
      </c>
    </row>
    <row r="2">
      <c r="A2" t="n">
        <v>2000</v>
      </c>
      <c r="B2" s="3" t="n">
        <v>-0.017</v>
      </c>
      <c r="C2" s="3" t="n">
        <v>-0.001</v>
      </c>
      <c r="D2" s="3" t="n">
        <v>0.097</v>
      </c>
      <c r="E2" s="3" t="n">
        <v>-0.033</v>
      </c>
      <c r="F2" s="3" t="n">
        <v>0.004</v>
      </c>
      <c r="G2" s="3" t="n">
        <v>0.026</v>
      </c>
      <c r="H2" s="3" t="n">
        <v>0.012</v>
      </c>
      <c r="I2" s="3" t="n">
        <v>0.039</v>
      </c>
      <c r="J2" s="3" t="n">
        <v>-0.011</v>
      </c>
      <c r="K2" s="3" t="n">
        <v>0.033</v>
      </c>
      <c r="L2" s="3" t="n">
        <v>0.017</v>
      </c>
      <c r="M2" s="3" t="n">
        <v>0.032</v>
      </c>
      <c r="N2" s="3" t="n">
        <v>0.2098360039531075</v>
      </c>
      <c r="Q2" s="3" t="n"/>
      <c r="R2" s="3" t="n"/>
      <c r="S2" s="3" t="n"/>
      <c r="T2" s="3" t="n"/>
      <c r="U2" s="3" t="n"/>
      <c r="V2" s="3" t="n"/>
      <c r="W2" s="3" t="n"/>
      <c r="X2" s="3" t="n"/>
      <c r="Y2" s="3" t="n"/>
      <c r="Z2" s="3" t="n"/>
      <c r="AA2" s="3" t="n"/>
      <c r="AB2" s="3" t="n"/>
      <c r="AC2" s="16" t="n"/>
    </row>
    <row r="3">
      <c r="A3" t="n">
        <v>2001</v>
      </c>
      <c r="B3" s="3" t="n">
        <v>0.002</v>
      </c>
      <c r="C3" s="3" t="n">
        <v>-0.01</v>
      </c>
      <c r="D3" s="3" t="n">
        <v>0.001</v>
      </c>
      <c r="E3" s="3" t="n">
        <v>0.017</v>
      </c>
      <c r="F3" s="3" t="n">
        <v>0.032</v>
      </c>
      <c r="G3" s="3" t="n">
        <v>0.074</v>
      </c>
      <c r="H3" s="3" t="n">
        <v>-0.015</v>
      </c>
      <c r="I3" s="3" t="n">
        <v>0.038</v>
      </c>
      <c r="J3" s="3" t="n">
        <v>-0.027</v>
      </c>
      <c r="K3" s="3" t="n">
        <v>0.011</v>
      </c>
      <c r="L3" s="3" t="n">
        <v>0.002</v>
      </c>
      <c r="M3" s="3" t="n">
        <v>0.002</v>
      </c>
      <c r="N3" s="3" t="n">
        <v>0.1302511253490519</v>
      </c>
      <c r="Q3" s="3" t="n"/>
      <c r="R3" s="3" t="n"/>
      <c r="S3" s="3" t="n"/>
      <c r="T3" s="3" t="n"/>
      <c r="U3" s="3" t="n"/>
      <c r="V3" s="3" t="n"/>
      <c r="W3" s="3" t="n"/>
      <c r="X3" s="3" t="n"/>
      <c r="Y3" s="3" t="n"/>
      <c r="Z3" s="3" t="n"/>
      <c r="AA3" s="3" t="n"/>
      <c r="AB3" s="3" t="n"/>
      <c r="AC3" s="16" t="n"/>
    </row>
    <row r="4">
      <c r="A4" t="n">
        <v>2002</v>
      </c>
      <c r="B4" s="3" t="n">
        <v>0.006</v>
      </c>
      <c r="C4" s="3" t="n">
        <v>0.038</v>
      </c>
      <c r="D4" s="3" t="n">
        <v>0.038</v>
      </c>
      <c r="E4" s="3" t="n">
        <v>-0.012</v>
      </c>
      <c r="F4" s="3" t="n">
        <v>0.014</v>
      </c>
      <c r="G4" s="3" t="n">
        <v>-0.008999999999999999</v>
      </c>
      <c r="H4" s="3" t="n">
        <v>-0.022</v>
      </c>
      <c r="I4" s="3" t="n">
        <v>0.031</v>
      </c>
      <c r="J4" s="3" t="n">
        <v>-0.006</v>
      </c>
      <c r="K4" s="3" t="n">
        <v>0</v>
      </c>
      <c r="L4" s="3" t="n">
        <v>0.006</v>
      </c>
      <c r="M4" s="3" t="n">
        <v>0.015</v>
      </c>
      <c r="N4" s="3" t="n">
        <v>0.1013089516142196</v>
      </c>
      <c r="Q4" s="3" t="n"/>
      <c r="R4" s="3" t="n"/>
      <c r="S4" s="3" t="n"/>
      <c r="T4" s="3" t="n"/>
      <c r="U4" s="3" t="n"/>
      <c r="V4" s="3" t="n"/>
      <c r="W4" s="3" t="n"/>
      <c r="X4" s="3" t="n"/>
      <c r="Y4" s="3" t="n"/>
      <c r="Z4" s="3" t="n"/>
      <c r="AA4" s="3" t="n"/>
      <c r="AB4" s="3" t="n"/>
      <c r="AC4" s="16" t="n"/>
    </row>
    <row r="5">
      <c r="A5" t="n">
        <v>2003</v>
      </c>
      <c r="B5" s="3" t="n">
        <v>0.019</v>
      </c>
      <c r="C5" s="3" t="n">
        <v>-0.008</v>
      </c>
      <c r="D5" s="3" t="n">
        <v>0.031</v>
      </c>
      <c r="E5" s="3" t="n">
        <v>0.02</v>
      </c>
      <c r="F5" s="3" t="n">
        <v>0.051</v>
      </c>
      <c r="G5" s="3" t="n">
        <v>0.028</v>
      </c>
      <c r="H5" s="3" t="n">
        <v>-0.006</v>
      </c>
      <c r="I5" s="3" t="n">
        <v>0.026</v>
      </c>
      <c r="J5" s="3" t="n">
        <v>0.019</v>
      </c>
      <c r="K5" s="3" t="n">
        <v>0.018</v>
      </c>
      <c r="L5" s="3" t="n">
        <v>-0.014</v>
      </c>
      <c r="M5" s="3" t="n">
        <v>0.041</v>
      </c>
      <c r="N5" s="3" t="n">
        <v>0.2471648881798456</v>
      </c>
      <c r="Q5" s="3" t="n"/>
      <c r="R5" s="3" t="n"/>
      <c r="S5" s="3" t="n"/>
      <c r="T5" s="3" t="n"/>
      <c r="U5" s="3" t="n"/>
      <c r="V5" s="3" t="n"/>
      <c r="W5" s="3" t="n"/>
      <c r="X5" s="3" t="n"/>
      <c r="Y5" s="3" t="n"/>
      <c r="Z5" s="3" t="n"/>
      <c r="AA5" s="3" t="n"/>
      <c r="AB5" s="3" t="n"/>
      <c r="AC5" s="16" t="n"/>
    </row>
    <row r="6">
      <c r="A6" t="n">
        <v>2004</v>
      </c>
      <c r="B6" s="3" t="n">
        <v>0.02</v>
      </c>
      <c r="C6" s="3" t="n">
        <v>0.033</v>
      </c>
      <c r="D6" s="3" t="n">
        <v>0.022</v>
      </c>
      <c r="E6" s="3" t="n">
        <v>0.018</v>
      </c>
      <c r="F6" s="3" t="n">
        <v>0.03</v>
      </c>
      <c r="G6" s="3" t="n">
        <v>0.03</v>
      </c>
      <c r="H6" s="3" t="n">
        <v>0.049</v>
      </c>
      <c r="I6" s="3" t="n">
        <v>0.014</v>
      </c>
      <c r="J6" s="3" t="n">
        <v>0.048</v>
      </c>
      <c r="K6" s="3" t="n">
        <v>0.093</v>
      </c>
      <c r="L6" s="3" t="n">
        <v>0.022</v>
      </c>
      <c r="M6" s="3" t="n">
        <v>0.051</v>
      </c>
      <c r="N6" s="3" t="n">
        <v>0.5220261569208138</v>
      </c>
      <c r="Q6" s="3" t="n"/>
      <c r="R6" s="3" t="n"/>
      <c r="S6" s="3" t="n"/>
      <c r="T6" s="3" t="n"/>
      <c r="U6" s="3" t="n"/>
      <c r="V6" s="3" t="n"/>
      <c r="W6" s="3" t="n"/>
      <c r="X6" s="3" t="n"/>
      <c r="Y6" s="3" t="n"/>
      <c r="Z6" s="3" t="n"/>
      <c r="AA6" s="3" t="n"/>
      <c r="AB6" s="3" t="n"/>
      <c r="AC6" s="16" t="n"/>
    </row>
    <row r="7">
      <c r="A7" t="n">
        <v>2005</v>
      </c>
      <c r="B7" s="3" t="n">
        <v>0.048</v>
      </c>
      <c r="C7" s="3" t="n">
        <v>0.001</v>
      </c>
      <c r="D7" s="3" t="n">
        <v>0.018</v>
      </c>
      <c r="E7" s="3" t="n">
        <v>-0.042</v>
      </c>
      <c r="F7" s="3" t="n">
        <v>0.027</v>
      </c>
      <c r="G7" s="3" t="n">
        <v>0.052</v>
      </c>
      <c r="H7" s="3" t="n">
        <v>0.053</v>
      </c>
      <c r="I7" s="3" t="n">
        <v>0.036</v>
      </c>
      <c r="J7" s="3" t="n">
        <v>0.035</v>
      </c>
      <c r="K7" s="3" t="n">
        <v>-0.063</v>
      </c>
      <c r="L7" s="3" t="n">
        <v>0.058</v>
      </c>
      <c r="M7" s="3" t="n">
        <v>0.045</v>
      </c>
      <c r="N7" s="3" t="n">
        <v>0.2928997635909119</v>
      </c>
      <c r="Q7" s="3" t="n"/>
      <c r="R7" s="3" t="n"/>
      <c r="S7" s="3" t="n"/>
      <c r="T7" s="3" t="n"/>
      <c r="U7" s="3" t="n"/>
      <c r="V7" s="3" t="n"/>
      <c r="W7" s="3" t="n"/>
      <c r="X7" s="3" t="n"/>
      <c r="Y7" s="3" t="n"/>
      <c r="Z7" s="3" t="n"/>
      <c r="AA7" s="3" t="n"/>
      <c r="AB7" s="3" t="n"/>
      <c r="AC7" s="16" t="n"/>
    </row>
    <row r="8">
      <c r="A8" t="n">
        <v>2006</v>
      </c>
      <c r="B8" s="3" t="n">
        <v>0.036</v>
      </c>
      <c r="C8" s="3" t="n">
        <v>-0.026</v>
      </c>
      <c r="D8" s="3" t="n">
        <v>0.127</v>
      </c>
      <c r="E8" s="3" t="n">
        <v>0.049</v>
      </c>
      <c r="F8" s="3" t="n">
        <v>-0.06900000000000001</v>
      </c>
      <c r="G8" s="3" t="n">
        <v>0.038</v>
      </c>
      <c r="H8" s="3" t="n">
        <v>0.008</v>
      </c>
      <c r="I8" s="3" t="n">
        <v>0</v>
      </c>
      <c r="J8" s="3" t="n">
        <v>0.078</v>
      </c>
      <c r="K8" s="3" t="n">
        <v>0.063</v>
      </c>
      <c r="L8" s="3" t="n">
        <v>0.024</v>
      </c>
      <c r="M8" s="3" t="n">
        <v>0.021</v>
      </c>
      <c r="N8" s="3" t="n">
        <v>0.3922056990538181</v>
      </c>
      <c r="Q8" s="3" t="n"/>
      <c r="R8" s="3" t="n"/>
      <c r="S8" s="3" t="n"/>
      <c r="T8" s="3" t="n"/>
      <c r="U8" s="3" t="n"/>
      <c r="V8" s="3" t="n"/>
      <c r="W8" s="3" t="n"/>
      <c r="X8" s="3" t="n"/>
      <c r="Y8" s="3" t="n"/>
      <c r="Z8" s="3" t="n"/>
      <c r="AA8" s="3" t="n"/>
      <c r="AB8" s="3" t="n"/>
      <c r="AC8" s="16" t="n"/>
    </row>
    <row r="9">
      <c r="A9" t="n">
        <v>2007</v>
      </c>
      <c r="B9" s="3" t="n">
        <v>0.034</v>
      </c>
      <c r="C9" s="3" t="n">
        <v>0.051</v>
      </c>
      <c r="D9" s="3" t="n">
        <v>0.014</v>
      </c>
      <c r="E9" s="3" t="n">
        <v>0.016</v>
      </c>
      <c r="F9" s="3" t="n">
        <v>0.054</v>
      </c>
      <c r="G9" s="3" t="n">
        <v>-0.044</v>
      </c>
      <c r="H9" s="3" t="n">
        <v>-0.04</v>
      </c>
      <c r="I9" s="3" t="n">
        <v>0</v>
      </c>
      <c r="J9" s="3" t="n">
        <v>0.065</v>
      </c>
      <c r="K9" s="3" t="n">
        <v>0.011</v>
      </c>
      <c r="L9" s="3" t="n">
        <v>-0.02</v>
      </c>
      <c r="M9" s="3" t="n">
        <v>-0.001</v>
      </c>
      <c r="N9" s="3" t="n">
        <v>0.1416079413883822</v>
      </c>
      <c r="Q9" s="3" t="n"/>
      <c r="R9" s="3" t="n"/>
      <c r="S9" s="3" t="n"/>
      <c r="T9" s="3" t="n"/>
      <c r="U9" s="3" t="n"/>
      <c r="V9" s="3" t="n"/>
      <c r="W9" s="3" t="n"/>
      <c r="X9" s="3" t="n"/>
      <c r="Y9" s="3" t="n"/>
      <c r="Z9" s="3" t="n"/>
      <c r="AA9" s="3" t="n"/>
      <c r="AB9" s="3" t="n"/>
      <c r="AC9" s="16" t="n"/>
    </row>
    <row r="10">
      <c r="A10" t="n">
        <v>2008</v>
      </c>
      <c r="B10" s="3" t="n">
        <v>-0.054</v>
      </c>
      <c r="C10" s="3" t="n">
        <v>0.003</v>
      </c>
      <c r="D10" s="3" t="n">
        <v>-0.02</v>
      </c>
      <c r="E10" s="3" t="n">
        <v>0.014</v>
      </c>
      <c r="F10" s="3" t="n">
        <v>0.099</v>
      </c>
      <c r="G10" s="3" t="n">
        <v>-0.039</v>
      </c>
      <c r="H10" s="3" t="n">
        <v>-0.051</v>
      </c>
      <c r="I10" s="3" t="n">
        <v>-0.001</v>
      </c>
      <c r="J10" s="3" t="n">
        <v>0.008</v>
      </c>
      <c r="K10" s="3" t="n">
        <v>-0.004</v>
      </c>
      <c r="L10" s="3" t="n">
        <v>0.002</v>
      </c>
      <c r="M10" s="3" t="n">
        <v>0</v>
      </c>
      <c r="N10" s="3" t="n">
        <v>-0.05027805573857203</v>
      </c>
      <c r="Q10" s="3" t="n"/>
      <c r="R10" s="3" t="n"/>
      <c r="S10" s="3" t="n"/>
      <c r="T10" s="3" t="n"/>
      <c r="U10" s="3" t="n"/>
      <c r="V10" s="3" t="n"/>
      <c r="W10" s="3" t="n"/>
      <c r="X10" s="3" t="n"/>
      <c r="Y10" s="3" t="n"/>
      <c r="Z10" s="3" t="n"/>
      <c r="AA10" s="3" t="n"/>
      <c r="AB10" s="3" t="n"/>
      <c r="AC10" s="16" t="n"/>
    </row>
    <row r="11">
      <c r="A11" t="n">
        <v>2009</v>
      </c>
      <c r="B11" s="3" t="n">
        <v>0</v>
      </c>
      <c r="C11" s="3" t="n">
        <v>0</v>
      </c>
      <c r="D11" s="3" t="n">
        <v>0</v>
      </c>
      <c r="E11" s="3" t="n">
        <v>0.014</v>
      </c>
      <c r="F11" s="3" t="n">
        <v>0.118</v>
      </c>
      <c r="G11" s="3" t="n">
        <v>0.036</v>
      </c>
      <c r="H11" s="3" t="n">
        <v>0.043</v>
      </c>
      <c r="I11" s="3" t="n">
        <v>0.03</v>
      </c>
      <c r="J11" s="3" t="n">
        <v>0.035</v>
      </c>
      <c r="K11" s="3" t="n">
        <v>-0.008</v>
      </c>
      <c r="L11" s="3" t="n">
        <v>-0.002</v>
      </c>
      <c r="M11" s="3" t="n">
        <v>0.052</v>
      </c>
      <c r="N11" s="3" t="n">
        <v>0.3600640152327506</v>
      </c>
      <c r="Q11" s="3" t="n"/>
      <c r="R11" s="3" t="n"/>
      <c r="S11" s="3" t="n"/>
      <c r="T11" s="3" t="n"/>
      <c r="U11" s="3" t="n"/>
      <c r="V11" s="3" t="n"/>
      <c r="W11" s="3" t="n"/>
      <c r="X11" s="3" t="n"/>
      <c r="Y11" s="3" t="n"/>
      <c r="Z11" s="3" t="n"/>
      <c r="AA11" s="3" t="n"/>
      <c r="AB11" s="3" t="n"/>
      <c r="AC11" s="16" t="n"/>
    </row>
    <row r="12">
      <c r="A12" t="n">
        <v>2010</v>
      </c>
      <c r="B12" s="3" t="n">
        <v>-0.061</v>
      </c>
      <c r="C12" s="3" t="n">
        <v>0.01</v>
      </c>
      <c r="D12" s="3" t="n">
        <v>0.018</v>
      </c>
      <c r="E12" s="3" t="n">
        <v>-0.024</v>
      </c>
      <c r="F12" s="3" t="n">
        <v>-0.06</v>
      </c>
      <c r="G12" s="3" t="n">
        <v>-0.001</v>
      </c>
      <c r="H12" s="3" t="n">
        <v>0.012</v>
      </c>
      <c r="I12" s="3" t="n">
        <v>-0.016</v>
      </c>
      <c r="J12" s="3" t="n">
        <v>0.077</v>
      </c>
      <c r="K12" s="3" t="n">
        <v>0.032</v>
      </c>
      <c r="L12" s="3" t="n">
        <v>-0.001</v>
      </c>
      <c r="M12" s="3" t="n">
        <v>0.064</v>
      </c>
      <c r="N12" s="3" t="n">
        <v>0.04101270830259618</v>
      </c>
      <c r="Q12" s="3" t="n"/>
      <c r="R12" s="3" t="n"/>
      <c r="S12" s="3" t="n"/>
      <c r="T12" s="3" t="n"/>
      <c r="U12" s="3" t="n"/>
      <c r="V12" s="3" t="n"/>
      <c r="W12" s="3" t="n"/>
      <c r="X12" s="3" t="n"/>
      <c r="Y12" s="3" t="n"/>
      <c r="Z12" s="3" t="n"/>
      <c r="AA12" s="3" t="n"/>
      <c r="AB12" s="3" t="n"/>
      <c r="AC12" s="16" t="n"/>
    </row>
    <row r="13">
      <c r="A13" t="n">
        <v>2011</v>
      </c>
      <c r="B13" s="3" t="n">
        <v>-0.034</v>
      </c>
      <c r="C13" s="3" t="n">
        <v>0.005</v>
      </c>
      <c r="D13" s="3" t="n">
        <v>-0.034</v>
      </c>
      <c r="E13" s="3" t="n">
        <v>-0.028</v>
      </c>
      <c r="F13" s="3" t="n">
        <v>-0.019</v>
      </c>
      <c r="G13" s="3" t="n">
        <v>-0.015</v>
      </c>
      <c r="H13" s="3" t="n">
        <v>-0.019</v>
      </c>
      <c r="I13" s="3" t="n">
        <v>-0.031</v>
      </c>
      <c r="J13" s="3" t="n">
        <v>0.002</v>
      </c>
      <c r="K13" s="3" t="n">
        <v>0.003</v>
      </c>
      <c r="L13" s="3" t="n">
        <v>-0.056</v>
      </c>
      <c r="M13" s="3" t="n">
        <v>0.029</v>
      </c>
      <c r="N13" s="3" t="n">
        <v>-0.1825887220706112</v>
      </c>
      <c r="Q13" s="3" t="n"/>
      <c r="R13" s="3" t="n"/>
      <c r="S13" s="3" t="n"/>
      <c r="T13" s="3" t="n"/>
      <c r="U13" s="3" t="n"/>
      <c r="V13" s="3" t="n"/>
      <c r="W13" s="3" t="n"/>
      <c r="X13" s="3" t="n"/>
      <c r="Y13" s="3" t="n"/>
      <c r="Z13" s="3" t="n"/>
      <c r="AA13" s="3" t="n"/>
      <c r="AB13" s="3" t="n"/>
      <c r="AC13" s="16" t="n"/>
    </row>
    <row r="14">
      <c r="A14" t="n">
        <v>2012</v>
      </c>
      <c r="B14" s="3" t="n">
        <v>0.027</v>
      </c>
      <c r="C14" s="3" t="n">
        <v>0.026</v>
      </c>
      <c r="D14" s="3" t="n">
        <v>0.004</v>
      </c>
      <c r="E14" s="3" t="n">
        <v>0.014</v>
      </c>
      <c r="F14" s="3" t="n">
        <v>-0.005</v>
      </c>
      <c r="G14" s="3" t="n">
        <v>0.039</v>
      </c>
      <c r="H14" s="3" t="n">
        <v>0.032</v>
      </c>
      <c r="I14" s="3" t="n">
        <v>0.019</v>
      </c>
      <c r="J14" s="3" t="n">
        <v>0.004</v>
      </c>
      <c r="K14" s="3" t="n">
        <v>0.033</v>
      </c>
      <c r="L14" s="3" t="n">
        <v>0.002</v>
      </c>
      <c r="M14" s="3" t="n">
        <v>0.031</v>
      </c>
      <c r="N14" s="3" t="n">
        <v>0.2495176724765773</v>
      </c>
      <c r="Q14" s="3" t="n"/>
      <c r="R14" s="3" t="n"/>
      <c r="S14" s="3" t="n"/>
      <c r="T14" s="3" t="n"/>
      <c r="U14" s="3" t="n"/>
      <c r="V14" s="3" t="n"/>
      <c r="W14" s="3" t="n"/>
      <c r="X14" s="3" t="n"/>
      <c r="Y14" s="3" t="n"/>
      <c r="Z14" s="3" t="n"/>
      <c r="AA14" s="3" t="n"/>
      <c r="AB14" s="3" t="n"/>
      <c r="AC14" s="16" t="n"/>
    </row>
    <row r="15">
      <c r="A15" t="n">
        <v>2013</v>
      </c>
      <c r="B15" s="3" t="n">
        <v>0.04</v>
      </c>
      <c r="C15" s="3" t="n">
        <v>0.031</v>
      </c>
      <c r="D15" s="3" t="n">
        <v>0.012</v>
      </c>
      <c r="E15" s="3" t="n">
        <v>0.028</v>
      </c>
      <c r="F15" s="3" t="n">
        <v>-0.008999999999999999</v>
      </c>
      <c r="G15" s="3" t="n">
        <v>-0.01</v>
      </c>
      <c r="H15" s="3" t="n">
        <v>0.004</v>
      </c>
      <c r="I15" s="3" t="n">
        <v>-0.012</v>
      </c>
      <c r="J15" s="3" t="n">
        <v>0.046</v>
      </c>
      <c r="K15" s="3" t="n">
        <v>0.001</v>
      </c>
      <c r="L15" s="3" t="n">
        <v>0.007</v>
      </c>
      <c r="M15" s="3" t="n">
        <v>0.016</v>
      </c>
      <c r="N15" s="3" t="n">
        <v>0.1629313512386463</v>
      </c>
      <c r="Q15" s="3" t="n"/>
      <c r="R15" s="3" t="n"/>
      <c r="S15" s="3" t="n"/>
      <c r="T15" s="3" t="n"/>
      <c r="U15" s="3" t="n"/>
      <c r="V15" s="3" t="n"/>
      <c r="W15" s="3" t="n"/>
      <c r="X15" s="3" t="n"/>
      <c r="Y15" s="3" t="n"/>
      <c r="Z15" s="3" t="n"/>
      <c r="AA15" s="3" t="n"/>
      <c r="AB15" s="3" t="n"/>
      <c r="AC15" s="16" t="n"/>
    </row>
    <row r="16">
      <c r="A16" t="n">
        <v>2014</v>
      </c>
      <c r="B16" s="3" t="n">
        <v>-0.006</v>
      </c>
      <c r="C16" s="3" t="n">
        <v>0.025</v>
      </c>
      <c r="D16" s="3" t="n">
        <v>-0.012</v>
      </c>
      <c r="E16" s="3" t="n">
        <v>0.02</v>
      </c>
      <c r="F16" s="3" t="n">
        <v>0.003</v>
      </c>
      <c r="G16" s="3" t="n">
        <v>-0.027</v>
      </c>
      <c r="H16" s="3" t="n">
        <v>0.018</v>
      </c>
      <c r="I16" s="3" t="n">
        <v>0.033</v>
      </c>
      <c r="J16" s="3" t="n">
        <v>-0.046</v>
      </c>
      <c r="K16" s="3" t="n">
        <v>0</v>
      </c>
      <c r="L16" s="3" t="n">
        <v>0.008999999999999999</v>
      </c>
      <c r="M16" s="3" t="n">
        <v>0.048</v>
      </c>
      <c r="N16" s="3" t="n">
        <v>0.06299216269240171</v>
      </c>
      <c r="Q16" s="3" t="n"/>
      <c r="R16" s="3" t="n"/>
      <c r="S16" s="3" t="n"/>
      <c r="T16" s="3" t="n"/>
      <c r="U16" s="3" t="n"/>
      <c r="V16" s="3" t="n"/>
      <c r="W16" s="3" t="n"/>
      <c r="X16" s="3" t="n"/>
      <c r="Y16" s="3" t="n"/>
      <c r="Z16" s="3" t="n"/>
      <c r="AA16" s="3" t="n"/>
      <c r="AB16" s="3" t="n"/>
      <c r="AC16" s="16" t="n"/>
    </row>
    <row r="17">
      <c r="A17" t="n">
        <v>2015</v>
      </c>
      <c r="B17" s="3" t="n">
        <v>0.02</v>
      </c>
      <c r="C17" s="3" t="n">
        <v>0.056</v>
      </c>
      <c r="D17" s="3" t="n">
        <v>0.021</v>
      </c>
      <c r="E17" s="3" t="n">
        <v>0.002</v>
      </c>
      <c r="F17" s="3" t="n">
        <v>-0.004</v>
      </c>
      <c r="G17" s="3" t="n">
        <v>-0.032</v>
      </c>
      <c r="H17" s="3" t="n">
        <v>0.031</v>
      </c>
      <c r="I17" s="3" t="n">
        <v>-0.056</v>
      </c>
      <c r="J17" s="3" t="n">
        <v>0.007</v>
      </c>
      <c r="K17" s="3" t="n">
        <v>0.034</v>
      </c>
      <c r="L17" s="3" t="n">
        <v>0.041</v>
      </c>
      <c r="M17" s="3" t="n">
        <v>0.013</v>
      </c>
      <c r="N17" s="3" t="n">
        <v>0.1353587022656539</v>
      </c>
      <c r="Q17" s="3" t="n"/>
      <c r="R17" s="3" t="n"/>
      <c r="S17" s="3" t="n"/>
      <c r="T17" s="3" t="n"/>
      <c r="U17" s="3" t="n"/>
      <c r="V17" s="3" t="n"/>
      <c r="W17" s="3" t="n"/>
      <c r="X17" s="3" t="n"/>
      <c r="Y17" s="3" t="n"/>
      <c r="Z17" s="3" t="n"/>
      <c r="AA17" s="3" t="n"/>
      <c r="AB17" s="3" t="n"/>
      <c r="AC17" s="16" t="n"/>
    </row>
    <row r="18">
      <c r="A18" t="n">
        <v>2016</v>
      </c>
      <c r="B18" s="3" t="n">
        <v>-0.035</v>
      </c>
      <c r="C18" s="3" t="n">
        <v>-0.001</v>
      </c>
      <c r="D18" s="3" t="n">
        <v>0.007</v>
      </c>
      <c r="E18" s="3" t="n">
        <v>0.021</v>
      </c>
      <c r="F18" s="3" t="n">
        <v>0.018</v>
      </c>
      <c r="G18" s="3" t="n">
        <v>-0.026</v>
      </c>
      <c r="H18" s="3" t="n">
        <v>0.111</v>
      </c>
      <c r="I18" s="3" t="n">
        <v>-0.001</v>
      </c>
      <c r="J18" s="3" t="n">
        <v>-0.004</v>
      </c>
      <c r="K18" s="3" t="n">
        <v>0.005</v>
      </c>
      <c r="L18" s="3" t="n">
        <v>-0.045</v>
      </c>
      <c r="M18" s="3" t="n">
        <v>0.021</v>
      </c>
      <c r="N18" s="3" t="n">
        <v>0.06460575640672706</v>
      </c>
      <c r="Q18" s="3" t="n"/>
      <c r="R18" s="3" t="n"/>
      <c r="S18" s="3" t="n"/>
      <c r="T18" s="3" t="n"/>
      <c r="U18" s="3" t="n"/>
      <c r="V18" s="3" t="n"/>
      <c r="W18" s="3" t="n"/>
      <c r="X18" s="3" t="n"/>
      <c r="Y18" s="3" t="n"/>
      <c r="Z18" s="3" t="n"/>
      <c r="AA18" s="3" t="n"/>
      <c r="AB18" s="3" t="n"/>
      <c r="AC18" s="16" t="n"/>
    </row>
    <row r="19">
      <c r="A19" t="n">
        <v>2017</v>
      </c>
      <c r="B19" s="3" t="n">
        <v>0.018</v>
      </c>
      <c r="C19" s="3" t="n">
        <v>-0.011</v>
      </c>
      <c r="D19" s="3" t="n">
        <v>0.033</v>
      </c>
      <c r="E19" s="3" t="n">
        <v>0.027</v>
      </c>
      <c r="F19" s="3" t="n">
        <v>-0.008999999999999999</v>
      </c>
      <c r="G19" s="3" t="n">
        <v>0.018</v>
      </c>
      <c r="H19" s="3" t="n">
        <v>-0.016</v>
      </c>
      <c r="I19" s="3" t="n">
        <v>0.052</v>
      </c>
      <c r="J19" s="3" t="n">
        <v>0.019</v>
      </c>
      <c r="K19" s="3" t="n">
        <v>0.101</v>
      </c>
      <c r="L19" s="3" t="n">
        <v>0.018</v>
      </c>
      <c r="M19" s="3" t="n">
        <v>0.011</v>
      </c>
      <c r="N19" s="3" t="n">
        <v>0.2879753223886092</v>
      </c>
      <c r="Q19" s="3" t="n"/>
      <c r="R19" s="3" t="n"/>
      <c r="S19" s="3" t="n"/>
      <c r="T19" s="3" t="n"/>
      <c r="U19" s="3" t="n"/>
      <c r="V19" s="3" t="n"/>
      <c r="W19" s="3" t="n"/>
      <c r="X19" s="3" t="n"/>
      <c r="Y19" s="3" t="n"/>
      <c r="Z19" s="3" t="n"/>
      <c r="AA19" s="3" t="n"/>
      <c r="AB19" s="3" t="n"/>
      <c r="AC19" s="16" t="n"/>
    </row>
    <row r="20">
      <c r="A20" t="n">
        <v>2018</v>
      </c>
      <c r="B20" s="3" t="n">
        <v>0.02</v>
      </c>
      <c r="C20" s="3" t="n">
        <v>0.039</v>
      </c>
      <c r="D20" s="3" t="n">
        <v>-0.005</v>
      </c>
      <c r="E20" s="3" t="n">
        <v>0.025</v>
      </c>
      <c r="F20" s="3" t="n">
        <v>-0.027</v>
      </c>
      <c r="G20" s="3" t="n">
        <v>0.07099999999999999</v>
      </c>
      <c r="H20" s="3" t="n">
        <v>0.015</v>
      </c>
      <c r="I20" s="3" t="n">
        <v>0.047</v>
      </c>
      <c r="J20" s="3" t="n">
        <v>-0.002</v>
      </c>
      <c r="K20" s="3" t="n">
        <v>-0.061</v>
      </c>
      <c r="L20" s="3" t="n">
        <v>-0.005</v>
      </c>
      <c r="M20" s="3" t="n">
        <v>0.01</v>
      </c>
      <c r="N20" s="3" t="n">
        <v>0.1272449245657614</v>
      </c>
      <c r="Q20" s="3" t="n"/>
      <c r="R20" s="3" t="n"/>
      <c r="S20" s="3" t="n"/>
      <c r="T20" s="3" t="n"/>
      <c r="U20" s="3" t="n"/>
      <c r="V20" s="3" t="n"/>
      <c r="W20" s="3" t="n"/>
      <c r="X20" s="3" t="n"/>
      <c r="Y20" s="3" t="n"/>
      <c r="Z20" s="3" t="n"/>
      <c r="AA20" s="3" t="n"/>
      <c r="AB20" s="3" t="n"/>
      <c r="AC20" s="16" t="n"/>
    </row>
    <row r="21">
      <c r="A21" t="n">
        <v>2019</v>
      </c>
      <c r="B21" s="3" t="n">
        <v>0.014</v>
      </c>
      <c r="C21" s="3" t="n">
        <v>0.08400000000000001</v>
      </c>
      <c r="D21" s="3" t="n">
        <v>0.022</v>
      </c>
      <c r="E21" s="3" t="n">
        <v>0.025</v>
      </c>
      <c r="F21" s="3" t="n">
        <v>0.031</v>
      </c>
      <c r="G21" s="3" t="n">
        <v>0.043</v>
      </c>
      <c r="H21" s="3" t="n">
        <v>0.039</v>
      </c>
      <c r="I21" s="3" t="n">
        <v>-0.07000000000000001</v>
      </c>
      <c r="J21" s="3" t="n">
        <v>0.021</v>
      </c>
      <c r="K21" s="3" t="n">
        <v>-0.036</v>
      </c>
      <c r="L21" s="3" t="n">
        <v>0.011</v>
      </c>
      <c r="M21" s="3" t="n">
        <v>0.007</v>
      </c>
      <c r="N21" s="3" t="n">
        <v>0.198855583673778</v>
      </c>
      <c r="Q21" s="3" t="n"/>
      <c r="R21" s="3" t="n"/>
      <c r="S21" s="3" t="n"/>
      <c r="T21" s="3" t="n"/>
      <c r="U21" s="3" t="n"/>
      <c r="V21" s="3" t="n"/>
      <c r="W21" s="3" t="n"/>
      <c r="X21" s="3" t="n"/>
      <c r="Y21" s="3" t="n"/>
      <c r="Z21" s="3" t="n"/>
      <c r="AA21" s="3" t="n"/>
      <c r="AB21" s="3" t="n"/>
      <c r="AC21" s="16" t="n"/>
    </row>
    <row r="22">
      <c r="A22" t="n">
        <v>2020</v>
      </c>
      <c r="B22" s="3" t="n">
        <v>0.04</v>
      </c>
      <c r="C22" s="3" t="n">
        <v>-0.113</v>
      </c>
      <c r="D22" s="3" t="n">
        <v>-0.051</v>
      </c>
      <c r="E22" s="3" t="n">
        <v>0</v>
      </c>
      <c r="F22" s="3" t="n">
        <v>0</v>
      </c>
      <c r="G22" s="3" t="n">
        <v>0.008</v>
      </c>
      <c r="H22" s="3" t="n">
        <v>0.094</v>
      </c>
      <c r="I22" s="3" t="n">
        <v>0.075</v>
      </c>
      <c r="J22" s="3" t="n">
        <v>-0.047</v>
      </c>
      <c r="K22" s="3" t="n">
        <v>0.018</v>
      </c>
      <c r="L22" s="3" t="n">
        <v>0.025</v>
      </c>
      <c r="M22" s="3" t="n">
        <v>0.025</v>
      </c>
      <c r="N22" s="3" t="n">
        <v>0.05778620602728202</v>
      </c>
      <c r="Q22" s="3" t="n"/>
      <c r="R22" s="3" t="n"/>
      <c r="S22" s="3" t="n"/>
      <c r="T22" s="3" t="n"/>
      <c r="U22" s="3" t="n"/>
      <c r="V22" s="3" t="n"/>
      <c r="W22" s="3" t="n"/>
      <c r="X22" s="3" t="n"/>
      <c r="Y22" s="3" t="n"/>
      <c r="Z22" s="3" t="n"/>
      <c r="AA22" s="3" t="n"/>
      <c r="AB22" s="3" t="n"/>
      <c r="AC22" s="16" t="n"/>
    </row>
    <row r="23">
      <c r="A23" t="n">
        <v>2021</v>
      </c>
      <c r="B23" s="3" t="n">
        <v>-0.01</v>
      </c>
      <c r="C23" s="3" t="n">
        <v>0.018</v>
      </c>
      <c r="D23" s="3" t="n">
        <v>0.025</v>
      </c>
      <c r="E23" s="3" t="n">
        <v>0.032</v>
      </c>
      <c r="F23" s="3" t="n">
        <v>0.01</v>
      </c>
      <c r="G23" s="3" t="n">
        <v>0.034</v>
      </c>
      <c r="H23" s="3" t="n">
        <v>0.025</v>
      </c>
      <c r="I23" s="3" t="n">
        <v>0.017</v>
      </c>
      <c r="J23" s="3" t="n">
        <v>0.044</v>
      </c>
      <c r="K23" s="3" t="n">
        <v>-0.013</v>
      </c>
      <c r="L23" s="3" t="n">
        <v>-0.025</v>
      </c>
      <c r="M23" s="3" t="n">
        <v>0.044</v>
      </c>
      <c r="N23" s="3" t="n">
        <v>0.2172955428341508</v>
      </c>
      <c r="Q23" s="3" t="n"/>
      <c r="R23" s="3" t="n"/>
      <c r="S23" s="3" t="n"/>
      <c r="T23" s="3" t="n"/>
      <c r="U23" s="3" t="n"/>
      <c r="V23" s="3" t="n"/>
      <c r="W23" s="3" t="n"/>
      <c r="X23" s="3" t="n"/>
      <c r="Y23" s="3" t="n"/>
      <c r="Z23" s="3" t="n"/>
      <c r="AA23" s="3" t="n"/>
      <c r="AB23" s="3" t="n"/>
      <c r="AC23" s="16" t="n"/>
    </row>
    <row r="24">
      <c r="A24" t="n">
        <v>2022</v>
      </c>
      <c r="B24" s="3" t="n">
        <v>-0.053</v>
      </c>
      <c r="C24" s="3" t="n">
        <v>0.016</v>
      </c>
      <c r="D24" s="3" t="n">
        <v>0.005</v>
      </c>
      <c r="E24" s="3" t="n">
        <v>-0.012</v>
      </c>
      <c r="F24" s="3" t="n">
        <v>-0.046</v>
      </c>
      <c r="G24" s="3" t="n">
        <v>-0.035</v>
      </c>
      <c r="H24" s="3" t="n">
        <v>0.01</v>
      </c>
      <c r="I24" s="3" t="n">
        <v>-0.006</v>
      </c>
      <c r="J24" s="3" t="n">
        <v>-0.051</v>
      </c>
      <c r="K24" s="3" t="n">
        <v>0.014</v>
      </c>
      <c r="L24" s="3" t="n">
        <v>0.012</v>
      </c>
      <c r="M24" s="3" t="n">
        <v>-0.037</v>
      </c>
      <c r="N24" s="3" t="n">
        <v>-0.1719413340700103</v>
      </c>
      <c r="Q24" s="3" t="n"/>
      <c r="R24" s="3" t="n"/>
      <c r="S24" s="3" t="n"/>
      <c r="T24" s="3" t="n"/>
      <c r="U24" s="3" t="n"/>
      <c r="V24" s="3" t="n"/>
      <c r="W24" s="3" t="n"/>
      <c r="X24" s="3" t="n"/>
      <c r="Y24" s="3" t="n"/>
      <c r="Z24" s="3" t="n"/>
      <c r="AA24" s="3" t="n"/>
      <c r="AB24" s="3" t="n"/>
      <c r="AC24" s="16" t="n"/>
    </row>
    <row r="25">
      <c r="A25" t="n">
        <v>2023</v>
      </c>
      <c r="B25" s="3" t="n">
        <v>0.06</v>
      </c>
      <c r="C25" s="3" t="n">
        <v>-0.045</v>
      </c>
      <c r="D25" s="3" t="n">
        <v>-0.007</v>
      </c>
      <c r="E25" s="3" t="n">
        <v>0.019</v>
      </c>
      <c r="F25" s="3" t="n">
        <v>-0.01</v>
      </c>
      <c r="G25" s="3" t="n">
        <v>0.004</v>
      </c>
      <c r="H25" s="3" t="n">
        <v>0.011</v>
      </c>
      <c r="I25" s="3" t="n">
        <v>-0.023</v>
      </c>
      <c r="J25" s="3" t="n">
        <v>0.019</v>
      </c>
      <c r="K25" s="3" t="n">
        <v>-0.055</v>
      </c>
      <c r="L25" s="3" t="n">
        <v>0.033</v>
      </c>
      <c r="M25" s="3" t="n">
        <v>0.083</v>
      </c>
      <c r="N25" s="3" t="n">
        <v>0.08338312521013047</v>
      </c>
      <c r="Q25" s="3" t="n"/>
      <c r="R25" s="3" t="n"/>
      <c r="S25" s="3" t="n"/>
      <c r="T25" s="3" t="n"/>
      <c r="U25" s="3" t="n"/>
      <c r="V25" s="3" t="n"/>
      <c r="W25" s="3" t="n"/>
      <c r="X25" s="3" t="n"/>
      <c r="Y25" s="3" t="n"/>
      <c r="Z25" s="3" t="n"/>
      <c r="AA25" s="3" t="n"/>
      <c r="AB25" s="3" t="n"/>
      <c r="AC25" s="16" t="n"/>
    </row>
    <row r="26">
      <c r="A26" t="n">
        <v>2024</v>
      </c>
      <c r="B26" s="3" t="n">
        <v>-0.004</v>
      </c>
      <c r="C26" s="3" t="n">
        <v>0.03</v>
      </c>
      <c r="D26" s="3" t="n">
        <v>0.041</v>
      </c>
      <c r="E26" s="3" t="n">
        <v>-0.041</v>
      </c>
      <c r="F26" s="3" t="n">
        <v>0.002</v>
      </c>
      <c r="G26" s="3" t="n">
        <v>0.056</v>
      </c>
      <c r="H26" s="3" t="n">
        <v>0.008</v>
      </c>
      <c r="I26" s="3" t="n">
        <v>0.062</v>
      </c>
      <c r="J26" s="3" t="n">
        <v>0.023</v>
      </c>
      <c r="K26" s="3" t="n">
        <v>0.001</v>
      </c>
      <c r="L26" s="3" t="n">
        <v>0.105</v>
      </c>
      <c r="M26" s="3" t="n">
        <v>-0.025</v>
      </c>
      <c r="N26" s="3" t="n">
        <v>0.2798503551805271</v>
      </c>
      <c r="Q26" s="3" t="n"/>
      <c r="R26" s="3" t="n"/>
      <c r="S26" s="3" t="n"/>
      <c r="T26" s="3" t="n"/>
      <c r="U26" s="3" t="n"/>
      <c r="V26" s="3" t="n"/>
      <c r="W26" s="3" t="n"/>
      <c r="X26" s="3" t="n"/>
      <c r="Y26" s="3" t="n"/>
      <c r="Z26" s="3" t="n"/>
      <c r="AA26" s="3" t="n"/>
      <c r="AB26" s="3" t="n"/>
      <c r="AC26" s="16" t="n"/>
    </row>
    <row r="27">
      <c r="A27" t="n">
        <v>2025</v>
      </c>
      <c r="B27" s="3" t="n">
        <v>0.04</v>
      </c>
      <c r="C27" s="3" t="n">
        <v>-0.017</v>
      </c>
      <c r="D27" s="3" t="n">
        <v>0.003</v>
      </c>
      <c r="E27" s="3" t="n">
        <v>-0.006</v>
      </c>
      <c r="F27" s="3" t="n">
        <v>0.043</v>
      </c>
      <c r="G27" s="3" t="n">
        <v>0.034</v>
      </c>
      <c r="H27" s="3" t="n">
        <v>-0.03</v>
      </c>
      <c r="I27" s="3" t="n">
        <v>0.02448497598295396</v>
      </c>
      <c r="J27" s="3" t="n">
        <v>-0.01324223111086809</v>
      </c>
      <c r="K27" s="3" t="n">
        <v>0.003447624292945761</v>
      </c>
      <c r="L27" s="3" t="n">
        <v>-0.05724860882929683</v>
      </c>
      <c r="M27" s="3" t="n">
        <v>-0.01212597683585892</v>
      </c>
      <c r="N27" s="3" t="n">
        <v>0.00730354127837418</v>
      </c>
      <c r="O27" s="3" t="n"/>
      <c r="Q27" s="3" t="n"/>
      <c r="R27" s="3" t="n"/>
      <c r="S27" s="3" t="n"/>
      <c r="T27" s="3" t="n"/>
      <c r="U27" s="3" t="n"/>
      <c r="V27" s="3" t="n"/>
      <c r="W27" s="3" t="n"/>
      <c r="X27" s="3" t="n"/>
      <c r="Y27" s="3" t="n"/>
      <c r="Z27" s="3" t="n"/>
      <c r="AA27" s="3" t="n"/>
      <c r="AB27" s="3" t="n"/>
      <c r="AC27" s="16" t="n"/>
    </row>
    <row r="28">
      <c r="A28" t="n">
        <v>2026</v>
      </c>
      <c r="B28" s="3" t="n">
        <v>-0.009028327500599009</v>
      </c>
      <c r="C28" s="3" t="n">
        <v>-0.04245727472069527</v>
      </c>
      <c r="D28" s="3" t="n"/>
      <c r="E28" s="3" t="n"/>
      <c r="F28" s="3" t="n"/>
      <c r="G28" s="3" t="n"/>
      <c r="H28" s="3" t="n"/>
      <c r="I28" s="3" t="n"/>
      <c r="J28" s="3" t="n"/>
      <c r="K28" s="3" t="n"/>
      <c r="L28" s="3" t="n"/>
      <c r="M28" s="3" t="n"/>
      <c r="N28" s="3" t="n">
        <v>-0.0511022840403329</v>
      </c>
      <c r="O28" s="3" t="n"/>
      <c r="Q28" s="3" t="n"/>
      <c r="R28" s="3" t="n"/>
      <c r="S28" s="3" t="n"/>
      <c r="T28" s="3" t="n"/>
      <c r="U28" s="3" t="n"/>
      <c r="V28" s="3" t="n"/>
      <c r="W28" s="3" t="n"/>
      <c r="X28" s="3" t="n"/>
      <c r="Y28" s="3" t="n"/>
      <c r="Z28" s="3" t="n"/>
      <c r="AA28" s="3" t="n"/>
      <c r="AB28" s="3" t="n"/>
      <c r="AC28" s="16" t="n"/>
    </row>
    <row r="29">
      <c r="A29" t="inlineStr">
        <is>
          <t>Avg</t>
        </is>
      </c>
      <c r="B29" s="3" t="n">
        <v>0.005961913796274111</v>
      </c>
      <c r="C29" s="3" t="n">
        <v>0.007094175010344619</v>
      </c>
      <c r="D29" s="3" t="n">
        <v>0.01576923076923077</v>
      </c>
      <c r="E29" s="3" t="n">
        <v>0.006269230769230768</v>
      </c>
      <c r="F29" s="3" t="n">
        <v>0.01069230769230769</v>
      </c>
      <c r="G29" s="3" t="n">
        <v>0.01357692307692307</v>
      </c>
      <c r="H29" s="3" t="n">
        <v>0.01446153846153846</v>
      </c>
      <c r="I29" s="3" t="n">
        <v>0.01259557599934438</v>
      </c>
      <c r="J29" s="3" t="n">
        <v>0.0131829911111205</v>
      </c>
      <c r="K29" s="3" t="n">
        <v>0.009017216318959454</v>
      </c>
      <c r="L29" s="3" t="n">
        <v>0.006490438121950121</v>
      </c>
      <c r="M29" s="3">
        <f>AVERAGE(M2:M27)</f>
        <v/>
      </c>
    </row>
    <row r="30">
      <c r="B30" s="3" t="n"/>
      <c r="C30" s="3" t="n"/>
      <c r="D30" s="3" t="n"/>
      <c r="E30" s="3" t="n"/>
      <c r="F30" s="3" t="n"/>
      <c r="G30" s="3" t="n"/>
      <c r="H30" s="3" t="n"/>
      <c r="I30" s="3" t="n"/>
      <c r="J30" s="3" t="n"/>
      <c r="K30" s="3" t="n"/>
      <c r="L30" s="3" t="n"/>
      <c r="M30" s="3" t="n"/>
      <c r="N30" s="31" t="n"/>
    </row>
    <row r="31">
      <c r="B31" s="3" t="n"/>
      <c r="C31" s="3" t="n"/>
      <c r="D31" s="3" t="n"/>
      <c r="E31" s="3" t="n"/>
      <c r="F31" s="3" t="n"/>
      <c r="G31" s="3" t="n"/>
      <c r="H31" s="3" t="n"/>
      <c r="I31" s="3" t="n"/>
      <c r="J31" s="3" t="n"/>
      <c r="K31" s="3" t="n"/>
      <c r="L31" s="3" t="n"/>
      <c r="M31" s="3" t="n"/>
      <c r="N31" s="32" t="n"/>
    </row>
    <row r="32">
      <c r="B32" s="3" t="n"/>
      <c r="C32" s="3" t="n"/>
      <c r="D32" s="3" t="n"/>
      <c r="E32" s="3" t="n"/>
      <c r="F32" s="3" t="n"/>
      <c r="G32" s="3" t="n"/>
      <c r="H32" s="3" t="n"/>
      <c r="I32" s="3" t="n"/>
      <c r="J32" s="3" t="n"/>
      <c r="K32" s="3" t="n"/>
      <c r="L32" s="3" t="n"/>
      <c r="M32" s="3" t="n"/>
      <c r="N32" s="32" t="n"/>
    </row>
    <row r="33">
      <c r="B33" s="3" t="n"/>
      <c r="C33" s="3" t="n"/>
      <c r="D33" s="3" t="n"/>
      <c r="E33" s="3" t="n"/>
      <c r="F33" s="3" t="n"/>
      <c r="G33" s="3" t="n"/>
      <c r="H33" s="3" t="n"/>
      <c r="I33" s="3" t="n"/>
      <c r="J33" s="3" t="n"/>
      <c r="K33" s="3" t="n"/>
      <c r="L33" s="3" t="n"/>
      <c r="M33" s="3" t="n"/>
      <c r="O33" s="3" t="n"/>
      <c r="P33" s="31" t="n"/>
    </row>
    <row r="34">
      <c r="B34" s="3" t="n"/>
      <c r="C34" s="3" t="n"/>
      <c r="D34" s="3" t="n"/>
      <c r="E34" s="3" t="n"/>
      <c r="F34" s="3" t="n"/>
      <c r="G34" s="3" t="n"/>
      <c r="H34" s="3" t="n"/>
      <c r="I34" s="3" t="n"/>
      <c r="J34" s="3" t="n"/>
      <c r="K34" s="3" t="n"/>
      <c r="L34" s="3" t="n"/>
      <c r="M34" s="3" t="n"/>
      <c r="Q34" s="33" t="n"/>
    </row>
    <row r="36">
      <c r="B36" s="3" t="n"/>
      <c r="C36" s="3" t="n"/>
      <c r="D36" s="3" t="n"/>
      <c r="E36" s="3" t="n"/>
      <c r="F36" s="3" t="n"/>
      <c r="G36" s="3" t="n"/>
      <c r="H36" s="3" t="n"/>
      <c r="I36" s="3" t="n"/>
      <c r="J36" s="3" t="n"/>
      <c r="K36" s="3" t="n"/>
      <c r="L36" s="3" t="n"/>
      <c r="M36" s="3" t="n"/>
      <c r="N36" s="34" t="n"/>
    </row>
    <row r="37">
      <c r="B37" s="3" t="n"/>
      <c r="H37" s="3" t="n"/>
      <c r="I37" s="3" t="n"/>
      <c r="J37" s="3" t="n"/>
      <c r="K37" s="3" t="n"/>
      <c r="L37" s="3" t="n"/>
      <c r="M37" s="3"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1401"/>
  <sheetViews>
    <sheetView topLeftCell="A1388" workbookViewId="0">
      <selection activeCell="H1401" sqref="H1401"/>
    </sheetView>
  </sheetViews>
  <sheetFormatPr baseColWidth="8" defaultRowHeight="15"/>
  <cols>
    <col width="10.7109375" bestFit="1" customWidth="1" style="26" min="1" max="1"/>
    <col width="13.85546875" bestFit="1" customWidth="1" style="26" min="6" max="7"/>
  </cols>
  <sheetData>
    <row r="1">
      <c r="A1" s="8" t="inlineStr">
        <is>
          <t>Date</t>
        </is>
      </c>
      <c r="B1" s="7" t="inlineStr">
        <is>
          <t>Open</t>
        </is>
      </c>
      <c r="C1" s="7" t="inlineStr">
        <is>
          <t>High</t>
        </is>
      </c>
      <c r="D1" s="7" t="inlineStr">
        <is>
          <t>Low</t>
        </is>
      </c>
      <c r="E1" s="7" t="inlineStr">
        <is>
          <t>Close</t>
        </is>
      </c>
      <c r="F1" s="7" t="inlineStr">
        <is>
          <t>Volume</t>
        </is>
      </c>
      <c r="G1" s="7" t="inlineStr">
        <is>
          <t>Turnover</t>
        </is>
      </c>
      <c r="H1" s="7" t="inlineStr">
        <is>
          <t>Equity</t>
        </is>
      </c>
    </row>
    <row r="2">
      <c r="A2" s="8" t="n">
        <v>36532</v>
      </c>
      <c r="B2" s="7" t="n">
        <v>3093.7</v>
      </c>
      <c r="C2" s="7" t="n">
        <v>3093.7</v>
      </c>
      <c r="D2" s="7" t="n">
        <v>2999.3</v>
      </c>
      <c r="E2" s="7" t="n">
        <v>3023.4</v>
      </c>
      <c r="F2" s="9" t="n">
        <v>711200000</v>
      </c>
      <c r="G2" s="9" t="n">
        <v>4204600000</v>
      </c>
      <c r="H2" s="7" t="n">
        <v>100000</v>
      </c>
    </row>
    <row r="3">
      <c r="A3" s="8" t="n">
        <v>36539</v>
      </c>
      <c r="B3" s="7" t="n">
        <v>3084</v>
      </c>
      <c r="C3" s="7" t="n">
        <v>3160.8</v>
      </c>
      <c r="D3" s="7" t="n">
        <v>3078.9</v>
      </c>
      <c r="E3" s="7" t="n">
        <v>3115.4</v>
      </c>
      <c r="F3" s="9" t="n">
        <v>1223300000</v>
      </c>
      <c r="G3" s="9" t="n">
        <v>7383500000</v>
      </c>
      <c r="H3">
        <f>H2*(E3/E2)</f>
        <v/>
      </c>
    </row>
    <row r="4">
      <c r="A4" s="8" t="n">
        <v>36546</v>
      </c>
      <c r="B4" s="7" t="n">
        <v>3121.5</v>
      </c>
      <c r="C4" s="7" t="n">
        <v>3128</v>
      </c>
      <c r="D4" s="7" t="n">
        <v>3073.4</v>
      </c>
      <c r="E4" s="7" t="n">
        <v>3073.4</v>
      </c>
      <c r="F4" s="9" t="n">
        <v>1453200000</v>
      </c>
      <c r="G4" s="9" t="n">
        <v>7874400000</v>
      </c>
      <c r="H4">
        <f>H3*(E4/E3)</f>
        <v/>
      </c>
    </row>
    <row r="5">
      <c r="A5" s="8" t="n">
        <v>36553</v>
      </c>
      <c r="B5" s="7" t="n">
        <v>3069.7</v>
      </c>
      <c r="C5" s="7" t="n">
        <v>3069.7</v>
      </c>
      <c r="D5" s="7" t="n">
        <v>3048.7</v>
      </c>
      <c r="E5" s="7" t="n">
        <v>3064.6</v>
      </c>
      <c r="F5" s="9" t="n">
        <v>963500000</v>
      </c>
      <c r="G5" s="9" t="n">
        <v>5801700000</v>
      </c>
      <c r="H5">
        <f>H4*(E5/E4)</f>
        <v/>
      </c>
    </row>
    <row r="6">
      <c r="A6" s="8" t="n">
        <v>36560</v>
      </c>
      <c r="B6" s="7" t="n">
        <v>3080.2</v>
      </c>
      <c r="C6" s="7" t="n">
        <v>3142.4</v>
      </c>
      <c r="D6" s="7" t="n">
        <v>3072.3</v>
      </c>
      <c r="E6" s="7" t="n">
        <v>3118.7</v>
      </c>
      <c r="F6" s="9" t="n">
        <v>1075900000</v>
      </c>
      <c r="G6" s="9" t="n">
        <v>6991300000</v>
      </c>
      <c r="H6">
        <f>H5*(E6/E5)</f>
        <v/>
      </c>
    </row>
    <row r="7">
      <c r="A7" s="8" t="n">
        <v>36567</v>
      </c>
      <c r="B7" s="7" t="n">
        <v>3136.9</v>
      </c>
      <c r="C7" s="7" t="n">
        <v>3192.3</v>
      </c>
      <c r="D7" s="7" t="n">
        <v>3134.6</v>
      </c>
      <c r="E7" s="7" t="n">
        <v>3167.3</v>
      </c>
      <c r="F7" s="9" t="n">
        <v>1358400000</v>
      </c>
      <c r="G7" s="9" t="n">
        <v>8087000000</v>
      </c>
      <c r="H7">
        <f>H6*(E7/E6)</f>
        <v/>
      </c>
    </row>
    <row r="8">
      <c r="A8" s="8" t="n">
        <v>36574</v>
      </c>
      <c r="B8" s="7" t="n">
        <v>3122.2</v>
      </c>
      <c r="C8" s="7" t="n">
        <v>3152.3</v>
      </c>
      <c r="D8" s="7" t="n">
        <v>3114.9</v>
      </c>
      <c r="E8" s="7" t="n">
        <v>3114.9</v>
      </c>
      <c r="F8" s="9" t="n">
        <v>1330600000</v>
      </c>
      <c r="G8" s="9" t="n">
        <v>7859800000</v>
      </c>
      <c r="H8">
        <f>H7*(E8/E7)</f>
        <v/>
      </c>
    </row>
    <row r="9">
      <c r="A9" s="8" t="n">
        <v>36581</v>
      </c>
      <c r="B9" s="7" t="n">
        <v>3114.9</v>
      </c>
      <c r="C9" s="7" t="n">
        <v>3114.9</v>
      </c>
      <c r="D9" s="7" t="n">
        <v>3097</v>
      </c>
      <c r="E9" s="7" t="n">
        <v>3111.2</v>
      </c>
      <c r="F9" s="9" t="n">
        <v>1358800000</v>
      </c>
      <c r="G9" s="9" t="n">
        <v>7872300000</v>
      </c>
      <c r="H9">
        <f>H8*(E9/E8)</f>
        <v/>
      </c>
    </row>
    <row r="10">
      <c r="A10" s="8" t="n">
        <v>36588</v>
      </c>
      <c r="B10" s="7" t="n">
        <v>3106.7</v>
      </c>
      <c r="C10" s="7" t="n">
        <v>3232.6</v>
      </c>
      <c r="D10" s="7" t="n">
        <v>3106.7</v>
      </c>
      <c r="E10" s="7" t="n">
        <v>3232.6</v>
      </c>
      <c r="F10" s="9" t="n">
        <v>1134200000</v>
      </c>
      <c r="G10" s="9" t="n">
        <v>6853200000</v>
      </c>
      <c r="H10">
        <f>H9*(E10/E9)</f>
        <v/>
      </c>
    </row>
    <row r="11">
      <c r="A11" s="8" t="n">
        <v>36595</v>
      </c>
      <c r="B11" s="7" t="n">
        <v>3214</v>
      </c>
      <c r="C11" s="7" t="n">
        <v>3232.5</v>
      </c>
      <c r="D11" s="7" t="n">
        <v>3188</v>
      </c>
      <c r="E11" s="7" t="n">
        <v>3189.3</v>
      </c>
      <c r="F11" s="9" t="n">
        <v>1170400000</v>
      </c>
      <c r="G11" s="9" t="n">
        <v>7782600000</v>
      </c>
      <c r="H11">
        <f>H10*(E11/E10)</f>
        <v/>
      </c>
    </row>
    <row r="12">
      <c r="A12" s="8" t="n">
        <v>36602</v>
      </c>
      <c r="B12" s="7" t="n">
        <v>3185.9</v>
      </c>
      <c r="C12" s="7" t="n">
        <v>3200.4</v>
      </c>
      <c r="D12" s="7" t="n">
        <v>3159.7</v>
      </c>
      <c r="E12" s="7" t="n">
        <v>3200.4</v>
      </c>
      <c r="F12" s="9" t="n">
        <v>1171400000</v>
      </c>
      <c r="G12" s="9" t="n">
        <v>6746500000</v>
      </c>
      <c r="H12">
        <f>H11*(E12/E11)</f>
        <v/>
      </c>
    </row>
    <row r="13">
      <c r="A13" s="8" t="n">
        <v>36609</v>
      </c>
      <c r="B13" s="7" t="n">
        <v>3237.7</v>
      </c>
      <c r="C13" s="7" t="n">
        <v>3276.4</v>
      </c>
      <c r="D13" s="7" t="n">
        <v>3237.7</v>
      </c>
      <c r="E13" s="7" t="n">
        <v>3251.5</v>
      </c>
      <c r="F13" s="9" t="n">
        <v>969600000</v>
      </c>
      <c r="G13" s="9" t="n">
        <v>5755800000</v>
      </c>
      <c r="H13">
        <f>H12*(E13/E12)</f>
        <v/>
      </c>
    </row>
    <row r="14">
      <c r="A14" s="8" t="n">
        <v>36616</v>
      </c>
      <c r="B14" s="7" t="n">
        <v>3227.9</v>
      </c>
      <c r="C14" s="7" t="n">
        <v>3230.2</v>
      </c>
      <c r="D14" s="7" t="n">
        <v>3133.3</v>
      </c>
      <c r="E14" s="7" t="n">
        <v>3133.3</v>
      </c>
      <c r="F14" s="9" t="n">
        <v>1210600000</v>
      </c>
      <c r="G14" s="9" t="n">
        <v>7463900000</v>
      </c>
      <c r="H14">
        <f>H13*(E14/E13)</f>
        <v/>
      </c>
    </row>
    <row r="15">
      <c r="A15" s="8" t="n">
        <v>36623</v>
      </c>
      <c r="B15" s="7" t="n">
        <v>3133.3</v>
      </c>
      <c r="C15" s="7" t="n">
        <v>3201.9</v>
      </c>
      <c r="D15" s="7" t="n">
        <v>3133.1</v>
      </c>
      <c r="E15" s="7" t="n">
        <v>3182</v>
      </c>
      <c r="F15" s="9" t="n">
        <v>1067100000</v>
      </c>
      <c r="G15" s="9" t="n">
        <v>6511200000</v>
      </c>
      <c r="H15">
        <f>H14*(E15/E14)</f>
        <v/>
      </c>
    </row>
    <row r="16">
      <c r="A16" s="8" t="n">
        <v>36630</v>
      </c>
      <c r="B16" s="7" t="n">
        <v>3182</v>
      </c>
      <c r="C16" s="7" t="n">
        <v>3201.8</v>
      </c>
      <c r="D16" s="7" t="n">
        <v>3073.7</v>
      </c>
      <c r="E16" s="7" t="n">
        <v>3111.8</v>
      </c>
      <c r="F16" s="9" t="n">
        <v>977400000</v>
      </c>
      <c r="G16" s="9" t="n">
        <v>6452200000</v>
      </c>
      <c r="H16">
        <f>H15*(E16/E15)</f>
        <v/>
      </c>
    </row>
    <row r="17">
      <c r="A17" s="8" t="n">
        <v>36636</v>
      </c>
      <c r="B17" s="7" t="n">
        <v>3111.9</v>
      </c>
      <c r="C17" s="7" t="n">
        <v>3111.9</v>
      </c>
      <c r="D17" s="7" t="n">
        <v>2901.8</v>
      </c>
      <c r="E17" s="7" t="n">
        <v>3069.7</v>
      </c>
      <c r="F17" s="9" t="n">
        <v>930799900</v>
      </c>
      <c r="G17" s="9" t="n">
        <v>5178800000</v>
      </c>
      <c r="H17">
        <f>H16*(E17/E16)</f>
        <v/>
      </c>
    </row>
    <row r="18">
      <c r="A18" s="8" t="n">
        <v>36644</v>
      </c>
      <c r="B18" s="7" t="n">
        <v>3069.7</v>
      </c>
      <c r="C18" s="7" t="n">
        <v>3127.3</v>
      </c>
      <c r="D18" s="7" t="n">
        <v>3069.7</v>
      </c>
      <c r="E18" s="7" t="n">
        <v>3115.8</v>
      </c>
      <c r="F18" s="9" t="n">
        <v>812200000</v>
      </c>
      <c r="G18" s="9" t="n">
        <v>4903900000</v>
      </c>
      <c r="H18">
        <f>H17*(E18/E17)</f>
        <v/>
      </c>
    </row>
    <row r="19">
      <c r="A19" s="8" t="n">
        <v>36651</v>
      </c>
      <c r="B19" s="7" t="n">
        <v>3115.8</v>
      </c>
      <c r="C19" s="7" t="n">
        <v>3132</v>
      </c>
      <c r="D19" s="7" t="n">
        <v>3049.6</v>
      </c>
      <c r="E19" s="7" t="n">
        <v>3107.2</v>
      </c>
      <c r="F19" s="9" t="n">
        <v>991399900</v>
      </c>
      <c r="G19" s="9" t="n">
        <v>5128800000</v>
      </c>
      <c r="H19">
        <f>H18*(E19/E18)</f>
        <v/>
      </c>
    </row>
    <row r="20">
      <c r="A20" s="8" t="n">
        <v>36658</v>
      </c>
      <c r="B20" s="7" t="n">
        <v>3107.2</v>
      </c>
      <c r="C20" s="7" t="n">
        <v>3124</v>
      </c>
      <c r="D20" s="7" t="n">
        <v>2988.3</v>
      </c>
      <c r="E20" s="7" t="n">
        <v>3034.8</v>
      </c>
      <c r="F20" s="9" t="n">
        <v>1106100000</v>
      </c>
      <c r="G20" s="9" t="n">
        <v>5660600000</v>
      </c>
      <c r="H20">
        <f>H19*(E20/E19)</f>
        <v/>
      </c>
    </row>
    <row r="21">
      <c r="A21" s="8" t="n">
        <v>36665</v>
      </c>
      <c r="B21" s="7" t="n">
        <v>3034.8</v>
      </c>
      <c r="C21" s="7" t="n">
        <v>3091.9</v>
      </c>
      <c r="D21" s="7" t="n">
        <v>3033.2</v>
      </c>
      <c r="E21" s="7" t="n">
        <v>3039.1</v>
      </c>
      <c r="F21" s="9" t="n">
        <v>1137500000</v>
      </c>
      <c r="G21" s="9" t="n">
        <v>6054600000</v>
      </c>
      <c r="H21">
        <f>H20*(E21/E20)</f>
        <v/>
      </c>
    </row>
    <row r="22">
      <c r="A22" s="8" t="n">
        <v>36672</v>
      </c>
      <c r="B22" s="7" t="n">
        <v>3039.1</v>
      </c>
      <c r="C22" s="7" t="n">
        <v>3039.1</v>
      </c>
      <c r="D22" s="7" t="n">
        <v>2985.5</v>
      </c>
      <c r="E22" s="7" t="n">
        <v>3000.7</v>
      </c>
      <c r="F22" s="9" t="n">
        <v>1184000000</v>
      </c>
      <c r="G22" s="9" t="n">
        <v>6901000000</v>
      </c>
      <c r="H22">
        <f>H21*(E22/E21)</f>
        <v/>
      </c>
    </row>
    <row r="23">
      <c r="A23" s="8" t="n">
        <v>36679</v>
      </c>
      <c r="B23" s="7" t="n">
        <v>3000.7</v>
      </c>
      <c r="C23" s="7" t="n">
        <v>3143.9</v>
      </c>
      <c r="D23" s="7" t="n">
        <v>2999.2</v>
      </c>
      <c r="E23" s="7" t="n">
        <v>3140.9</v>
      </c>
      <c r="F23" s="9" t="n">
        <v>1141600000</v>
      </c>
      <c r="G23" s="9" t="n">
        <v>7040400000</v>
      </c>
      <c r="H23">
        <f>H22*(E23/E22)</f>
        <v/>
      </c>
    </row>
    <row r="24">
      <c r="A24" s="8" t="n">
        <v>36686</v>
      </c>
      <c r="B24" s="7" t="n">
        <v>3140.9</v>
      </c>
      <c r="C24" s="7" t="n">
        <v>3170</v>
      </c>
      <c r="D24" s="7" t="n">
        <v>3109.6</v>
      </c>
      <c r="E24" s="7" t="n">
        <v>3146.5</v>
      </c>
      <c r="F24" s="9" t="n">
        <v>1119900000</v>
      </c>
      <c r="G24" s="9" t="n">
        <v>6052800000</v>
      </c>
      <c r="H24">
        <f>H23*(E24/E23)</f>
        <v/>
      </c>
    </row>
    <row r="25">
      <c r="A25" s="8" t="n">
        <v>36693</v>
      </c>
      <c r="B25" s="7" t="n">
        <v>3146.5</v>
      </c>
      <c r="C25" s="7" t="n">
        <v>3147.8</v>
      </c>
      <c r="D25" s="7" t="n">
        <v>3103.7</v>
      </c>
      <c r="E25" s="7" t="n">
        <v>3140.8</v>
      </c>
      <c r="F25" s="9" t="n">
        <v>963100000</v>
      </c>
      <c r="G25" s="9" t="n">
        <v>5366500000</v>
      </c>
      <c r="H25">
        <f>H24*(E25/E24)</f>
        <v/>
      </c>
    </row>
    <row r="26">
      <c r="A26" s="8" t="n">
        <v>36700</v>
      </c>
      <c r="B26" s="7" t="n">
        <v>3140.8</v>
      </c>
      <c r="C26" s="7" t="n">
        <v>3186.2</v>
      </c>
      <c r="D26" s="7" t="n">
        <v>3119.8</v>
      </c>
      <c r="E26" s="7" t="n">
        <v>3177.1</v>
      </c>
      <c r="F26" s="9" t="n">
        <v>1433500000</v>
      </c>
      <c r="G26" s="9" t="n">
        <v>7512100000</v>
      </c>
      <c r="H26">
        <f>H25*(E26/E25)</f>
        <v/>
      </c>
    </row>
    <row r="27">
      <c r="A27" s="8" t="n">
        <v>36707</v>
      </c>
      <c r="B27" s="7" t="n">
        <v>3177.1</v>
      </c>
      <c r="C27" s="7" t="n">
        <v>3313.9</v>
      </c>
      <c r="D27" s="7" t="n">
        <v>3162.8</v>
      </c>
      <c r="E27" s="7" t="n">
        <v>3311.2</v>
      </c>
      <c r="F27" s="9" t="n">
        <v>1921100000</v>
      </c>
      <c r="G27" s="9" t="n">
        <v>11101800000</v>
      </c>
      <c r="H27">
        <f>H26*(E27/E26)</f>
        <v/>
      </c>
    </row>
    <row r="28">
      <c r="A28" s="8" t="n">
        <v>36714</v>
      </c>
      <c r="B28" s="7" t="n">
        <v>3311.2</v>
      </c>
      <c r="C28" s="7" t="n">
        <v>3327.2</v>
      </c>
      <c r="D28" s="7" t="n">
        <v>3279.8</v>
      </c>
      <c r="E28" s="7" t="n">
        <v>3305.3</v>
      </c>
      <c r="F28" s="9" t="n">
        <v>1377700000</v>
      </c>
      <c r="G28" s="9" t="n">
        <v>7109200000</v>
      </c>
      <c r="H28">
        <f>H27*(E28/E27)</f>
        <v/>
      </c>
    </row>
    <row r="29">
      <c r="A29" s="8" t="n">
        <v>36721</v>
      </c>
      <c r="B29" s="7" t="n">
        <v>3305.3</v>
      </c>
      <c r="C29" s="7" t="n">
        <v>3337.4</v>
      </c>
      <c r="D29" s="7" t="n">
        <v>3295.6</v>
      </c>
      <c r="E29" s="7" t="n">
        <v>3303.5</v>
      </c>
      <c r="F29" s="9" t="n">
        <v>1233500000</v>
      </c>
      <c r="G29" s="9" t="n">
        <v>6661800000</v>
      </c>
      <c r="H29">
        <f>H28*(E29/E28)</f>
        <v/>
      </c>
    </row>
    <row r="30">
      <c r="A30" s="8" t="n">
        <v>36728</v>
      </c>
      <c r="B30" s="7" t="n">
        <v>3303.5</v>
      </c>
      <c r="C30" s="7" t="n">
        <v>3335.7</v>
      </c>
      <c r="D30" s="7" t="n">
        <v>3283</v>
      </c>
      <c r="E30" s="7" t="n">
        <v>3332.3</v>
      </c>
      <c r="F30" s="9" t="n">
        <v>1069700000</v>
      </c>
      <c r="G30" s="9" t="n">
        <v>5654700000</v>
      </c>
      <c r="H30">
        <f>H29*(E30/E29)</f>
        <v/>
      </c>
    </row>
    <row r="31">
      <c r="A31" s="8" t="n">
        <v>36735</v>
      </c>
      <c r="B31" s="7" t="n">
        <v>3332.3</v>
      </c>
      <c r="C31" s="7" t="n">
        <v>3332.3</v>
      </c>
      <c r="D31" s="7" t="n">
        <v>3248.6</v>
      </c>
      <c r="E31" s="7" t="n">
        <v>3255</v>
      </c>
      <c r="F31" s="9" t="n">
        <v>1091700000</v>
      </c>
      <c r="G31" s="9" t="n">
        <v>6357700000</v>
      </c>
      <c r="H31">
        <f>H30*(E31/E30)</f>
        <v/>
      </c>
    </row>
    <row r="32">
      <c r="A32" s="8" t="n">
        <v>36742</v>
      </c>
      <c r="B32" s="7" t="n">
        <v>3255</v>
      </c>
      <c r="C32" s="7" t="n">
        <v>3284.2</v>
      </c>
      <c r="D32" s="7" t="n">
        <v>3226.9</v>
      </c>
      <c r="E32" s="7" t="n">
        <v>3277.2</v>
      </c>
      <c r="F32" s="9" t="n">
        <v>1280000000</v>
      </c>
      <c r="G32" s="9" t="n">
        <v>6128600000</v>
      </c>
      <c r="H32">
        <f>H31*(E32/E31)</f>
        <v/>
      </c>
    </row>
    <row r="33">
      <c r="A33" s="8" t="n">
        <v>36749</v>
      </c>
      <c r="B33" s="7" t="n">
        <v>3277.2</v>
      </c>
      <c r="C33" s="7" t="n">
        <v>3317.9</v>
      </c>
      <c r="D33" s="7" t="n">
        <v>3276.9</v>
      </c>
      <c r="E33" s="7" t="n">
        <v>3309.1</v>
      </c>
      <c r="F33" s="9" t="n">
        <v>1068400000</v>
      </c>
      <c r="G33" s="9" t="n">
        <v>5899300000</v>
      </c>
      <c r="H33">
        <f>H32*(E33/E32)</f>
        <v/>
      </c>
    </row>
    <row r="34">
      <c r="A34" s="8" t="n">
        <v>36756</v>
      </c>
      <c r="B34" s="7" t="n">
        <v>3309.1</v>
      </c>
      <c r="C34" s="7" t="n">
        <v>3350.3</v>
      </c>
      <c r="D34" s="7" t="n">
        <v>3308</v>
      </c>
      <c r="E34" s="7" t="n">
        <v>3344.2</v>
      </c>
      <c r="F34" s="9" t="n">
        <v>1086700000</v>
      </c>
      <c r="G34" s="9" t="n">
        <v>5554400000</v>
      </c>
      <c r="H34">
        <f>H33*(E34/E33)</f>
        <v/>
      </c>
    </row>
    <row r="35">
      <c r="A35" s="8" t="n">
        <v>36763</v>
      </c>
      <c r="B35" s="7" t="n">
        <v>3344.2</v>
      </c>
      <c r="C35" s="7" t="n">
        <v>3386.9</v>
      </c>
      <c r="D35" s="7" t="n">
        <v>3333.5</v>
      </c>
      <c r="E35" s="7" t="n">
        <v>3367.4</v>
      </c>
      <c r="F35" s="9" t="n">
        <v>1347200000</v>
      </c>
      <c r="G35" s="9" t="n">
        <v>7858000000</v>
      </c>
      <c r="H35">
        <f>H34*(E35/E34)</f>
        <v/>
      </c>
    </row>
    <row r="36">
      <c r="A36" s="8" t="n">
        <v>36770</v>
      </c>
      <c r="B36" s="7" t="n">
        <v>3367.4</v>
      </c>
      <c r="C36" s="7" t="n">
        <v>3383.3</v>
      </c>
      <c r="D36" s="7" t="n">
        <v>3297.5</v>
      </c>
      <c r="E36" s="7" t="n">
        <v>3331.7</v>
      </c>
      <c r="F36" s="9" t="n">
        <v>1205700000</v>
      </c>
      <c r="G36" s="9" t="n">
        <v>6278900000</v>
      </c>
      <c r="H36">
        <f>H35*(E36/E35)</f>
        <v/>
      </c>
    </row>
    <row r="37">
      <c r="A37" s="8" t="n">
        <v>36777</v>
      </c>
      <c r="B37" s="7" t="n">
        <v>3331.7</v>
      </c>
      <c r="C37" s="7" t="n">
        <v>3356</v>
      </c>
      <c r="D37" s="7" t="n">
        <v>3295.4</v>
      </c>
      <c r="E37" s="7" t="n">
        <v>3320.3</v>
      </c>
      <c r="F37" s="9" t="n">
        <v>1129700000</v>
      </c>
      <c r="G37" s="9" t="n">
        <v>5748300000</v>
      </c>
      <c r="H37">
        <f>H36*(E37/E36)</f>
        <v/>
      </c>
    </row>
    <row r="38">
      <c r="A38" s="8" t="n">
        <v>36784</v>
      </c>
      <c r="B38" s="7" t="n">
        <v>3320.3</v>
      </c>
      <c r="C38" s="7" t="n">
        <v>3356.5</v>
      </c>
      <c r="D38" s="7" t="n">
        <v>3296.3</v>
      </c>
      <c r="E38" s="7" t="n">
        <v>3329.8</v>
      </c>
      <c r="F38" s="9" t="n">
        <v>1171800000</v>
      </c>
      <c r="G38" s="9" t="n">
        <v>6968301000</v>
      </c>
      <c r="H38">
        <f>H37*(E38/E37)</f>
        <v/>
      </c>
    </row>
    <row r="39">
      <c r="A39" s="8" t="n">
        <v>36791</v>
      </c>
      <c r="B39" s="7" t="n">
        <v>3329.8</v>
      </c>
      <c r="C39" s="7" t="n">
        <v>3329.8</v>
      </c>
      <c r="D39" s="7" t="n">
        <v>3176.1</v>
      </c>
      <c r="E39" s="7" t="n">
        <v>3188.6</v>
      </c>
      <c r="F39" s="9" t="n">
        <v>959300000</v>
      </c>
      <c r="G39" s="9" t="n">
        <v>5416000000</v>
      </c>
      <c r="H39">
        <f>H38*(E39/E38)</f>
        <v/>
      </c>
    </row>
    <row r="40">
      <c r="A40" s="8" t="n">
        <v>36798</v>
      </c>
      <c r="B40" s="7" t="n">
        <v>3188.6</v>
      </c>
      <c r="C40" s="7" t="n">
        <v>3302.5</v>
      </c>
      <c r="D40" s="7" t="n">
        <v>3186.7</v>
      </c>
      <c r="E40" s="7" t="n">
        <v>3298.8</v>
      </c>
      <c r="F40" s="9" t="n">
        <v>981000000</v>
      </c>
      <c r="G40" s="9" t="n">
        <v>6537700000</v>
      </c>
      <c r="H40">
        <f>H39*(E40/E39)</f>
        <v/>
      </c>
    </row>
    <row r="41">
      <c r="A41" s="8" t="n">
        <v>36805</v>
      </c>
      <c r="B41" s="7" t="n">
        <v>3298.8</v>
      </c>
      <c r="C41" s="7" t="n">
        <v>3330.7</v>
      </c>
      <c r="D41" s="7" t="n">
        <v>3277.9</v>
      </c>
      <c r="E41" s="7" t="n">
        <v>3293.5</v>
      </c>
      <c r="F41" s="9" t="n">
        <v>994000000</v>
      </c>
      <c r="G41" s="9" t="n">
        <v>6123000000</v>
      </c>
      <c r="H41">
        <f>H40*(E41/E40)</f>
        <v/>
      </c>
    </row>
    <row r="42">
      <c r="A42" s="8" t="n">
        <v>36812</v>
      </c>
      <c r="B42" s="7" t="n">
        <v>3293.5</v>
      </c>
      <c r="C42" s="7" t="n">
        <v>3293.5</v>
      </c>
      <c r="D42" s="7" t="n">
        <v>3186</v>
      </c>
      <c r="E42" s="7" t="n">
        <v>3201.9</v>
      </c>
      <c r="F42" s="9" t="n">
        <v>1331900000</v>
      </c>
      <c r="G42" s="9" t="n">
        <v>6580900000</v>
      </c>
      <c r="H42">
        <f>H41*(E42/E41)</f>
        <v/>
      </c>
    </row>
    <row r="43">
      <c r="A43" s="8" t="n">
        <v>36819</v>
      </c>
      <c r="B43" s="7" t="n">
        <v>3201.9</v>
      </c>
      <c r="C43" s="7" t="n">
        <v>3271.2</v>
      </c>
      <c r="D43" s="7" t="n">
        <v>3180.3</v>
      </c>
      <c r="E43" s="7" t="n">
        <v>3235.8</v>
      </c>
      <c r="F43" s="9" t="n">
        <v>1311100000</v>
      </c>
      <c r="G43" s="9" t="n">
        <v>7150000000</v>
      </c>
      <c r="H43">
        <f>H42*(E43/E42)</f>
        <v/>
      </c>
    </row>
    <row r="44">
      <c r="A44" s="8" t="n">
        <v>36826</v>
      </c>
      <c r="B44" s="7" t="n">
        <v>3235.8</v>
      </c>
      <c r="C44" s="7" t="n">
        <v>3272.8</v>
      </c>
      <c r="D44" s="7" t="n">
        <v>3231.2</v>
      </c>
      <c r="E44" s="7" t="n">
        <v>3244.7</v>
      </c>
      <c r="F44" s="9" t="n">
        <v>1392300000</v>
      </c>
      <c r="G44" s="9" t="n">
        <v>7283700000</v>
      </c>
      <c r="H44">
        <f>H43*(E44/E43)</f>
        <v/>
      </c>
    </row>
    <row r="45">
      <c r="A45" s="8" t="n">
        <v>36833</v>
      </c>
      <c r="B45" s="7" t="n">
        <v>3244.7</v>
      </c>
      <c r="C45" s="7" t="n">
        <v>3327.6</v>
      </c>
      <c r="D45" s="7" t="n">
        <v>3244.6</v>
      </c>
      <c r="E45" s="7" t="n">
        <v>3321.9</v>
      </c>
      <c r="F45" s="9" t="n">
        <v>1178100000</v>
      </c>
      <c r="G45" s="9" t="n">
        <v>6120300000</v>
      </c>
      <c r="H45">
        <f>H44*(E45/E44)</f>
        <v/>
      </c>
    </row>
    <row r="46">
      <c r="A46" s="8" t="n">
        <v>36840</v>
      </c>
      <c r="B46" s="7" t="n">
        <v>3321.9</v>
      </c>
      <c r="C46" s="7" t="n">
        <v>3381.5</v>
      </c>
      <c r="D46" s="7" t="n">
        <v>3291.7</v>
      </c>
      <c r="E46" s="7" t="n">
        <v>3300.9</v>
      </c>
      <c r="F46" s="9" t="n">
        <v>1233100000</v>
      </c>
      <c r="G46" s="9" t="n">
        <v>7106100000</v>
      </c>
      <c r="H46">
        <f>H45*(E46/E45)</f>
        <v/>
      </c>
    </row>
    <row r="47">
      <c r="A47" s="8" t="n">
        <v>36847</v>
      </c>
      <c r="B47" s="7" t="n">
        <v>3300.9</v>
      </c>
      <c r="C47" s="7" t="n">
        <v>3332.2</v>
      </c>
      <c r="D47" s="7" t="n">
        <v>3273.4</v>
      </c>
      <c r="E47" s="7" t="n">
        <v>3329.1</v>
      </c>
      <c r="F47" s="9" t="n">
        <v>1243800000</v>
      </c>
      <c r="G47" s="9" t="n">
        <v>7162100000</v>
      </c>
      <c r="H47">
        <f>H46*(E47/E46)</f>
        <v/>
      </c>
    </row>
    <row r="48">
      <c r="A48" s="8" t="n">
        <v>36854</v>
      </c>
      <c r="B48" s="7" t="n">
        <v>3329.1</v>
      </c>
      <c r="C48" s="7" t="n">
        <v>3331.5</v>
      </c>
      <c r="D48" s="7" t="n">
        <v>3265.2</v>
      </c>
      <c r="E48" s="7" t="n">
        <v>3280.6</v>
      </c>
      <c r="F48" s="9" t="n">
        <v>1140000000</v>
      </c>
      <c r="G48" s="9" t="n">
        <v>7135400000</v>
      </c>
      <c r="H48">
        <f>H47*(E48/E47)</f>
        <v/>
      </c>
    </row>
    <row r="49">
      <c r="A49" s="8" t="n">
        <v>36861</v>
      </c>
      <c r="B49" s="7" t="n">
        <v>3280.6</v>
      </c>
      <c r="C49" s="7" t="n">
        <v>3311.9</v>
      </c>
      <c r="D49" s="7" t="n">
        <v>3254</v>
      </c>
      <c r="E49" s="7" t="n">
        <v>3284.1</v>
      </c>
      <c r="F49" s="9" t="n">
        <v>1154500000</v>
      </c>
      <c r="G49" s="9" t="n">
        <v>6772600000</v>
      </c>
      <c r="H49">
        <f>H48*(E49/E48)</f>
        <v/>
      </c>
    </row>
    <row r="50">
      <c r="A50" s="8" t="n">
        <v>36868</v>
      </c>
      <c r="B50" s="7" t="n">
        <v>3284.1</v>
      </c>
      <c r="C50" s="7" t="n">
        <v>3349</v>
      </c>
      <c r="D50" s="7" t="n">
        <v>3278</v>
      </c>
      <c r="E50" s="7" t="n">
        <v>3287.6</v>
      </c>
      <c r="F50" s="9" t="n">
        <v>1290600000</v>
      </c>
      <c r="G50" s="9" t="n">
        <v>6655100000</v>
      </c>
      <c r="H50">
        <f>H49*(E50/E49)</f>
        <v/>
      </c>
    </row>
    <row r="51">
      <c r="A51" s="8" t="n">
        <v>36875</v>
      </c>
      <c r="B51" s="7" t="n">
        <v>3287.6</v>
      </c>
      <c r="C51" s="7" t="n">
        <v>3321.1</v>
      </c>
      <c r="D51" s="7" t="n">
        <v>3222.4</v>
      </c>
      <c r="E51" s="7" t="n">
        <v>3229.2</v>
      </c>
      <c r="F51" s="9" t="n">
        <v>1281500000</v>
      </c>
      <c r="G51" s="9" t="n">
        <v>7243000000</v>
      </c>
      <c r="H51">
        <f>H50*(E51/E50)</f>
        <v/>
      </c>
    </row>
    <row r="52">
      <c r="A52" s="8" t="n">
        <v>36882</v>
      </c>
      <c r="B52" s="7" t="n">
        <v>3229.2</v>
      </c>
      <c r="C52" s="7" t="n">
        <v>3260</v>
      </c>
      <c r="D52" s="7" t="n">
        <v>3171.7</v>
      </c>
      <c r="E52" s="7" t="n">
        <v>3196</v>
      </c>
      <c r="F52" s="9" t="n">
        <v>1185000000</v>
      </c>
      <c r="G52" s="9" t="n">
        <v>7097500000</v>
      </c>
      <c r="H52">
        <f>H51*(E52/E51)</f>
        <v/>
      </c>
    </row>
    <row r="53">
      <c r="A53" s="8" t="n">
        <v>36889</v>
      </c>
      <c r="B53" s="7" t="n">
        <v>3196</v>
      </c>
      <c r="C53" s="7" t="n">
        <v>3279.8</v>
      </c>
      <c r="D53" s="7" t="n">
        <v>3194.9</v>
      </c>
      <c r="E53" s="7" t="n">
        <v>3206.2</v>
      </c>
      <c r="F53" s="9" t="n">
        <v>481000000</v>
      </c>
      <c r="G53" s="9" t="n">
        <v>2611500000</v>
      </c>
      <c r="H53">
        <f>H52*(E53/E52)</f>
        <v/>
      </c>
    </row>
    <row r="54">
      <c r="A54" s="8" t="n">
        <v>36896</v>
      </c>
      <c r="B54" s="7" t="n">
        <v>3206.2</v>
      </c>
      <c r="C54" s="7" t="n">
        <v>3308.5</v>
      </c>
      <c r="D54" s="7" t="n">
        <v>3206.2</v>
      </c>
      <c r="E54" s="7" t="n">
        <v>3300.4</v>
      </c>
      <c r="F54" s="9" t="n">
        <v>709800000</v>
      </c>
      <c r="G54" s="9" t="n">
        <v>4217600000</v>
      </c>
      <c r="H54">
        <f>H53*(E54/E53)</f>
        <v/>
      </c>
    </row>
    <row r="55">
      <c r="A55" s="8" t="n">
        <v>36903</v>
      </c>
      <c r="B55" s="7" t="n">
        <v>3300.4</v>
      </c>
      <c r="C55" s="7" t="n">
        <v>3300.4</v>
      </c>
      <c r="D55" s="7" t="n">
        <v>3222.6</v>
      </c>
      <c r="E55" s="7" t="n">
        <v>3243.2</v>
      </c>
      <c r="F55" s="9" t="n">
        <v>1262900000</v>
      </c>
      <c r="G55" s="9" t="n">
        <v>6631999000</v>
      </c>
      <c r="H55">
        <f>H54*(E55/E54)</f>
        <v/>
      </c>
    </row>
    <row r="56">
      <c r="A56" s="8" t="n">
        <v>36910</v>
      </c>
      <c r="B56" s="7" t="n">
        <v>3243.2</v>
      </c>
      <c r="C56" s="7" t="n">
        <v>3319.2</v>
      </c>
      <c r="D56" s="7" t="n">
        <v>3232.3</v>
      </c>
      <c r="E56" s="7" t="n">
        <v>3311.6</v>
      </c>
      <c r="F56" s="9" t="n">
        <v>1376700000</v>
      </c>
      <c r="G56" s="9" t="n">
        <v>7929100000</v>
      </c>
      <c r="H56">
        <f>H55*(E56/E55)</f>
        <v/>
      </c>
    </row>
    <row r="57">
      <c r="A57" s="8" t="n">
        <v>36916</v>
      </c>
      <c r="B57" s="7" t="n">
        <v>3311.6</v>
      </c>
      <c r="C57" s="7" t="n">
        <v>3327.4</v>
      </c>
      <c r="D57" s="7" t="n">
        <v>3284.6</v>
      </c>
      <c r="E57" s="7" t="n">
        <v>3321.4</v>
      </c>
      <c r="F57" s="9" t="n">
        <v>997500000</v>
      </c>
      <c r="G57" s="9" t="n">
        <v>5341600000</v>
      </c>
      <c r="H57">
        <f>H56*(E57/E56)</f>
        <v/>
      </c>
    </row>
    <row r="58">
      <c r="A58" s="8" t="n">
        <v>36924</v>
      </c>
      <c r="B58" s="7" t="n">
        <v>3321.4</v>
      </c>
      <c r="C58" s="7" t="n">
        <v>3364.6</v>
      </c>
      <c r="D58" s="7" t="n">
        <v>3300.5</v>
      </c>
      <c r="E58" s="7" t="n">
        <v>3355.3</v>
      </c>
      <c r="F58" s="9" t="n">
        <v>1376200000</v>
      </c>
      <c r="G58" s="9" t="n">
        <v>8415900000</v>
      </c>
      <c r="H58">
        <f>H57*(E58/E57)</f>
        <v/>
      </c>
    </row>
    <row r="59">
      <c r="A59" s="8" t="n">
        <v>36931</v>
      </c>
      <c r="B59" s="7" t="n">
        <v>3355.3</v>
      </c>
      <c r="C59" s="7" t="n">
        <v>3355.3</v>
      </c>
      <c r="D59" s="7" t="n">
        <v>3300.2</v>
      </c>
      <c r="E59" s="7" t="n">
        <v>3312.4</v>
      </c>
      <c r="F59" s="9" t="n">
        <v>1250200000</v>
      </c>
      <c r="G59" s="9" t="n">
        <v>7221000000</v>
      </c>
      <c r="H59">
        <f>H58*(E59/E58)</f>
        <v/>
      </c>
    </row>
    <row r="60">
      <c r="A60" s="8" t="n">
        <v>36938</v>
      </c>
      <c r="B60" s="7" t="n">
        <v>3312.4</v>
      </c>
      <c r="C60" s="7" t="n">
        <v>3354.5</v>
      </c>
      <c r="D60" s="7" t="n">
        <v>3300.6</v>
      </c>
      <c r="E60" s="7" t="n">
        <v>3320.1</v>
      </c>
      <c r="F60" s="9" t="n">
        <v>1283600000</v>
      </c>
      <c r="G60" s="9" t="n">
        <v>7971200000</v>
      </c>
      <c r="H60">
        <f>H59*(E60/E59)</f>
        <v/>
      </c>
    </row>
    <row r="61">
      <c r="A61" s="8" t="n">
        <v>36945</v>
      </c>
      <c r="B61" s="7" t="n">
        <v>3320.1</v>
      </c>
      <c r="C61" s="7" t="n">
        <v>3320.1</v>
      </c>
      <c r="D61" s="7" t="n">
        <v>3278.2</v>
      </c>
      <c r="E61" s="7" t="n">
        <v>3292</v>
      </c>
      <c r="F61" s="9" t="n">
        <v>1318000000</v>
      </c>
      <c r="G61" s="9" t="n">
        <v>8216100000</v>
      </c>
      <c r="H61">
        <f>H60*(E61/E60)</f>
        <v/>
      </c>
    </row>
    <row r="62">
      <c r="A62" s="8" t="n">
        <v>36952</v>
      </c>
      <c r="B62" s="7" t="n">
        <v>3292</v>
      </c>
      <c r="C62" s="7" t="n">
        <v>3351.3</v>
      </c>
      <c r="D62" s="7" t="n">
        <v>3283.7</v>
      </c>
      <c r="E62" s="7" t="n">
        <v>3333.4</v>
      </c>
      <c r="F62" s="9" t="n">
        <v>1342400000</v>
      </c>
      <c r="G62" s="9" t="n">
        <v>8046700000</v>
      </c>
      <c r="H62">
        <f>H61*(E62/E61)</f>
        <v/>
      </c>
    </row>
    <row r="63">
      <c r="A63" s="8" t="n">
        <v>36959</v>
      </c>
      <c r="B63" s="7" t="n">
        <v>3333.4</v>
      </c>
      <c r="C63" s="7" t="n">
        <v>3370.9</v>
      </c>
      <c r="D63" s="7" t="n">
        <v>3321.9</v>
      </c>
      <c r="E63" s="7" t="n">
        <v>3331.3</v>
      </c>
      <c r="F63" s="9" t="n">
        <v>1483200000</v>
      </c>
      <c r="G63" s="9" t="n">
        <v>9239999000</v>
      </c>
      <c r="H63">
        <f>H62*(E63/E62)</f>
        <v/>
      </c>
    </row>
    <row r="64">
      <c r="A64" s="8" t="n">
        <v>36966</v>
      </c>
      <c r="B64" s="7" t="n">
        <v>3331.3</v>
      </c>
      <c r="C64" s="7" t="n">
        <v>3332</v>
      </c>
      <c r="D64" s="7" t="n">
        <v>3203.7</v>
      </c>
      <c r="E64" s="7" t="n">
        <v>3252.4</v>
      </c>
      <c r="F64" s="9" t="n">
        <v>1390900000</v>
      </c>
      <c r="G64" s="9" t="n">
        <v>8243201000</v>
      </c>
      <c r="H64">
        <f>H63*(E64/E63)</f>
        <v/>
      </c>
    </row>
    <row r="65">
      <c r="A65" s="8" t="n">
        <v>36973</v>
      </c>
      <c r="B65" s="7" t="n">
        <v>3252.4</v>
      </c>
      <c r="C65" s="7" t="n">
        <v>3252.4</v>
      </c>
      <c r="D65" s="7" t="n">
        <v>3138.2</v>
      </c>
      <c r="E65" s="7" t="n">
        <v>3145.3</v>
      </c>
      <c r="F65" s="9" t="n">
        <v>1356600000</v>
      </c>
      <c r="G65" s="9" t="n">
        <v>9514500000</v>
      </c>
      <c r="H65">
        <f>H64*(E65/E64)</f>
        <v/>
      </c>
    </row>
    <row r="66">
      <c r="A66" s="8" t="n">
        <v>36980</v>
      </c>
      <c r="B66" s="7" t="n">
        <v>3145.3</v>
      </c>
      <c r="C66" s="7" t="n">
        <v>3194.3</v>
      </c>
      <c r="D66" s="7" t="n">
        <v>3143.3</v>
      </c>
      <c r="E66" s="7" t="n">
        <v>3147.2</v>
      </c>
      <c r="F66" s="9" t="n">
        <v>1985200000</v>
      </c>
      <c r="G66" s="9" t="n">
        <v>11134000000</v>
      </c>
      <c r="H66">
        <f>H65*(E66/E65)</f>
        <v/>
      </c>
    </row>
    <row r="67">
      <c r="A67" s="8" t="n">
        <v>36987</v>
      </c>
      <c r="B67" s="7" t="n">
        <v>3147.2</v>
      </c>
      <c r="C67" s="7" t="n">
        <v>3266</v>
      </c>
      <c r="D67" s="7" t="n">
        <v>3147.2</v>
      </c>
      <c r="E67" s="7" t="n">
        <v>3233.2</v>
      </c>
      <c r="F67" s="9" t="n">
        <v>1722800000</v>
      </c>
      <c r="G67" s="9" t="n">
        <v>9424500000</v>
      </c>
      <c r="H67">
        <f>H66*(E67/E66)</f>
        <v/>
      </c>
    </row>
    <row r="68">
      <c r="A68" s="8" t="n">
        <v>36993</v>
      </c>
      <c r="B68" s="7" t="n">
        <v>3233.2</v>
      </c>
      <c r="C68" s="7" t="n">
        <v>3282.6</v>
      </c>
      <c r="D68" s="7" t="n">
        <v>3211.1</v>
      </c>
      <c r="E68" s="7" t="n">
        <v>3276.8</v>
      </c>
      <c r="F68" s="9" t="n">
        <v>1283100000</v>
      </c>
      <c r="G68" s="9" t="n">
        <v>6903699000</v>
      </c>
      <c r="H68">
        <f>H67*(E68/E67)</f>
        <v/>
      </c>
    </row>
    <row r="69">
      <c r="A69" s="8" t="n">
        <v>37001</v>
      </c>
      <c r="B69" s="7" t="n">
        <v>3276.8</v>
      </c>
      <c r="C69" s="7" t="n">
        <v>3333.9</v>
      </c>
      <c r="D69" s="7" t="n">
        <v>3257</v>
      </c>
      <c r="E69" s="7" t="n">
        <v>3303.5</v>
      </c>
      <c r="F69" s="9" t="n">
        <v>1337200000</v>
      </c>
      <c r="G69" s="9" t="n">
        <v>7673800000</v>
      </c>
      <c r="H69">
        <f>H68*(E69/E68)</f>
        <v/>
      </c>
    </row>
    <row r="70">
      <c r="A70" s="8" t="n">
        <v>37008</v>
      </c>
      <c r="B70" s="7" t="n">
        <v>3303.5</v>
      </c>
      <c r="C70" s="7" t="n">
        <v>3313.9</v>
      </c>
      <c r="D70" s="7" t="n">
        <v>3286.1</v>
      </c>
      <c r="E70" s="7" t="n">
        <v>3293.9</v>
      </c>
      <c r="F70" s="9" t="n">
        <v>1255100000</v>
      </c>
      <c r="G70" s="9" t="n">
        <v>9059600000</v>
      </c>
      <c r="H70">
        <f>H69*(E70/E69)</f>
        <v/>
      </c>
    </row>
    <row r="71">
      <c r="A71" s="8" t="n">
        <v>37015</v>
      </c>
      <c r="B71" s="7" t="n">
        <v>3293.9</v>
      </c>
      <c r="C71" s="7" t="n">
        <v>3357.5</v>
      </c>
      <c r="D71" s="7" t="n">
        <v>3293.9</v>
      </c>
      <c r="E71" s="7" t="n">
        <v>3340.5</v>
      </c>
      <c r="F71" s="9" t="n">
        <v>1644600000</v>
      </c>
      <c r="G71" s="9" t="n">
        <v>8988101000</v>
      </c>
      <c r="H71">
        <f>H70*(E71/E70)</f>
        <v/>
      </c>
    </row>
    <row r="72">
      <c r="A72" s="8" t="n">
        <v>37022</v>
      </c>
      <c r="B72" s="7" t="n">
        <v>3340.5</v>
      </c>
      <c r="C72" s="7" t="n">
        <v>3392.4</v>
      </c>
      <c r="D72" s="7" t="n">
        <v>3327.8</v>
      </c>
      <c r="E72" s="7" t="n">
        <v>3389</v>
      </c>
      <c r="F72" s="9" t="n">
        <v>1356600000</v>
      </c>
      <c r="G72" s="9" t="n">
        <v>8088900000</v>
      </c>
      <c r="H72">
        <f>H71*(E72/E71)</f>
        <v/>
      </c>
    </row>
    <row r="73">
      <c r="A73" s="8" t="n">
        <v>37029</v>
      </c>
      <c r="B73" s="7" t="n">
        <v>3389</v>
      </c>
      <c r="C73" s="7" t="n">
        <v>3424.5</v>
      </c>
      <c r="D73" s="7" t="n">
        <v>3358.2</v>
      </c>
      <c r="E73" s="7" t="n">
        <v>3404.1</v>
      </c>
      <c r="F73" s="9" t="n">
        <v>1579100000</v>
      </c>
      <c r="G73" s="9" t="n">
        <v>9281601000</v>
      </c>
      <c r="H73">
        <f>H72*(E73/E72)</f>
        <v/>
      </c>
    </row>
    <row r="74">
      <c r="A74" s="8" t="n">
        <v>37036</v>
      </c>
      <c r="B74" s="7" t="n">
        <v>3404.1</v>
      </c>
      <c r="C74" s="7" t="n">
        <v>3444.7</v>
      </c>
      <c r="D74" s="7" t="n">
        <v>3404.1</v>
      </c>
      <c r="E74" s="7" t="n">
        <v>3426.1</v>
      </c>
      <c r="F74" s="9" t="n">
        <v>1851600000</v>
      </c>
      <c r="G74" s="9" t="n">
        <v>11479900000</v>
      </c>
      <c r="H74">
        <f>H73*(E74/E73)</f>
        <v/>
      </c>
    </row>
    <row r="75">
      <c r="A75" s="8" t="n">
        <v>37043</v>
      </c>
      <c r="B75" s="7" t="n">
        <v>3426.1</v>
      </c>
      <c r="C75" s="7" t="n">
        <v>3429</v>
      </c>
      <c r="D75" s="7" t="n">
        <v>3375.1</v>
      </c>
      <c r="E75" s="7" t="n">
        <v>3391.5</v>
      </c>
      <c r="F75" s="9" t="n">
        <v>1405100000</v>
      </c>
      <c r="G75" s="9" t="n">
        <v>7626000000</v>
      </c>
      <c r="H75">
        <f>H74*(E75/E74)</f>
        <v/>
      </c>
    </row>
    <row r="76">
      <c r="A76" s="8" t="n">
        <v>37050</v>
      </c>
      <c r="B76" s="7" t="n">
        <v>3391.5</v>
      </c>
      <c r="C76" s="7" t="n">
        <v>3442.1</v>
      </c>
      <c r="D76" s="7" t="n">
        <v>3388.2</v>
      </c>
      <c r="E76" s="7" t="n">
        <v>3434.4</v>
      </c>
      <c r="F76" s="9" t="n">
        <v>1701500000</v>
      </c>
      <c r="G76" s="9" t="n">
        <v>10013100000</v>
      </c>
      <c r="H76">
        <f>H75*(E76/E75)</f>
        <v/>
      </c>
    </row>
    <row r="77">
      <c r="A77" s="8" t="n">
        <v>37057</v>
      </c>
      <c r="B77" s="7" t="n">
        <v>3434.4</v>
      </c>
      <c r="C77" s="7" t="n">
        <v>3434.6</v>
      </c>
      <c r="D77" s="7" t="n">
        <v>3378.9</v>
      </c>
      <c r="E77" s="7" t="n">
        <v>3415.7</v>
      </c>
      <c r="F77" s="9" t="n">
        <v>1780600000</v>
      </c>
      <c r="G77" s="9" t="n">
        <v>10865100000</v>
      </c>
      <c r="H77">
        <f>H76*(E77/E76)</f>
        <v/>
      </c>
    </row>
    <row r="78">
      <c r="A78" s="8" t="n">
        <v>37064</v>
      </c>
      <c r="B78" s="7" t="n">
        <v>3415.7</v>
      </c>
      <c r="C78" s="7" t="n">
        <v>3434.2</v>
      </c>
      <c r="D78" s="7" t="n">
        <v>3383.6</v>
      </c>
      <c r="E78" s="7" t="n">
        <v>3428.3</v>
      </c>
      <c r="F78" s="9" t="n">
        <v>1751100000</v>
      </c>
      <c r="G78" s="9" t="n">
        <v>8860900000</v>
      </c>
      <c r="H78">
        <f>H77*(E78/E77)</f>
        <v/>
      </c>
    </row>
    <row r="79">
      <c r="A79" s="8" t="n">
        <v>37071</v>
      </c>
      <c r="B79" s="7" t="n">
        <v>3428.3</v>
      </c>
      <c r="C79" s="7" t="n">
        <v>3490.3</v>
      </c>
      <c r="D79" s="7" t="n">
        <v>3408.4</v>
      </c>
      <c r="E79" s="7" t="n">
        <v>3490.3</v>
      </c>
      <c r="F79" s="9" t="n">
        <v>2163400000</v>
      </c>
      <c r="G79" s="9" t="n">
        <v>12532300000</v>
      </c>
      <c r="H79">
        <f>H78*(E79/E78)</f>
        <v/>
      </c>
    </row>
    <row r="80">
      <c r="A80" s="8" t="n">
        <v>37078</v>
      </c>
      <c r="B80" s="7" t="n">
        <v>3490.3</v>
      </c>
      <c r="C80" s="7" t="n">
        <v>3490.3</v>
      </c>
      <c r="D80" s="7" t="n">
        <v>3344.8</v>
      </c>
      <c r="E80" s="7" t="n">
        <v>3353.9</v>
      </c>
      <c r="F80" s="9" t="n">
        <v>1704100000</v>
      </c>
      <c r="G80" s="9" t="n">
        <v>9602801000</v>
      </c>
      <c r="H80">
        <f>H79*(E80/E79)</f>
        <v/>
      </c>
    </row>
    <row r="81">
      <c r="A81" s="8" t="n">
        <v>37085</v>
      </c>
      <c r="B81" s="7" t="n">
        <v>3353.9</v>
      </c>
      <c r="C81" s="7" t="n">
        <v>3410.5</v>
      </c>
      <c r="D81" s="7" t="n">
        <v>3316.2</v>
      </c>
      <c r="E81" s="7" t="n">
        <v>3396.5</v>
      </c>
      <c r="F81" s="9" t="n">
        <v>1656600000</v>
      </c>
      <c r="G81" s="9" t="n">
        <v>8762101000</v>
      </c>
      <c r="H81">
        <f>H80*(E81/E80)</f>
        <v/>
      </c>
    </row>
    <row r="82">
      <c r="A82" s="8" t="n">
        <v>37092</v>
      </c>
      <c r="B82" s="7" t="n">
        <v>3396.5</v>
      </c>
      <c r="C82" s="7" t="n">
        <v>3423.5</v>
      </c>
      <c r="D82" s="7" t="n">
        <v>3380.5</v>
      </c>
      <c r="E82" s="7" t="n">
        <v>3380.7</v>
      </c>
      <c r="F82" s="9" t="n">
        <v>1798000000</v>
      </c>
      <c r="G82" s="9" t="n">
        <v>8186200000</v>
      </c>
      <c r="H82">
        <f>H81*(E82/E81)</f>
        <v/>
      </c>
    </row>
    <row r="83">
      <c r="A83" s="8" t="n">
        <v>37099</v>
      </c>
      <c r="B83" s="7" t="n">
        <v>3384.2</v>
      </c>
      <c r="C83" s="7" t="n">
        <v>3389.6</v>
      </c>
      <c r="D83" s="7" t="n">
        <v>3282.7</v>
      </c>
      <c r="E83" s="7" t="n">
        <v>3292.1</v>
      </c>
      <c r="F83" s="9" t="n">
        <v>1606300000</v>
      </c>
      <c r="G83" s="9" t="n">
        <v>9934099000</v>
      </c>
      <c r="H83">
        <f>H82*(E83/E82)</f>
        <v/>
      </c>
    </row>
    <row r="84">
      <c r="A84" s="8" t="n">
        <v>37106</v>
      </c>
      <c r="B84" s="7" t="n">
        <v>3292</v>
      </c>
      <c r="C84" s="7" t="n">
        <v>3419.3</v>
      </c>
      <c r="D84" s="7" t="n">
        <v>3290</v>
      </c>
      <c r="E84" s="7" t="n">
        <v>3405.1</v>
      </c>
      <c r="F84" s="9" t="n">
        <v>1431500000</v>
      </c>
      <c r="G84" s="9" t="n">
        <v>8461600000</v>
      </c>
      <c r="H84">
        <f>H83*(E84/E83)</f>
        <v/>
      </c>
    </row>
    <row r="85">
      <c r="A85" s="8" t="n">
        <v>37113</v>
      </c>
      <c r="B85" s="7" t="n">
        <v>3405.4</v>
      </c>
      <c r="C85" s="7" t="n">
        <v>3424.9</v>
      </c>
      <c r="D85" s="7" t="n">
        <v>3381.2</v>
      </c>
      <c r="E85" s="7" t="n">
        <v>3401.3</v>
      </c>
      <c r="F85" s="9" t="n">
        <v>1314900000</v>
      </c>
      <c r="G85" s="9" t="n">
        <v>7229800000</v>
      </c>
      <c r="H85">
        <f>H84*(E85/E84)</f>
        <v/>
      </c>
    </row>
    <row r="86">
      <c r="A86" s="8" t="n">
        <v>37120</v>
      </c>
      <c r="B86" s="7" t="n">
        <v>3401.3</v>
      </c>
      <c r="C86" s="7" t="n">
        <v>3406.9</v>
      </c>
      <c r="D86" s="7" t="n">
        <v>3325.5</v>
      </c>
      <c r="E86" s="7" t="n">
        <v>3330.4</v>
      </c>
      <c r="F86" s="9" t="n">
        <v>1462100000</v>
      </c>
      <c r="G86" s="9" t="n">
        <v>8099900000</v>
      </c>
      <c r="H86">
        <f>H85*(E86/E85)</f>
        <v/>
      </c>
    </row>
    <row r="87">
      <c r="A87" s="8" t="n">
        <v>37127</v>
      </c>
      <c r="B87" s="7" t="n">
        <v>3330.4</v>
      </c>
      <c r="C87" s="7" t="n">
        <v>3351.1</v>
      </c>
      <c r="D87" s="7" t="n">
        <v>3280.8</v>
      </c>
      <c r="E87" s="7" t="n">
        <v>3348</v>
      </c>
      <c r="F87" s="9" t="n">
        <v>1499000000</v>
      </c>
      <c r="G87" s="9" t="n">
        <v>8006000000</v>
      </c>
      <c r="H87">
        <f>H86*(E87/E86)</f>
        <v/>
      </c>
    </row>
    <row r="88">
      <c r="A88" s="8" t="n">
        <v>37134</v>
      </c>
      <c r="B88" s="7" t="n">
        <v>3348</v>
      </c>
      <c r="C88" s="7" t="n">
        <v>3381.4</v>
      </c>
      <c r="D88" s="7" t="n">
        <v>3275.4</v>
      </c>
      <c r="E88" s="7" t="n">
        <v>3275.7</v>
      </c>
      <c r="F88" s="9" t="n">
        <v>1837300000</v>
      </c>
      <c r="G88" s="9" t="n">
        <v>10219800000</v>
      </c>
      <c r="H88">
        <f>H87*(E88/E87)</f>
        <v/>
      </c>
    </row>
    <row r="89">
      <c r="A89" s="8" t="n">
        <v>37141</v>
      </c>
      <c r="B89" s="7" t="n">
        <v>3275.6</v>
      </c>
      <c r="C89" s="7" t="n">
        <v>3295.1</v>
      </c>
      <c r="D89" s="7" t="n">
        <v>3219.9</v>
      </c>
      <c r="E89" s="7" t="n">
        <v>3234.5</v>
      </c>
      <c r="F89" s="9" t="n">
        <v>1751800000</v>
      </c>
      <c r="G89" s="9" t="n">
        <v>10443400000</v>
      </c>
      <c r="H89">
        <f>H88*(E89/E88)</f>
        <v/>
      </c>
    </row>
    <row r="90">
      <c r="A90" s="8" t="n">
        <v>37148</v>
      </c>
      <c r="B90" s="7" t="n">
        <v>3234.3</v>
      </c>
      <c r="C90" s="7" t="n">
        <v>3256.6</v>
      </c>
      <c r="D90" s="7" t="n">
        <v>3073.6</v>
      </c>
      <c r="E90" s="7" t="n">
        <v>3101</v>
      </c>
      <c r="F90" s="9" t="n">
        <v>1663900000</v>
      </c>
      <c r="G90" s="9" t="n">
        <v>8270700000</v>
      </c>
      <c r="H90">
        <f>H89*(E90/E89)</f>
        <v/>
      </c>
    </row>
    <row r="91">
      <c r="A91" s="8" t="n">
        <v>37155</v>
      </c>
      <c r="B91" s="7" t="n">
        <v>3100.8</v>
      </c>
      <c r="C91" s="7" t="n">
        <v>3100.8</v>
      </c>
      <c r="D91" s="7" t="n">
        <v>2896.8</v>
      </c>
      <c r="E91" s="7" t="n">
        <v>2942.1</v>
      </c>
      <c r="F91" s="9" t="n">
        <v>2177800000</v>
      </c>
      <c r="G91" s="9" t="n">
        <v>12113200000</v>
      </c>
      <c r="H91">
        <f>H90*(E91/E90)</f>
        <v/>
      </c>
    </row>
    <row r="92">
      <c r="A92" s="8" t="n">
        <v>37162</v>
      </c>
      <c r="B92" s="7" t="n">
        <v>2941.9</v>
      </c>
      <c r="C92" s="7" t="n">
        <v>3062.9</v>
      </c>
      <c r="D92" s="7" t="n">
        <v>2882.6</v>
      </c>
      <c r="E92" s="7" t="n">
        <v>3049.4</v>
      </c>
      <c r="F92" s="9" t="n">
        <v>2023600000</v>
      </c>
      <c r="G92" s="9" t="n">
        <v>11588100000</v>
      </c>
      <c r="H92">
        <f>H91*(E92/E91)</f>
        <v/>
      </c>
    </row>
    <row r="93">
      <c r="A93" s="8" t="n">
        <v>37169</v>
      </c>
      <c r="B93" s="7" t="n">
        <v>3049.5</v>
      </c>
      <c r="C93" s="7" t="n">
        <v>3179.9</v>
      </c>
      <c r="D93" s="7" t="n">
        <v>3049.5</v>
      </c>
      <c r="E93" s="7" t="n">
        <v>3179.4</v>
      </c>
      <c r="F93" s="9" t="n">
        <v>1425800000</v>
      </c>
      <c r="G93" s="9" t="n">
        <v>7697200000</v>
      </c>
      <c r="H93">
        <f>H92*(E93/E92)</f>
        <v/>
      </c>
    </row>
    <row r="94">
      <c r="A94" s="8" t="n">
        <v>37176</v>
      </c>
      <c r="B94" s="7" t="n">
        <v>3179.1</v>
      </c>
      <c r="C94" s="7" t="n">
        <v>3244.5</v>
      </c>
      <c r="D94" s="7" t="n">
        <v>3128</v>
      </c>
      <c r="E94" s="7" t="n">
        <v>3224.7</v>
      </c>
      <c r="F94" s="9" t="n">
        <v>1568800000</v>
      </c>
      <c r="G94" s="9" t="n">
        <v>8636100000</v>
      </c>
      <c r="H94">
        <f>H93*(E94/E93)</f>
        <v/>
      </c>
    </row>
    <row r="95">
      <c r="A95" s="8" t="n">
        <v>37183</v>
      </c>
      <c r="B95" s="7" t="n">
        <v>3225.1</v>
      </c>
      <c r="C95" s="7" t="n">
        <v>3238.1</v>
      </c>
      <c r="D95" s="7" t="n">
        <v>3172.1</v>
      </c>
      <c r="E95" s="7" t="n">
        <v>3175.7</v>
      </c>
      <c r="F95" s="9" t="n">
        <v>1513900000</v>
      </c>
      <c r="G95" s="9" t="n">
        <v>8344500000</v>
      </c>
      <c r="H95">
        <f>H94*(E95/E94)</f>
        <v/>
      </c>
    </row>
    <row r="96">
      <c r="A96" s="8" t="n">
        <v>37190</v>
      </c>
      <c r="B96" s="7" t="n">
        <v>3175.4</v>
      </c>
      <c r="C96" s="7" t="n">
        <v>3286.1</v>
      </c>
      <c r="D96" s="7" t="n">
        <v>3172.4</v>
      </c>
      <c r="E96" s="7" t="n">
        <v>3276.4</v>
      </c>
      <c r="F96" s="9" t="n">
        <v>1615700000</v>
      </c>
      <c r="G96" s="9" t="n">
        <v>9646401000</v>
      </c>
      <c r="H96">
        <f>H95*(E96/E95)</f>
        <v/>
      </c>
    </row>
    <row r="97">
      <c r="A97" s="8" t="n">
        <v>37197</v>
      </c>
      <c r="B97" s="7" t="n">
        <v>3276.2</v>
      </c>
      <c r="C97" s="7" t="n">
        <v>3284.2</v>
      </c>
      <c r="D97" s="7" t="n">
        <v>3228.8</v>
      </c>
      <c r="E97" s="7" t="n">
        <v>3239.9</v>
      </c>
      <c r="F97" s="9" t="n">
        <v>1550900000</v>
      </c>
      <c r="G97" s="9" t="n">
        <v>7967001000</v>
      </c>
      <c r="H97">
        <f>H96*(E97/E96)</f>
        <v/>
      </c>
    </row>
    <row r="98">
      <c r="A98" s="8" t="n">
        <v>37204</v>
      </c>
      <c r="B98" s="7" t="n">
        <v>3239.9</v>
      </c>
      <c r="C98" s="7" t="n">
        <v>3290.7</v>
      </c>
      <c r="D98" s="7" t="n">
        <v>3222.2</v>
      </c>
      <c r="E98" s="7" t="n">
        <v>3286</v>
      </c>
      <c r="F98" s="9" t="n">
        <v>1386100000</v>
      </c>
      <c r="G98" s="9" t="n">
        <v>7994000000</v>
      </c>
      <c r="H98">
        <f>H97*(E98/E97)</f>
        <v/>
      </c>
    </row>
    <row r="99">
      <c r="A99" s="8" t="n">
        <v>37211</v>
      </c>
      <c r="B99" s="7" t="n">
        <v>3286</v>
      </c>
      <c r="C99" s="7" t="n">
        <v>3351.2</v>
      </c>
      <c r="D99" s="7" t="n">
        <v>3278.9</v>
      </c>
      <c r="E99" s="7" t="n">
        <v>3322.5</v>
      </c>
      <c r="F99" s="9" t="n">
        <v>1706200000</v>
      </c>
      <c r="G99" s="9" t="n">
        <v>10125200000</v>
      </c>
      <c r="H99">
        <f>H98*(E99/E98)</f>
        <v/>
      </c>
    </row>
    <row r="100">
      <c r="A100" s="8" t="n">
        <v>37218</v>
      </c>
      <c r="B100" s="7" t="n">
        <v>3322.5</v>
      </c>
      <c r="C100" s="7" t="n">
        <v>3361.7</v>
      </c>
      <c r="D100" s="7" t="n">
        <v>3310.2</v>
      </c>
      <c r="E100" s="7" t="n">
        <v>3332.9</v>
      </c>
      <c r="F100" s="9" t="n">
        <v>1516500000</v>
      </c>
      <c r="G100" s="9" t="n">
        <v>8660601000</v>
      </c>
      <c r="H100">
        <f>H99*(E100/E99)</f>
        <v/>
      </c>
    </row>
    <row r="101">
      <c r="A101" s="8" t="n">
        <v>37225</v>
      </c>
      <c r="B101" s="7" t="n">
        <v>3332.9</v>
      </c>
      <c r="C101" s="7" t="n">
        <v>3370.5</v>
      </c>
      <c r="D101" s="7" t="n">
        <v>3324.3</v>
      </c>
      <c r="E101" s="7" t="n">
        <v>3337.4</v>
      </c>
      <c r="F101" s="9" t="n">
        <v>1945900000</v>
      </c>
      <c r="G101" s="9" t="n">
        <v>10984100000</v>
      </c>
      <c r="H101">
        <f>H100*(E101/E100)</f>
        <v/>
      </c>
    </row>
    <row r="102">
      <c r="A102" s="8" t="n">
        <v>37232</v>
      </c>
      <c r="B102" s="7" t="n">
        <v>3337.5</v>
      </c>
      <c r="C102" s="7" t="n">
        <v>3381.1</v>
      </c>
      <c r="D102" s="7" t="n">
        <v>3321.8</v>
      </c>
      <c r="E102" s="7" t="n">
        <v>3371.8</v>
      </c>
      <c r="F102" s="9" t="n">
        <v>1827300000</v>
      </c>
      <c r="G102" s="9" t="n">
        <v>10484800000</v>
      </c>
      <c r="H102">
        <f>H101*(E102/E101)</f>
        <v/>
      </c>
    </row>
    <row r="103">
      <c r="A103" s="8" t="n">
        <v>37239</v>
      </c>
      <c r="B103" s="7" t="n">
        <v>3371.8</v>
      </c>
      <c r="C103" s="7" t="n">
        <v>3374</v>
      </c>
      <c r="D103" s="7" t="n">
        <v>3288.4</v>
      </c>
      <c r="E103" s="7" t="n">
        <v>3290.8</v>
      </c>
      <c r="F103" s="9" t="n">
        <v>1655600000</v>
      </c>
      <c r="G103" s="9" t="n">
        <v>9116101000</v>
      </c>
      <c r="H103">
        <f>H102*(E103/E102)</f>
        <v/>
      </c>
    </row>
    <row r="104">
      <c r="A104" s="8" t="n">
        <v>37246</v>
      </c>
      <c r="B104" s="7" t="n">
        <v>3290.8</v>
      </c>
      <c r="C104" s="7" t="n">
        <v>3379.3</v>
      </c>
      <c r="D104" s="7" t="n">
        <v>3289.6</v>
      </c>
      <c r="E104" s="7" t="n">
        <v>3374.5</v>
      </c>
      <c r="F104" s="9" t="n">
        <v>1570700000</v>
      </c>
      <c r="G104" s="9" t="n">
        <v>10600300000</v>
      </c>
      <c r="H104">
        <f>H103*(E104/E103)</f>
        <v/>
      </c>
    </row>
    <row r="105">
      <c r="A105" s="8" t="n">
        <v>37253</v>
      </c>
      <c r="B105" s="7" t="n">
        <v>3374.5</v>
      </c>
      <c r="C105" s="7" t="n">
        <v>3440.6</v>
      </c>
      <c r="D105" s="7" t="n">
        <v>3374.5</v>
      </c>
      <c r="E105" s="7" t="n">
        <v>3427.1</v>
      </c>
      <c r="F105" s="9" t="n">
        <v>341700000</v>
      </c>
      <c r="G105" s="9" t="n">
        <v>1887600000</v>
      </c>
      <c r="H105">
        <f>H104*(E105/E104)</f>
        <v/>
      </c>
    </row>
    <row r="106">
      <c r="A106" s="8" t="n">
        <v>37260</v>
      </c>
      <c r="B106" s="7" t="n">
        <v>3427.1</v>
      </c>
      <c r="C106" s="7" t="n">
        <v>3445.7</v>
      </c>
      <c r="D106" s="7" t="n">
        <v>3409</v>
      </c>
      <c r="E106" s="7" t="n">
        <v>3435.7</v>
      </c>
      <c r="F106" s="9" t="n">
        <v>763900000</v>
      </c>
      <c r="G106" s="9" t="n">
        <v>4083500000</v>
      </c>
      <c r="H106">
        <f>H105*(E106/E105)</f>
        <v/>
      </c>
    </row>
    <row r="107">
      <c r="A107" s="8" t="n">
        <v>37267</v>
      </c>
      <c r="B107" s="7" t="n">
        <v>3435.7</v>
      </c>
      <c r="C107" s="7" t="n">
        <v>3451.5</v>
      </c>
      <c r="D107" s="7" t="n">
        <v>3408.6</v>
      </c>
      <c r="E107" s="7" t="n">
        <v>3417.6</v>
      </c>
      <c r="F107" s="9" t="n">
        <v>1636600000</v>
      </c>
      <c r="G107" s="9" t="n">
        <v>8878800000</v>
      </c>
      <c r="H107">
        <f>H106*(E107/E106)</f>
        <v/>
      </c>
    </row>
    <row r="108">
      <c r="A108" s="8" t="n">
        <v>37274</v>
      </c>
      <c r="B108" s="7" t="n">
        <v>3417.6</v>
      </c>
      <c r="C108" s="7" t="n">
        <v>3425.8</v>
      </c>
      <c r="D108" s="7" t="n">
        <v>3377.3</v>
      </c>
      <c r="E108" s="7" t="n">
        <v>3387</v>
      </c>
      <c r="F108" s="9" t="n">
        <v>1621600000</v>
      </c>
      <c r="G108" s="9" t="n">
        <v>9409900000</v>
      </c>
      <c r="H108">
        <f>H107*(E108/E107)</f>
        <v/>
      </c>
    </row>
    <row r="109">
      <c r="A109" s="8" t="n">
        <v>37281</v>
      </c>
      <c r="B109" s="7" t="n">
        <v>3387</v>
      </c>
      <c r="C109" s="7" t="n">
        <v>3446.1</v>
      </c>
      <c r="D109" s="7" t="n">
        <v>3380.1</v>
      </c>
      <c r="E109" s="7" t="n">
        <v>3442.3</v>
      </c>
      <c r="F109" s="9" t="n">
        <v>1915000000</v>
      </c>
      <c r="G109" s="9" t="n">
        <v>11973200000</v>
      </c>
      <c r="H109">
        <f>H108*(E109/E108)</f>
        <v/>
      </c>
    </row>
    <row r="110">
      <c r="A110" s="8" t="n">
        <v>37288</v>
      </c>
      <c r="B110" s="7" t="n">
        <v>3442.3</v>
      </c>
      <c r="C110" s="7" t="n">
        <v>3486.3</v>
      </c>
      <c r="D110" s="7" t="n">
        <v>3429</v>
      </c>
      <c r="E110" s="7" t="n">
        <v>3445.5</v>
      </c>
      <c r="F110" s="9" t="n">
        <v>1400600000</v>
      </c>
      <c r="G110" s="9" t="n">
        <v>8211800000</v>
      </c>
      <c r="H110">
        <f>H109*(E110/E109)</f>
        <v/>
      </c>
    </row>
    <row r="111">
      <c r="A111" s="8" t="n">
        <v>37295</v>
      </c>
      <c r="B111" s="7" t="n">
        <v>3445.5</v>
      </c>
      <c r="C111" s="7" t="n">
        <v>3472.9</v>
      </c>
      <c r="D111" s="7" t="n">
        <v>3406.6</v>
      </c>
      <c r="E111" s="7" t="n">
        <v>3450.4</v>
      </c>
      <c r="F111" s="9" t="n">
        <v>1971700000</v>
      </c>
      <c r="G111" s="9" t="n">
        <v>11403400000</v>
      </c>
      <c r="H111">
        <f>H110*(E111/E110)</f>
        <v/>
      </c>
    </row>
    <row r="112">
      <c r="A112" s="8" t="n">
        <v>37302</v>
      </c>
      <c r="B112" s="7" t="n">
        <v>3450.4</v>
      </c>
      <c r="C112" s="7" t="n">
        <v>3506.1</v>
      </c>
      <c r="D112" s="7" t="n">
        <v>3450.4</v>
      </c>
      <c r="E112" s="7" t="n">
        <v>3480.4</v>
      </c>
      <c r="F112" s="9" t="n">
        <v>1761300000</v>
      </c>
      <c r="G112" s="9" t="n">
        <v>10329900000</v>
      </c>
      <c r="H112">
        <f>H111*(E112/E111)</f>
        <v/>
      </c>
    </row>
    <row r="113">
      <c r="A113" s="8" t="n">
        <v>37309</v>
      </c>
      <c r="B113" s="7" t="n">
        <v>3480.4</v>
      </c>
      <c r="C113" s="7" t="n">
        <v>3480.4</v>
      </c>
      <c r="D113" s="7" t="n">
        <v>3412.2</v>
      </c>
      <c r="E113" s="7" t="n">
        <v>3422.1</v>
      </c>
      <c r="F113" s="9" t="n">
        <v>2195000000</v>
      </c>
      <c r="G113" s="9" t="n">
        <v>13894600000</v>
      </c>
      <c r="H113">
        <f>H112*(E113/E112)</f>
        <v/>
      </c>
    </row>
    <row r="114">
      <c r="A114" s="8" t="n">
        <v>37316</v>
      </c>
      <c r="B114" s="7" t="n">
        <v>3422.1</v>
      </c>
      <c r="C114" s="7" t="n">
        <v>3450.2</v>
      </c>
      <c r="D114" s="7" t="n">
        <v>3392.7</v>
      </c>
      <c r="E114" s="7" t="n">
        <v>3417.3</v>
      </c>
      <c r="F114" s="9" t="n">
        <v>1872100000</v>
      </c>
      <c r="G114" s="9" t="n">
        <v>10741900000</v>
      </c>
      <c r="H114">
        <f>H113*(E114/E113)</f>
        <v/>
      </c>
    </row>
    <row r="115">
      <c r="A115" s="8" t="n">
        <v>37323</v>
      </c>
      <c r="B115" s="7" t="n">
        <v>3417.3</v>
      </c>
      <c r="C115" s="7" t="n">
        <v>3499.9</v>
      </c>
      <c r="D115" s="7" t="n">
        <v>3415.7</v>
      </c>
      <c r="E115" s="7" t="n">
        <v>3485.3</v>
      </c>
      <c r="F115" s="9" t="n">
        <v>2152700000</v>
      </c>
      <c r="G115" s="9" t="n">
        <v>12994200000</v>
      </c>
      <c r="H115">
        <f>H114*(E115/E114)</f>
        <v/>
      </c>
    </row>
    <row r="116">
      <c r="A116" s="8" t="n">
        <v>37330</v>
      </c>
      <c r="B116" s="7" t="n">
        <v>3485.3</v>
      </c>
      <c r="C116" s="7" t="n">
        <v>3496.6</v>
      </c>
      <c r="D116" s="7" t="n">
        <v>3407.7</v>
      </c>
      <c r="E116" s="7" t="n">
        <v>3407.7</v>
      </c>
      <c r="F116" s="9" t="n">
        <v>1673200000</v>
      </c>
      <c r="G116" s="9" t="n">
        <v>9251800000</v>
      </c>
      <c r="H116">
        <f>H115*(E116/E115)</f>
        <v/>
      </c>
    </row>
    <row r="117">
      <c r="A117" s="8" t="n">
        <v>37337</v>
      </c>
      <c r="B117" s="7" t="n">
        <v>3407.7</v>
      </c>
      <c r="C117" s="7" t="n">
        <v>3474.6</v>
      </c>
      <c r="D117" s="7" t="n">
        <v>3407.7</v>
      </c>
      <c r="E117" s="7" t="n">
        <v>3433.8</v>
      </c>
      <c r="F117" s="9" t="n">
        <v>1480900000</v>
      </c>
      <c r="G117" s="9" t="n">
        <v>8489800000</v>
      </c>
      <c r="H117">
        <f>H116*(E117/E116)</f>
        <v/>
      </c>
    </row>
    <row r="118">
      <c r="A118" s="8" t="n">
        <v>37343</v>
      </c>
      <c r="B118" s="7" t="n">
        <v>3433.8</v>
      </c>
      <c r="C118" s="7" t="n">
        <v>3435.2</v>
      </c>
      <c r="D118" s="7" t="n">
        <v>3382.1</v>
      </c>
      <c r="E118" s="7" t="n">
        <v>3414.8</v>
      </c>
      <c r="F118" s="9" t="n">
        <v>1561800000</v>
      </c>
      <c r="G118" s="9" t="n">
        <v>10049500000</v>
      </c>
      <c r="H118">
        <f>H117*(E118/E117)</f>
        <v/>
      </c>
    </row>
    <row r="119">
      <c r="A119" s="8" t="n">
        <v>37351</v>
      </c>
      <c r="B119" s="7" t="n">
        <v>3414.8</v>
      </c>
      <c r="C119" s="7" t="n">
        <v>3418</v>
      </c>
      <c r="D119" s="7" t="n">
        <v>3365.7</v>
      </c>
      <c r="E119" s="7" t="n">
        <v>3390</v>
      </c>
      <c r="F119" s="9" t="n">
        <v>1467800000</v>
      </c>
      <c r="G119" s="9" t="n">
        <v>7630900000</v>
      </c>
      <c r="H119">
        <f>H118*(E119/E118)</f>
        <v/>
      </c>
    </row>
    <row r="120">
      <c r="A120" s="8" t="n">
        <v>37358</v>
      </c>
      <c r="B120" s="7" t="n">
        <v>3390</v>
      </c>
      <c r="C120" s="7" t="n">
        <v>3402.3</v>
      </c>
      <c r="D120" s="7" t="n">
        <v>3347.9</v>
      </c>
      <c r="E120" s="7" t="n">
        <v>3354.6</v>
      </c>
      <c r="F120" s="9" t="n">
        <v>1534100000</v>
      </c>
      <c r="G120" s="9" t="n">
        <v>8792800000</v>
      </c>
      <c r="H120">
        <f>H119*(E120/E119)</f>
        <v/>
      </c>
    </row>
    <row r="121">
      <c r="A121" s="8" t="n">
        <v>37365</v>
      </c>
      <c r="B121" s="7" t="n">
        <v>3354.5</v>
      </c>
      <c r="C121" s="7" t="n">
        <v>3412.3</v>
      </c>
      <c r="D121" s="7" t="n">
        <v>3352.9</v>
      </c>
      <c r="E121" s="7" t="n">
        <v>3407.9</v>
      </c>
      <c r="F121" s="9" t="n">
        <v>1619100000</v>
      </c>
      <c r="G121" s="9" t="n">
        <v>9539000000</v>
      </c>
      <c r="H121">
        <f>H120*(E121/E120)</f>
        <v/>
      </c>
    </row>
    <row r="122">
      <c r="A122" s="8" t="n">
        <v>37372</v>
      </c>
      <c r="B122" s="7" t="n">
        <v>3407.3</v>
      </c>
      <c r="C122" s="7" t="n">
        <v>3424.6</v>
      </c>
      <c r="D122" s="7" t="n">
        <v>3370.3</v>
      </c>
      <c r="E122" s="7" t="n">
        <v>3379.1</v>
      </c>
      <c r="F122" s="9" t="n">
        <v>1440200000</v>
      </c>
      <c r="G122" s="9" t="n">
        <v>10424700000</v>
      </c>
      <c r="H122">
        <f>H121*(E122/E121)</f>
        <v/>
      </c>
    </row>
    <row r="123">
      <c r="A123" s="8" t="n">
        <v>37379</v>
      </c>
      <c r="B123" s="7" t="n">
        <v>3379.1</v>
      </c>
      <c r="C123" s="7" t="n">
        <v>3379.1</v>
      </c>
      <c r="D123" s="7" t="n">
        <v>3337.5</v>
      </c>
      <c r="E123" s="7" t="n">
        <v>3366</v>
      </c>
      <c r="F123" s="9" t="n">
        <v>1863800000</v>
      </c>
      <c r="G123" s="9" t="n">
        <v>10367000000</v>
      </c>
      <c r="H123">
        <f>H122*(E123/E122)</f>
        <v/>
      </c>
    </row>
    <row r="124">
      <c r="A124" s="8" t="n">
        <v>37386</v>
      </c>
      <c r="B124" s="7" t="n">
        <v>3366</v>
      </c>
      <c r="C124" s="7" t="n">
        <v>3366.9</v>
      </c>
      <c r="D124" s="7" t="n">
        <v>3320.5</v>
      </c>
      <c r="E124" s="7" t="n">
        <v>3330.9</v>
      </c>
      <c r="F124" s="9" t="n">
        <v>1823400000</v>
      </c>
      <c r="G124" s="9" t="n">
        <v>10044300000</v>
      </c>
      <c r="H124">
        <f>H123*(E124/E123)</f>
        <v/>
      </c>
    </row>
    <row r="125">
      <c r="A125" s="8" t="n">
        <v>37393</v>
      </c>
      <c r="B125" s="7" t="n">
        <v>3330.9</v>
      </c>
      <c r="C125" s="7" t="n">
        <v>3420</v>
      </c>
      <c r="D125" s="7" t="n">
        <v>3295.9</v>
      </c>
      <c r="E125" s="7" t="n">
        <v>3412.6</v>
      </c>
      <c r="F125" s="9" t="n">
        <v>1712400000</v>
      </c>
      <c r="G125" s="9" t="n">
        <v>10567300000</v>
      </c>
      <c r="H125">
        <f>H124*(E125/E124)</f>
        <v/>
      </c>
    </row>
    <row r="126">
      <c r="A126" s="8" t="n">
        <v>37400</v>
      </c>
      <c r="B126" s="7" t="n">
        <v>3412.6</v>
      </c>
      <c r="C126" s="7" t="n">
        <v>3412.6</v>
      </c>
      <c r="D126" s="7" t="n">
        <v>3368.5</v>
      </c>
      <c r="E126" s="7" t="n">
        <v>3387.1</v>
      </c>
      <c r="F126" s="9" t="n">
        <v>1624700000</v>
      </c>
      <c r="G126" s="9" t="n">
        <v>9478400000</v>
      </c>
      <c r="H126">
        <f>H125*(E126/E125)</f>
        <v/>
      </c>
    </row>
    <row r="127">
      <c r="A127" s="8" t="n">
        <v>37407</v>
      </c>
      <c r="B127" s="7" t="n">
        <v>3387.1</v>
      </c>
      <c r="C127" s="7" t="n">
        <v>3393.3</v>
      </c>
      <c r="D127" s="7" t="n">
        <v>3353.3</v>
      </c>
      <c r="E127" s="7" t="n">
        <v>3373.6</v>
      </c>
      <c r="F127" s="9" t="n">
        <v>2113500000</v>
      </c>
      <c r="G127" s="9" t="n">
        <v>12130700000</v>
      </c>
      <c r="H127">
        <f>H126*(E127/E126)</f>
        <v/>
      </c>
    </row>
    <row r="128">
      <c r="A128" s="8" t="n">
        <v>37414</v>
      </c>
      <c r="B128" s="7" t="n">
        <v>3373.6</v>
      </c>
      <c r="C128" s="7" t="n">
        <v>3388.2</v>
      </c>
      <c r="D128" s="7" t="n">
        <v>3325</v>
      </c>
      <c r="E128" s="7" t="n">
        <v>3342.8</v>
      </c>
      <c r="F128" s="9" t="n">
        <v>1826800000</v>
      </c>
      <c r="G128" s="9" t="n">
        <v>10314400000</v>
      </c>
      <c r="H128">
        <f>H127*(E128/E127)</f>
        <v/>
      </c>
    </row>
    <row r="129">
      <c r="A129" s="8" t="n">
        <v>37421</v>
      </c>
      <c r="B129" s="7" t="n">
        <v>3342.8</v>
      </c>
      <c r="C129" s="7" t="n">
        <v>3349</v>
      </c>
      <c r="D129" s="7" t="n">
        <v>3294.1</v>
      </c>
      <c r="E129" s="7" t="n">
        <v>3294.1</v>
      </c>
      <c r="F129" s="9" t="n">
        <v>1476200000</v>
      </c>
      <c r="G129" s="9" t="n">
        <v>8376500000</v>
      </c>
      <c r="H129">
        <f>H128*(E129/E128)</f>
        <v/>
      </c>
    </row>
    <row r="130">
      <c r="A130" s="8" t="n">
        <v>37428</v>
      </c>
      <c r="B130" s="7" t="n">
        <v>3294.1</v>
      </c>
      <c r="C130" s="7" t="n">
        <v>3322.6</v>
      </c>
      <c r="D130" s="7" t="n">
        <v>3242.9</v>
      </c>
      <c r="E130" s="7" t="n">
        <v>3252.2</v>
      </c>
      <c r="F130" s="9" t="n">
        <v>1798100000</v>
      </c>
      <c r="G130" s="9" t="n">
        <v>9670900000</v>
      </c>
      <c r="H130">
        <f>H129*(E130/E129)</f>
        <v/>
      </c>
    </row>
    <row r="131">
      <c r="A131" s="8" t="n">
        <v>37435</v>
      </c>
      <c r="B131" s="7" t="n">
        <v>3252.2</v>
      </c>
      <c r="C131" s="7" t="n">
        <v>3252.2</v>
      </c>
      <c r="D131" s="7" t="n">
        <v>3174</v>
      </c>
      <c r="E131" s="7" t="n">
        <v>3216</v>
      </c>
      <c r="F131" s="9" t="n">
        <v>2626600000</v>
      </c>
      <c r="G131" s="9" t="n">
        <v>15470100000</v>
      </c>
      <c r="H131">
        <f>H130*(E131/E130)</f>
        <v/>
      </c>
    </row>
    <row r="132">
      <c r="A132" s="8" t="n">
        <v>37442</v>
      </c>
      <c r="B132" s="7" t="n">
        <v>3216</v>
      </c>
      <c r="C132" s="7" t="n">
        <v>3229.9</v>
      </c>
      <c r="D132" s="7" t="n">
        <v>3181.3</v>
      </c>
      <c r="E132" s="7" t="n">
        <v>3214.8</v>
      </c>
      <c r="F132" s="9" t="n">
        <v>1694100000</v>
      </c>
      <c r="G132" s="9" t="n">
        <v>9948400000</v>
      </c>
      <c r="H132">
        <f>H131*(E132/E131)</f>
        <v/>
      </c>
    </row>
    <row r="133">
      <c r="A133" s="8" t="n">
        <v>37449</v>
      </c>
      <c r="B133" s="7" t="n">
        <v>3214.8</v>
      </c>
      <c r="C133" s="7" t="n">
        <v>3259</v>
      </c>
      <c r="D133" s="7" t="n">
        <v>3183</v>
      </c>
      <c r="E133" s="7" t="n">
        <v>3196.9</v>
      </c>
      <c r="F133" s="9" t="n">
        <v>1547500000</v>
      </c>
      <c r="G133" s="9" t="n">
        <v>8777201000</v>
      </c>
      <c r="H133">
        <f>H132*(E133/E132)</f>
        <v/>
      </c>
    </row>
    <row r="134">
      <c r="A134" s="8" t="n">
        <v>37456</v>
      </c>
      <c r="B134" s="7" t="n">
        <v>3197.4</v>
      </c>
      <c r="C134" s="7" t="n">
        <v>3197.4</v>
      </c>
      <c r="D134" s="7" t="n">
        <v>3104.9</v>
      </c>
      <c r="E134" s="7" t="n">
        <v>3109.2</v>
      </c>
      <c r="F134" s="9" t="n">
        <v>1835300000</v>
      </c>
      <c r="G134" s="9" t="n">
        <v>10579000000</v>
      </c>
      <c r="H134">
        <f>H133*(E134/E133)</f>
        <v/>
      </c>
    </row>
    <row r="135">
      <c r="A135" s="8" t="n">
        <v>37463</v>
      </c>
      <c r="B135" s="7" t="n">
        <v>3109.2</v>
      </c>
      <c r="C135" s="7" t="n">
        <v>3109.2</v>
      </c>
      <c r="D135" s="7" t="n">
        <v>2982.1</v>
      </c>
      <c r="E135" s="7" t="n">
        <v>2989.5</v>
      </c>
      <c r="F135" s="9" t="n">
        <v>2261600000</v>
      </c>
      <c r="G135" s="9" t="n">
        <v>13778900000</v>
      </c>
      <c r="H135">
        <f>H134*(E135/E134)</f>
        <v/>
      </c>
    </row>
    <row r="136">
      <c r="A136" s="8" t="n">
        <v>37470</v>
      </c>
      <c r="B136" s="7" t="n">
        <v>2989.5</v>
      </c>
      <c r="C136" s="7" t="n">
        <v>3100.9</v>
      </c>
      <c r="D136" s="7" t="n">
        <v>2989.5</v>
      </c>
      <c r="E136" s="7" t="n">
        <v>3053.9</v>
      </c>
      <c r="F136" s="9" t="n">
        <v>1839500000</v>
      </c>
      <c r="G136" s="9" t="n">
        <v>10469200000</v>
      </c>
      <c r="H136">
        <f>H135*(E136/E135)</f>
        <v/>
      </c>
    </row>
    <row r="137">
      <c r="A137" s="8" t="n">
        <v>37477</v>
      </c>
      <c r="B137" s="7" t="n">
        <v>3053.9</v>
      </c>
      <c r="C137" s="7" t="n">
        <v>3122.2</v>
      </c>
      <c r="D137" s="7" t="n">
        <v>2955.7</v>
      </c>
      <c r="E137" s="7" t="n">
        <v>3106.8</v>
      </c>
      <c r="F137" s="9" t="n">
        <v>1526300000</v>
      </c>
      <c r="G137" s="9" t="n">
        <v>8189101000</v>
      </c>
      <c r="H137">
        <f>H136*(E137/E136)</f>
        <v/>
      </c>
    </row>
    <row r="138">
      <c r="A138" s="8" t="n">
        <v>37484</v>
      </c>
      <c r="B138" s="7" t="n">
        <v>3106.8</v>
      </c>
      <c r="C138" s="7" t="n">
        <v>3147.9</v>
      </c>
      <c r="D138" s="7" t="n">
        <v>3086.1</v>
      </c>
      <c r="E138" s="7" t="n">
        <v>3133.3</v>
      </c>
      <c r="F138" s="9" t="n">
        <v>1592900000</v>
      </c>
      <c r="G138" s="9" t="n">
        <v>8411501000</v>
      </c>
      <c r="H138">
        <f>H137*(E138/E137)</f>
        <v/>
      </c>
    </row>
    <row r="139">
      <c r="A139" s="8" t="n">
        <v>37491</v>
      </c>
      <c r="B139" s="7" t="n">
        <v>3133.3</v>
      </c>
      <c r="C139" s="7" t="n">
        <v>3202.9</v>
      </c>
      <c r="D139" s="7" t="n">
        <v>3132.7</v>
      </c>
      <c r="E139" s="7" t="n">
        <v>3184.5</v>
      </c>
      <c r="F139" s="9" t="n">
        <v>1605200000</v>
      </c>
      <c r="G139" s="9" t="n">
        <v>8382700000</v>
      </c>
      <c r="H139">
        <f>H138*(E139/E138)</f>
        <v/>
      </c>
    </row>
    <row r="140">
      <c r="A140" s="8" t="n">
        <v>37498</v>
      </c>
      <c r="B140" s="7" t="n">
        <v>3184.5</v>
      </c>
      <c r="C140" s="7" t="n">
        <v>3191</v>
      </c>
      <c r="D140" s="7" t="n">
        <v>3115.5</v>
      </c>
      <c r="E140" s="7" t="n">
        <v>3120.1</v>
      </c>
      <c r="F140" s="9" t="n">
        <v>2151100000</v>
      </c>
      <c r="G140" s="9" t="n">
        <v>12052200000</v>
      </c>
      <c r="H140">
        <f>H139*(E140/E139)</f>
        <v/>
      </c>
    </row>
    <row r="141">
      <c r="A141" s="8" t="n">
        <v>37505</v>
      </c>
      <c r="B141" s="7" t="n">
        <v>3120.1</v>
      </c>
      <c r="C141" s="7" t="n">
        <v>3143.2</v>
      </c>
      <c r="D141" s="7" t="n">
        <v>3079.9</v>
      </c>
      <c r="E141" s="7" t="n">
        <v>3089.5</v>
      </c>
      <c r="F141" s="9" t="n">
        <v>1754000000</v>
      </c>
      <c r="G141" s="9" t="n">
        <v>9045600000</v>
      </c>
      <c r="H141">
        <f>H140*(E141/E140)</f>
        <v/>
      </c>
    </row>
    <row r="142">
      <c r="A142" s="8" t="n">
        <v>37512</v>
      </c>
      <c r="B142" s="7" t="n">
        <v>3089.5</v>
      </c>
      <c r="C142" s="7" t="n">
        <v>3149.2</v>
      </c>
      <c r="D142" s="7" t="n">
        <v>3089.5</v>
      </c>
      <c r="E142" s="7" t="n">
        <v>3130.6</v>
      </c>
      <c r="F142" s="9" t="n">
        <v>1779100000</v>
      </c>
      <c r="G142" s="9" t="n">
        <v>8598001000</v>
      </c>
      <c r="H142">
        <f>H141*(E142/E141)</f>
        <v/>
      </c>
    </row>
    <row r="143">
      <c r="A143" s="8" t="n">
        <v>37519</v>
      </c>
      <c r="B143" s="7" t="n">
        <v>3130.6</v>
      </c>
      <c r="C143" s="7" t="n">
        <v>3156.7</v>
      </c>
      <c r="D143" s="7" t="n">
        <v>3062.3</v>
      </c>
      <c r="E143" s="7" t="n">
        <v>3073.6</v>
      </c>
      <c r="F143" s="9" t="n">
        <v>1939400000</v>
      </c>
      <c r="G143" s="9" t="n">
        <v>10689500000</v>
      </c>
      <c r="H143">
        <f>H142*(E143/E142)</f>
        <v/>
      </c>
    </row>
    <row r="144">
      <c r="A144" s="8" t="n">
        <v>37526</v>
      </c>
      <c r="B144" s="7" t="n">
        <v>3073.6</v>
      </c>
      <c r="C144" s="7" t="n">
        <v>3073.6</v>
      </c>
      <c r="D144" s="7" t="n">
        <v>2987.2</v>
      </c>
      <c r="E144" s="7" t="n">
        <v>3008.9</v>
      </c>
      <c r="F144" s="9" t="n">
        <v>1918100000</v>
      </c>
      <c r="G144" s="9" t="n">
        <v>11566900000</v>
      </c>
      <c r="H144">
        <f>H143*(E144/E143)</f>
        <v/>
      </c>
    </row>
    <row r="145">
      <c r="A145" s="8" t="n">
        <v>37533</v>
      </c>
      <c r="B145" s="7" t="n">
        <v>3008.9</v>
      </c>
      <c r="C145" s="7" t="n">
        <v>3018</v>
      </c>
      <c r="D145" s="7" t="n">
        <v>2953.2</v>
      </c>
      <c r="E145" s="7" t="n">
        <v>2991.6</v>
      </c>
      <c r="F145" s="9" t="n">
        <v>2072100000</v>
      </c>
      <c r="G145" s="9" t="n">
        <v>10982200000</v>
      </c>
      <c r="H145">
        <f>H144*(E145/E144)</f>
        <v/>
      </c>
    </row>
    <row r="146">
      <c r="A146" s="8" t="n">
        <v>37540</v>
      </c>
      <c r="B146" s="7" t="n">
        <v>2991.6</v>
      </c>
      <c r="C146" s="7" t="n">
        <v>2991.6</v>
      </c>
      <c r="D146" s="7" t="n">
        <v>2883.5</v>
      </c>
      <c r="E146" s="7" t="n">
        <v>2924.6</v>
      </c>
      <c r="F146" s="9" t="n">
        <v>1546800000</v>
      </c>
      <c r="G146" s="9" t="n">
        <v>8502401000</v>
      </c>
      <c r="H146">
        <f>H145*(E146/E145)</f>
        <v/>
      </c>
    </row>
    <row r="147">
      <c r="A147" s="8" t="n">
        <v>37547</v>
      </c>
      <c r="B147" s="7" t="n">
        <v>2924.6</v>
      </c>
      <c r="C147" s="7" t="n">
        <v>3028.4</v>
      </c>
      <c r="D147" s="7" t="n">
        <v>2924.6</v>
      </c>
      <c r="E147" s="7" t="n">
        <v>3010.6</v>
      </c>
      <c r="F147" s="9" t="n">
        <v>2083500000</v>
      </c>
      <c r="G147" s="9" t="n">
        <v>10724600000</v>
      </c>
      <c r="H147">
        <f>H146*(E147/E146)</f>
        <v/>
      </c>
    </row>
    <row r="148">
      <c r="A148" s="8" t="n">
        <v>37554</v>
      </c>
      <c r="B148" s="7" t="n">
        <v>3010.6</v>
      </c>
      <c r="C148" s="7" t="n">
        <v>3043</v>
      </c>
      <c r="D148" s="7" t="n">
        <v>2986.4</v>
      </c>
      <c r="E148" s="7" t="n">
        <v>3009.2</v>
      </c>
      <c r="F148" s="9" t="n">
        <v>1747900000</v>
      </c>
      <c r="G148" s="9" t="n">
        <v>10361200000</v>
      </c>
      <c r="H148">
        <f>H147*(E148/E147)</f>
        <v/>
      </c>
    </row>
    <row r="149">
      <c r="A149" s="8" t="n">
        <v>37561</v>
      </c>
      <c r="B149" s="7" t="n">
        <v>3009.2</v>
      </c>
      <c r="C149" s="7" t="n">
        <v>3042.9</v>
      </c>
      <c r="D149" s="7" t="n">
        <v>2994</v>
      </c>
      <c r="E149" s="7" t="n">
        <v>3010.3</v>
      </c>
      <c r="F149" s="9" t="n">
        <v>1732700000</v>
      </c>
      <c r="G149" s="9" t="n">
        <v>9212701000</v>
      </c>
      <c r="H149">
        <f>H148*(E149/E148)</f>
        <v/>
      </c>
    </row>
    <row r="150">
      <c r="A150" s="8" t="n">
        <v>37568</v>
      </c>
      <c r="B150" s="7" t="n">
        <v>3010.3</v>
      </c>
      <c r="C150" s="7" t="n">
        <v>3079.7</v>
      </c>
      <c r="D150" s="7" t="n">
        <v>3008.6</v>
      </c>
      <c r="E150" s="7" t="n">
        <v>3008.8</v>
      </c>
      <c r="F150" s="9" t="n">
        <v>1629600000</v>
      </c>
      <c r="G150" s="9" t="n">
        <v>10161200000</v>
      </c>
      <c r="H150">
        <f>H149*(E150/E149)</f>
        <v/>
      </c>
    </row>
    <row r="151">
      <c r="A151" s="8" t="n">
        <v>37575</v>
      </c>
      <c r="B151" s="7" t="n">
        <v>3008.8</v>
      </c>
      <c r="C151" s="7" t="n">
        <v>3008.8</v>
      </c>
      <c r="D151" s="7" t="n">
        <v>2950.7</v>
      </c>
      <c r="E151" s="7" t="n">
        <v>3004.9</v>
      </c>
      <c r="F151" s="9" t="n">
        <v>1944100000</v>
      </c>
      <c r="G151" s="9" t="n">
        <v>10554600000</v>
      </c>
      <c r="H151">
        <f>H150*(E151/E150)</f>
        <v/>
      </c>
    </row>
    <row r="152">
      <c r="A152" s="8" t="n">
        <v>37582</v>
      </c>
      <c r="B152" s="7" t="n">
        <v>3004.9</v>
      </c>
      <c r="C152" s="7" t="n">
        <v>3042.2</v>
      </c>
      <c r="D152" s="7" t="n">
        <v>2978.6</v>
      </c>
      <c r="E152" s="7" t="n">
        <v>3035.8</v>
      </c>
      <c r="F152" s="9" t="n">
        <v>2031700000</v>
      </c>
      <c r="G152" s="9" t="n">
        <v>10306200000</v>
      </c>
      <c r="H152">
        <f>H151*(E152/E151)</f>
        <v/>
      </c>
    </row>
    <row r="153">
      <c r="A153" s="8" t="n">
        <v>37589</v>
      </c>
      <c r="B153" s="7" t="n">
        <v>3035.8</v>
      </c>
      <c r="C153" s="7" t="n">
        <v>3061.4</v>
      </c>
      <c r="D153" s="7" t="n">
        <v>2997.4</v>
      </c>
      <c r="E153" s="7" t="n">
        <v>3061.4</v>
      </c>
      <c r="F153" s="9" t="n">
        <v>2150500000</v>
      </c>
      <c r="G153" s="9" t="n">
        <v>12631100000</v>
      </c>
      <c r="H153">
        <f>H152*(E153/E152)</f>
        <v/>
      </c>
    </row>
    <row r="154">
      <c r="A154" s="8" t="n">
        <v>37596</v>
      </c>
      <c r="B154" s="7" t="n">
        <v>3061.4</v>
      </c>
      <c r="C154" s="7" t="n">
        <v>3083.8</v>
      </c>
      <c r="D154" s="7" t="n">
        <v>3017.2</v>
      </c>
      <c r="E154" s="7" t="n">
        <v>3027.3</v>
      </c>
      <c r="F154" s="9" t="n">
        <v>1621400000</v>
      </c>
      <c r="G154" s="9" t="n">
        <v>8992700000</v>
      </c>
      <c r="H154">
        <f>H153*(E154/E153)</f>
        <v/>
      </c>
    </row>
    <row r="155">
      <c r="A155" s="8" t="n">
        <v>37603</v>
      </c>
      <c r="B155" s="7" t="n">
        <v>3027.3</v>
      </c>
      <c r="C155" s="7" t="n">
        <v>3054.4</v>
      </c>
      <c r="D155" s="7" t="n">
        <v>2957.9</v>
      </c>
      <c r="E155" s="7" t="n">
        <v>2971.3</v>
      </c>
      <c r="F155" s="9" t="n">
        <v>1944000000</v>
      </c>
      <c r="G155" s="9" t="n">
        <v>9091200000</v>
      </c>
      <c r="H155">
        <f>H154*(E155/E154)</f>
        <v/>
      </c>
    </row>
    <row r="156">
      <c r="A156" s="8" t="n">
        <v>37610</v>
      </c>
      <c r="B156" s="7" t="n">
        <v>2971.3</v>
      </c>
      <c r="C156" s="7" t="n">
        <v>3019.6</v>
      </c>
      <c r="D156" s="7" t="n">
        <v>2945.9</v>
      </c>
      <c r="E156" s="7" t="n">
        <v>3011.4</v>
      </c>
      <c r="F156" s="9" t="n">
        <v>2127700000</v>
      </c>
      <c r="G156" s="9" t="n">
        <v>10575900000</v>
      </c>
      <c r="H156">
        <f>H155*(E156/E155)</f>
        <v/>
      </c>
    </row>
    <row r="157">
      <c r="A157" s="8" t="n">
        <v>37617</v>
      </c>
      <c r="B157" s="7" t="n">
        <v>3011.4</v>
      </c>
      <c r="C157" s="7" t="n">
        <v>3037.8</v>
      </c>
      <c r="D157" s="7" t="n">
        <v>3011.4</v>
      </c>
      <c r="E157" s="7" t="n">
        <v>3027.2</v>
      </c>
      <c r="F157" s="9" t="n">
        <v>349600000</v>
      </c>
      <c r="G157" s="9" t="n">
        <v>1637400000</v>
      </c>
      <c r="H157">
        <f>H156*(E157/E156)</f>
        <v/>
      </c>
    </row>
    <row r="158">
      <c r="A158" s="8" t="n">
        <v>37624</v>
      </c>
      <c r="B158" s="7" t="n">
        <v>3027.2</v>
      </c>
      <c r="C158" s="7" t="n">
        <v>3055.9</v>
      </c>
      <c r="D158" s="7" t="n">
        <v>2987.8</v>
      </c>
      <c r="E158" s="7" t="n">
        <v>3055.5</v>
      </c>
      <c r="F158" s="9" t="n">
        <v>512400000</v>
      </c>
      <c r="G158" s="9" t="n">
        <v>2468900000</v>
      </c>
      <c r="H158">
        <f>H157*(E158/E157)</f>
        <v/>
      </c>
    </row>
    <row r="159">
      <c r="A159" s="8" t="n">
        <v>37631</v>
      </c>
      <c r="B159" s="7" t="n">
        <v>3055.5</v>
      </c>
      <c r="C159" s="7" t="n">
        <v>3094.1</v>
      </c>
      <c r="D159" s="7" t="n">
        <v>3051.8</v>
      </c>
      <c r="E159" s="7" t="n">
        <v>3063.6</v>
      </c>
      <c r="F159" s="9" t="n">
        <v>1683200000</v>
      </c>
      <c r="G159" s="9" t="n">
        <v>9005700000</v>
      </c>
      <c r="H159">
        <f>H158*(E159/E158)</f>
        <v/>
      </c>
    </row>
    <row r="160">
      <c r="A160" s="8" t="n">
        <v>37638</v>
      </c>
      <c r="B160" s="7" t="n">
        <v>3063.5</v>
      </c>
      <c r="C160" s="7" t="n">
        <v>3084.8</v>
      </c>
      <c r="D160" s="7" t="n">
        <v>3051.3</v>
      </c>
      <c r="E160" s="7" t="n">
        <v>3051.7</v>
      </c>
      <c r="F160" s="9" t="n">
        <v>1736600000</v>
      </c>
      <c r="G160" s="9" t="n">
        <v>8172799000</v>
      </c>
      <c r="H160">
        <f>H159*(E160/E159)</f>
        <v/>
      </c>
    </row>
    <row r="161">
      <c r="A161" s="8" t="n">
        <v>37645</v>
      </c>
      <c r="B161" s="7" t="n">
        <v>3051.7</v>
      </c>
      <c r="C161" s="7" t="n">
        <v>3061.9</v>
      </c>
      <c r="D161" s="7" t="n">
        <v>3017.4</v>
      </c>
      <c r="E161" s="7" t="n">
        <v>3026.2</v>
      </c>
      <c r="F161" s="9" t="n">
        <v>1968400000</v>
      </c>
      <c r="G161" s="9" t="n">
        <v>9483400000</v>
      </c>
      <c r="H161">
        <f>H160*(E161/E160)</f>
        <v/>
      </c>
    </row>
    <row r="162">
      <c r="A162" s="8" t="n">
        <v>37652</v>
      </c>
      <c r="B162" s="7" t="n">
        <v>3026.2</v>
      </c>
      <c r="C162" s="7" t="n">
        <v>3026.2</v>
      </c>
      <c r="D162" s="7" t="n">
        <v>2929.1</v>
      </c>
      <c r="E162" s="7" t="n">
        <v>2956.9</v>
      </c>
      <c r="F162" s="9" t="n">
        <v>1496300000</v>
      </c>
      <c r="G162" s="9" t="n">
        <v>8709200000</v>
      </c>
      <c r="H162">
        <f>H161*(E162/E161)</f>
        <v/>
      </c>
    </row>
    <row r="163">
      <c r="A163" s="8" t="n">
        <v>37659</v>
      </c>
      <c r="B163" s="7" t="n">
        <v>2956.9</v>
      </c>
      <c r="C163" s="7" t="n">
        <v>2969.2</v>
      </c>
      <c r="D163" s="7" t="n">
        <v>2882.6</v>
      </c>
      <c r="E163" s="7" t="n">
        <v>2906</v>
      </c>
      <c r="F163" s="9" t="n">
        <v>1792200000</v>
      </c>
      <c r="G163" s="9" t="n">
        <v>8883800000</v>
      </c>
      <c r="H163">
        <f>H162*(E163/E162)</f>
        <v/>
      </c>
    </row>
    <row r="164">
      <c r="A164" s="8" t="n">
        <v>37666</v>
      </c>
      <c r="B164" s="7" t="n">
        <v>2906</v>
      </c>
      <c r="C164" s="7" t="n">
        <v>2906</v>
      </c>
      <c r="D164" s="7" t="n">
        <v>2807.5</v>
      </c>
      <c r="E164" s="7" t="n">
        <v>2817.2</v>
      </c>
      <c r="F164" s="9" t="n">
        <v>1988400000</v>
      </c>
      <c r="G164" s="9" t="n">
        <v>10044200000</v>
      </c>
      <c r="H164">
        <f>H163*(E164/E163)</f>
        <v/>
      </c>
    </row>
    <row r="165">
      <c r="A165" s="8" t="n">
        <v>37673</v>
      </c>
      <c r="B165" s="7" t="n">
        <v>2817.2</v>
      </c>
      <c r="C165" s="7" t="n">
        <v>2873.5</v>
      </c>
      <c r="D165" s="7" t="n">
        <v>2796.3</v>
      </c>
      <c r="E165" s="7" t="n">
        <v>2820.2</v>
      </c>
      <c r="F165" s="9" t="n">
        <v>1951500000</v>
      </c>
      <c r="G165" s="9" t="n">
        <v>9414200000</v>
      </c>
      <c r="H165">
        <f>H164*(E165/E164)</f>
        <v/>
      </c>
    </row>
    <row r="166">
      <c r="A166" s="8" t="n">
        <v>37680</v>
      </c>
      <c r="B166" s="7" t="n">
        <v>2820.2</v>
      </c>
      <c r="C166" s="7" t="n">
        <v>2862.7</v>
      </c>
      <c r="D166" s="7" t="n">
        <v>2794.4</v>
      </c>
      <c r="E166" s="7" t="n">
        <v>2800.9</v>
      </c>
      <c r="F166" s="9" t="n">
        <v>2156900000</v>
      </c>
      <c r="G166" s="9" t="n">
        <v>10563800000</v>
      </c>
      <c r="H166">
        <f>H165*(E166/E165)</f>
        <v/>
      </c>
    </row>
    <row r="167">
      <c r="A167" s="8" t="n">
        <v>37687</v>
      </c>
      <c r="B167" s="7" t="n">
        <v>2800.9</v>
      </c>
      <c r="C167" s="7" t="n">
        <v>2820</v>
      </c>
      <c r="D167" s="7" t="n">
        <v>2740.7</v>
      </c>
      <c r="E167" s="7" t="n">
        <v>2744</v>
      </c>
      <c r="F167" s="9" t="n">
        <v>1636600000</v>
      </c>
      <c r="G167" s="9" t="n">
        <v>8102200000</v>
      </c>
      <c r="H167">
        <f>H166*(E167/E166)</f>
        <v/>
      </c>
    </row>
    <row r="168">
      <c r="A168" s="8" t="n">
        <v>37694</v>
      </c>
      <c r="B168" s="7" t="n">
        <v>2744</v>
      </c>
      <c r="C168" s="7" t="n">
        <v>2760.9</v>
      </c>
      <c r="D168" s="7" t="n">
        <v>2693.3</v>
      </c>
      <c r="E168" s="7" t="n">
        <v>2753.1</v>
      </c>
      <c r="F168" s="9" t="n">
        <v>1906700000</v>
      </c>
      <c r="G168" s="9" t="n">
        <v>9102000000</v>
      </c>
      <c r="H168">
        <f>H167*(E168/E167)</f>
        <v/>
      </c>
    </row>
    <row r="169">
      <c r="A169" s="8" t="n">
        <v>37701</v>
      </c>
      <c r="B169" s="7" t="n">
        <v>2753.1</v>
      </c>
      <c r="C169" s="7" t="n">
        <v>2882.7</v>
      </c>
      <c r="D169" s="7" t="n">
        <v>2727.7</v>
      </c>
      <c r="E169" s="7" t="n">
        <v>2866.7</v>
      </c>
      <c r="F169" s="9" t="n">
        <v>2383200000</v>
      </c>
      <c r="G169" s="9" t="n">
        <v>10645100000</v>
      </c>
      <c r="H169">
        <f>H168*(E169/E168)</f>
        <v/>
      </c>
    </row>
    <row r="170">
      <c r="A170" s="8" t="n">
        <v>37708</v>
      </c>
      <c r="B170" s="7" t="n">
        <v>2866.7</v>
      </c>
      <c r="C170" s="7" t="n">
        <v>2911.9</v>
      </c>
      <c r="D170" s="7" t="n">
        <v>2829</v>
      </c>
      <c r="E170" s="7" t="n">
        <v>2897.7</v>
      </c>
      <c r="F170" s="9" t="n">
        <v>2597000000</v>
      </c>
      <c r="G170" s="9" t="n">
        <v>13043100000</v>
      </c>
      <c r="H170">
        <f>H169*(E170/E169)</f>
        <v/>
      </c>
    </row>
    <row r="171">
      <c r="A171" s="8" t="n">
        <v>37715</v>
      </c>
      <c r="B171" s="7" t="n">
        <v>2897.7</v>
      </c>
      <c r="C171" s="7" t="n">
        <v>2933.5</v>
      </c>
      <c r="D171" s="7" t="n">
        <v>2865.9</v>
      </c>
      <c r="E171" s="7" t="n">
        <v>2933.5</v>
      </c>
      <c r="F171" s="9" t="n">
        <v>2818400000</v>
      </c>
      <c r="G171" s="9" t="n">
        <v>13653800000</v>
      </c>
      <c r="H171">
        <f>H170*(E171/E170)</f>
        <v/>
      </c>
    </row>
    <row r="172">
      <c r="A172" s="8" t="n">
        <v>37722</v>
      </c>
      <c r="B172" s="7" t="n">
        <v>2933.5</v>
      </c>
      <c r="C172" s="7" t="n">
        <v>2984.4</v>
      </c>
      <c r="D172" s="7" t="n">
        <v>2924.3</v>
      </c>
      <c r="E172" s="7" t="n">
        <v>2949</v>
      </c>
      <c r="F172" s="9" t="n">
        <v>2323000000</v>
      </c>
      <c r="G172" s="9" t="n">
        <v>10872600000</v>
      </c>
      <c r="H172">
        <f>H171*(E172/E171)</f>
        <v/>
      </c>
    </row>
    <row r="173">
      <c r="A173" s="8" t="n">
        <v>37728</v>
      </c>
      <c r="B173" s="7" t="n">
        <v>2949</v>
      </c>
      <c r="C173" s="7" t="n">
        <v>2985.1</v>
      </c>
      <c r="D173" s="7" t="n">
        <v>2932.5</v>
      </c>
      <c r="E173" s="7" t="n">
        <v>2953.2</v>
      </c>
      <c r="F173" s="9" t="n">
        <v>1482200000</v>
      </c>
      <c r="G173" s="9" t="n">
        <v>6742000000</v>
      </c>
      <c r="H173">
        <f>H172*(E173/E172)</f>
        <v/>
      </c>
    </row>
    <row r="174">
      <c r="A174" s="8" t="n">
        <v>37735</v>
      </c>
      <c r="B174" s="7" t="n">
        <v>2953.2</v>
      </c>
      <c r="C174" s="7" t="n">
        <v>3011.9</v>
      </c>
      <c r="D174" s="7" t="n">
        <v>2953.2</v>
      </c>
      <c r="E174" s="7" t="n">
        <v>3001.9</v>
      </c>
      <c r="F174" s="9" t="n">
        <v>1103700000</v>
      </c>
      <c r="G174" s="9" t="n">
        <v>6069200000</v>
      </c>
      <c r="H174">
        <f>H173*(E174/E173)</f>
        <v/>
      </c>
    </row>
    <row r="175">
      <c r="A175" s="8" t="n">
        <v>37743</v>
      </c>
      <c r="B175" s="7" t="n">
        <v>3001.9</v>
      </c>
      <c r="C175" s="7" t="n">
        <v>3023.7</v>
      </c>
      <c r="D175" s="7" t="n">
        <v>2969.6</v>
      </c>
      <c r="E175" s="7" t="n">
        <v>2975.4</v>
      </c>
      <c r="F175" s="9" t="n">
        <v>2043000000</v>
      </c>
      <c r="G175" s="9" t="n">
        <v>9848700000</v>
      </c>
      <c r="H175">
        <f>H174*(E175/E174)</f>
        <v/>
      </c>
    </row>
    <row r="176">
      <c r="A176" s="8" t="n">
        <v>37750</v>
      </c>
      <c r="B176" s="7" t="n">
        <v>2975.4</v>
      </c>
      <c r="C176" s="7" t="n">
        <v>2990.1</v>
      </c>
      <c r="D176" s="7" t="n">
        <v>2936.3</v>
      </c>
      <c r="E176" s="7" t="n">
        <v>2956</v>
      </c>
      <c r="F176" s="9" t="n">
        <v>2201200000</v>
      </c>
      <c r="G176" s="9" t="n">
        <v>10971900000</v>
      </c>
      <c r="H176">
        <f>H175*(E176/E175)</f>
        <v/>
      </c>
    </row>
    <row r="177">
      <c r="A177" s="8" t="n">
        <v>37757</v>
      </c>
      <c r="B177" s="7" t="n">
        <v>2956.1</v>
      </c>
      <c r="C177" s="7" t="n">
        <v>2994.6</v>
      </c>
      <c r="D177" s="7" t="n">
        <v>2942.6</v>
      </c>
      <c r="E177" s="7" t="n">
        <v>2951.3</v>
      </c>
      <c r="F177" s="9" t="n">
        <v>2207400000</v>
      </c>
      <c r="G177" s="9" t="n">
        <v>9786600000</v>
      </c>
      <c r="H177">
        <f>H176*(E177/E176)</f>
        <v/>
      </c>
    </row>
    <row r="178">
      <c r="A178" s="8" t="n">
        <v>37764</v>
      </c>
      <c r="B178" s="7" t="n">
        <v>2951.3</v>
      </c>
      <c r="C178" s="7" t="n">
        <v>3004.3</v>
      </c>
      <c r="D178" s="7" t="n">
        <v>2917.9</v>
      </c>
      <c r="E178" s="7" t="n">
        <v>2997.3</v>
      </c>
      <c r="F178" s="9" t="n">
        <v>2298100000</v>
      </c>
      <c r="G178" s="9" t="n">
        <v>9616300000</v>
      </c>
      <c r="H178">
        <f>H177*(E178/E177)</f>
        <v/>
      </c>
    </row>
    <row r="179">
      <c r="A179" s="8" t="n">
        <v>37771</v>
      </c>
      <c r="B179" s="7" t="n">
        <v>2997.7</v>
      </c>
      <c r="C179" s="7" t="n">
        <v>3026.1</v>
      </c>
      <c r="D179" s="7" t="n">
        <v>2981.2</v>
      </c>
      <c r="E179" s="7" t="n">
        <v>3011</v>
      </c>
      <c r="F179" s="9" t="n">
        <v>2722400000</v>
      </c>
      <c r="G179" s="9" t="n">
        <v>11736600000</v>
      </c>
      <c r="H179">
        <f>H178*(E179/E178)</f>
        <v/>
      </c>
    </row>
    <row r="180">
      <c r="A180" s="8" t="n">
        <v>37778</v>
      </c>
      <c r="B180" s="7" t="n">
        <v>3011</v>
      </c>
      <c r="C180" s="7" t="n">
        <v>3056.6</v>
      </c>
      <c r="D180" s="7" t="n">
        <v>3011</v>
      </c>
      <c r="E180" s="7" t="n">
        <v>3048.9</v>
      </c>
      <c r="F180" s="9" t="n">
        <v>2226500000</v>
      </c>
      <c r="G180" s="9" t="n">
        <v>10543300000</v>
      </c>
      <c r="H180">
        <f>H179*(E180/E179)</f>
        <v/>
      </c>
    </row>
    <row r="181">
      <c r="A181" s="8" t="n">
        <v>37785</v>
      </c>
      <c r="B181" s="7" t="n">
        <v>3048.9</v>
      </c>
      <c r="C181" s="7" t="n">
        <v>3092.9</v>
      </c>
      <c r="D181" s="7" t="n">
        <v>3040.2</v>
      </c>
      <c r="E181" s="7" t="n">
        <v>3087.6</v>
      </c>
      <c r="F181" s="9" t="n">
        <v>2506300000</v>
      </c>
      <c r="G181" s="9" t="n">
        <v>10053800000</v>
      </c>
      <c r="H181">
        <f>H180*(E181/E180)</f>
        <v/>
      </c>
    </row>
    <row r="182">
      <c r="A182" s="8" t="n">
        <v>37792</v>
      </c>
      <c r="B182" s="7" t="n">
        <v>3087.6</v>
      </c>
      <c r="C182" s="7" t="n">
        <v>3124.6</v>
      </c>
      <c r="D182" s="7" t="n">
        <v>3070.8</v>
      </c>
      <c r="E182" s="7" t="n">
        <v>3089.5</v>
      </c>
      <c r="F182" s="9" t="n">
        <v>2785400000</v>
      </c>
      <c r="G182" s="9" t="n">
        <v>13673200000</v>
      </c>
      <c r="H182">
        <f>H181*(E182/E181)</f>
        <v/>
      </c>
    </row>
    <row r="183">
      <c r="A183" s="8" t="n">
        <v>37799</v>
      </c>
      <c r="B183" s="7" t="n">
        <v>3089.5</v>
      </c>
      <c r="C183" s="7" t="n">
        <v>3107.3</v>
      </c>
      <c r="D183" s="7" t="n">
        <v>3022</v>
      </c>
      <c r="E183" s="7" t="n">
        <v>3048.8</v>
      </c>
      <c r="F183" s="9" t="n">
        <v>2293500000</v>
      </c>
      <c r="G183" s="9" t="n">
        <v>11616400000</v>
      </c>
      <c r="H183">
        <f>H182*(E183/E182)</f>
        <v/>
      </c>
    </row>
    <row r="184">
      <c r="A184" s="8" t="n">
        <v>37806</v>
      </c>
      <c r="B184" s="7" t="n">
        <v>3048.8</v>
      </c>
      <c r="C184" s="7" t="n">
        <v>3052.1</v>
      </c>
      <c r="D184" s="7" t="n">
        <v>3003.8</v>
      </c>
      <c r="E184" s="7" t="n">
        <v>3028.4</v>
      </c>
      <c r="F184" s="9" t="n">
        <v>1991800000</v>
      </c>
      <c r="G184" s="9" t="n">
        <v>9991600000</v>
      </c>
      <c r="H184">
        <f>H183*(E184/E183)</f>
        <v/>
      </c>
    </row>
    <row r="185">
      <c r="A185" s="8" t="n">
        <v>37813</v>
      </c>
      <c r="B185" s="7" t="n">
        <v>3028.4</v>
      </c>
      <c r="C185" s="7" t="n">
        <v>3063.7</v>
      </c>
      <c r="D185" s="7" t="n">
        <v>3021.5</v>
      </c>
      <c r="E185" s="7" t="n">
        <v>3043.8</v>
      </c>
      <c r="F185" s="9" t="n">
        <v>2201100000</v>
      </c>
      <c r="G185" s="9" t="n">
        <v>10576800000</v>
      </c>
      <c r="H185">
        <f>H184*(E185/E184)</f>
        <v/>
      </c>
    </row>
    <row r="186">
      <c r="A186" s="8" t="n">
        <v>37820</v>
      </c>
      <c r="B186" s="7" t="n">
        <v>3043.8</v>
      </c>
      <c r="C186" s="7" t="n">
        <v>3095.3</v>
      </c>
      <c r="D186" s="7" t="n">
        <v>3043.7</v>
      </c>
      <c r="E186" s="7" t="n">
        <v>3083.6</v>
      </c>
      <c r="F186" s="9" t="n">
        <v>1945000000</v>
      </c>
      <c r="G186" s="9" t="n">
        <v>9468800000</v>
      </c>
      <c r="H186">
        <f>H185*(E186/E185)</f>
        <v/>
      </c>
    </row>
    <row r="187">
      <c r="A187" s="8" t="n">
        <v>37827</v>
      </c>
      <c r="B187" s="7" t="n">
        <v>3083.6</v>
      </c>
      <c r="C187" s="7" t="n">
        <v>3102.6</v>
      </c>
      <c r="D187" s="7" t="n">
        <v>3058.9</v>
      </c>
      <c r="E187" s="7" t="n">
        <v>3098.6</v>
      </c>
      <c r="F187" s="9" t="n">
        <v>1900100000</v>
      </c>
      <c r="G187" s="9" t="n">
        <v>10319600000</v>
      </c>
      <c r="H187">
        <f>H186*(E187/E186)</f>
        <v/>
      </c>
    </row>
    <row r="188">
      <c r="A188" s="8" t="n">
        <v>37834</v>
      </c>
      <c r="B188" s="7" t="n">
        <v>3098.6</v>
      </c>
      <c r="C188" s="7" t="n">
        <v>3141.6</v>
      </c>
      <c r="D188" s="7" t="n">
        <v>3083.5</v>
      </c>
      <c r="E188" s="7" t="n">
        <v>3140.3</v>
      </c>
      <c r="F188" s="9" t="n">
        <v>2173000000</v>
      </c>
      <c r="G188" s="9" t="n">
        <v>10500800000</v>
      </c>
      <c r="H188">
        <f>H187*(E188/E187)</f>
        <v/>
      </c>
    </row>
    <row r="189">
      <c r="A189" s="8" t="n">
        <v>37841</v>
      </c>
      <c r="B189" s="7" t="n">
        <v>3140.3</v>
      </c>
      <c r="C189" s="7" t="n">
        <v>3157.7</v>
      </c>
      <c r="D189" s="7" t="n">
        <v>3120.1</v>
      </c>
      <c r="E189" s="7" t="n">
        <v>3149.4</v>
      </c>
      <c r="F189" s="9" t="n">
        <v>1724600000</v>
      </c>
      <c r="G189" s="9" t="n">
        <v>8400700000</v>
      </c>
      <c r="H189">
        <f>H188*(E189/E188)</f>
        <v/>
      </c>
    </row>
    <row r="190">
      <c r="A190" s="8" t="n">
        <v>37848</v>
      </c>
      <c r="B190" s="7" t="n">
        <v>3149.4</v>
      </c>
      <c r="C190" s="7" t="n">
        <v>3164.4</v>
      </c>
      <c r="D190" s="7" t="n">
        <v>3141.6</v>
      </c>
      <c r="E190" s="7" t="n">
        <v>3148</v>
      </c>
      <c r="F190" s="9" t="n">
        <v>2019800000</v>
      </c>
      <c r="G190" s="9" t="n">
        <v>9874900000</v>
      </c>
      <c r="H190">
        <f>H189*(E190/E189)</f>
        <v/>
      </c>
    </row>
    <row r="191">
      <c r="A191" s="8" t="n">
        <v>37855</v>
      </c>
      <c r="B191" s="7" t="n">
        <v>3148</v>
      </c>
      <c r="C191" s="7" t="n">
        <v>3185.8</v>
      </c>
      <c r="D191" s="7" t="n">
        <v>3148</v>
      </c>
      <c r="E191" s="7" t="n">
        <v>3184.4</v>
      </c>
      <c r="F191" s="9" t="n">
        <v>2210900000</v>
      </c>
      <c r="G191" s="9" t="n">
        <v>11385000000</v>
      </c>
      <c r="H191">
        <f>H190*(E191/E190)</f>
        <v/>
      </c>
    </row>
    <row r="192">
      <c r="A192" s="8" t="n">
        <v>37862</v>
      </c>
      <c r="B192" s="7" t="n">
        <v>3184.4</v>
      </c>
      <c r="C192" s="7" t="n">
        <v>3210.7</v>
      </c>
      <c r="D192" s="7" t="n">
        <v>3161.8</v>
      </c>
      <c r="E192" s="7" t="n">
        <v>3199.7</v>
      </c>
      <c r="F192" s="9" t="n">
        <v>2811100000</v>
      </c>
      <c r="G192" s="9" t="n">
        <v>15814200000</v>
      </c>
      <c r="H192">
        <f>H191*(E192/E191)</f>
        <v/>
      </c>
    </row>
    <row r="193">
      <c r="A193" s="8" t="n">
        <v>37869</v>
      </c>
      <c r="B193" s="7" t="n">
        <v>3199.7</v>
      </c>
      <c r="C193" s="7" t="n">
        <v>3237.4</v>
      </c>
      <c r="D193" s="7" t="n">
        <v>3199.7</v>
      </c>
      <c r="E193" s="7" t="n">
        <v>3213.8</v>
      </c>
      <c r="F193" s="9" t="n">
        <v>2664700000</v>
      </c>
      <c r="G193" s="9" t="n">
        <v>12687200000</v>
      </c>
      <c r="H193">
        <f>H192*(E193/E192)</f>
        <v/>
      </c>
    </row>
    <row r="194">
      <c r="A194" s="8" t="n">
        <v>37876</v>
      </c>
      <c r="B194" s="7" t="n">
        <v>3213.8</v>
      </c>
      <c r="C194" s="7" t="n">
        <v>3247.4</v>
      </c>
      <c r="D194" s="7" t="n">
        <v>3189.2</v>
      </c>
      <c r="E194" s="7" t="n">
        <v>3192.5</v>
      </c>
      <c r="F194" s="9" t="n">
        <v>2094200000</v>
      </c>
      <c r="G194" s="9" t="n">
        <v>9977600000</v>
      </c>
      <c r="H194">
        <f>H193*(E194/E193)</f>
        <v/>
      </c>
    </row>
    <row r="195">
      <c r="A195" s="8" t="n">
        <v>37883</v>
      </c>
      <c r="B195" s="7" t="n">
        <v>3192.5</v>
      </c>
      <c r="C195" s="7" t="n">
        <v>3247.1</v>
      </c>
      <c r="D195" s="7" t="n">
        <v>3183.2</v>
      </c>
      <c r="E195" s="7" t="n">
        <v>3218.1</v>
      </c>
      <c r="F195" s="9" t="n">
        <v>2212800000</v>
      </c>
      <c r="G195" s="9" t="n">
        <v>11573800000</v>
      </c>
      <c r="H195">
        <f>H194*(E195/E194)</f>
        <v/>
      </c>
    </row>
    <row r="196">
      <c r="A196" s="8" t="n">
        <v>37890</v>
      </c>
      <c r="B196" s="7" t="n">
        <v>3218.1</v>
      </c>
      <c r="C196" s="7" t="n">
        <v>3220</v>
      </c>
      <c r="D196" s="7" t="n">
        <v>3163.4</v>
      </c>
      <c r="E196" s="7" t="n">
        <v>3171.5</v>
      </c>
      <c r="F196" s="9" t="n">
        <v>2348300000</v>
      </c>
      <c r="G196" s="9" t="n">
        <v>13261500000</v>
      </c>
      <c r="H196">
        <f>H195*(E196/E195)</f>
        <v/>
      </c>
    </row>
    <row r="197">
      <c r="A197" s="8" t="n">
        <v>37897</v>
      </c>
      <c r="B197" s="7" t="n">
        <v>3171.5</v>
      </c>
      <c r="C197" s="7" t="n">
        <v>3206.8</v>
      </c>
      <c r="D197" s="7" t="n">
        <v>3153</v>
      </c>
      <c r="E197" s="7" t="n">
        <v>3203.3</v>
      </c>
      <c r="F197" s="9" t="n">
        <v>2258000000</v>
      </c>
      <c r="G197" s="9" t="n">
        <v>11282300000</v>
      </c>
      <c r="H197">
        <f>H196*(E197/E196)</f>
        <v/>
      </c>
    </row>
    <row r="198">
      <c r="A198" s="8" t="n">
        <v>37904</v>
      </c>
      <c r="B198" s="7" t="n">
        <v>3203.3</v>
      </c>
      <c r="C198" s="7" t="n">
        <v>3267.8</v>
      </c>
      <c r="D198" s="7" t="n">
        <v>3203.3</v>
      </c>
      <c r="E198" s="7" t="n">
        <v>3260.2</v>
      </c>
      <c r="F198" s="9" t="n">
        <v>1686000000</v>
      </c>
      <c r="G198" s="9" t="n">
        <v>9359200000</v>
      </c>
      <c r="H198">
        <f>H197*(E198/E197)</f>
        <v/>
      </c>
    </row>
    <row r="199">
      <c r="A199" s="8" t="n">
        <v>37911</v>
      </c>
      <c r="B199" s="7" t="n">
        <v>3260.2</v>
      </c>
      <c r="C199" s="7" t="n">
        <v>3299.7</v>
      </c>
      <c r="D199" s="7" t="n">
        <v>3260.2</v>
      </c>
      <c r="E199" s="7" t="n">
        <v>3294.3</v>
      </c>
      <c r="F199" s="9" t="n">
        <v>2003400000</v>
      </c>
      <c r="G199" s="9" t="n">
        <v>11211500000</v>
      </c>
      <c r="H199">
        <f>H198*(E199/E198)</f>
        <v/>
      </c>
    </row>
    <row r="200">
      <c r="A200" s="8" t="n">
        <v>37918</v>
      </c>
      <c r="B200" s="7" t="n">
        <v>3294.3</v>
      </c>
      <c r="C200" s="7" t="n">
        <v>3311.8</v>
      </c>
      <c r="D200" s="7" t="n">
        <v>3254.3</v>
      </c>
      <c r="E200" s="7" t="n">
        <v>3256.3</v>
      </c>
      <c r="F200" s="9" t="n">
        <v>1889800000</v>
      </c>
      <c r="G200" s="9" t="n">
        <v>10051700000</v>
      </c>
      <c r="H200">
        <f>H199*(E200/E199)</f>
        <v/>
      </c>
    </row>
    <row r="201">
      <c r="A201" s="8" t="n">
        <v>37925</v>
      </c>
      <c r="B201" s="7" t="n">
        <v>3256.3</v>
      </c>
      <c r="C201" s="7" t="n">
        <v>3286.6</v>
      </c>
      <c r="D201" s="7" t="n">
        <v>3240.5</v>
      </c>
      <c r="E201" s="7" t="n">
        <v>3272</v>
      </c>
      <c r="F201" s="9" t="n">
        <v>1960300000</v>
      </c>
      <c r="G201" s="9" t="n">
        <v>12171100000</v>
      </c>
      <c r="H201">
        <f>H200*(E201/E200)</f>
        <v/>
      </c>
    </row>
    <row r="202">
      <c r="A202" s="8" t="n">
        <v>37932</v>
      </c>
      <c r="B202" s="7" t="n">
        <v>3272</v>
      </c>
      <c r="C202" s="7" t="n">
        <v>3276.3</v>
      </c>
      <c r="D202" s="7" t="n">
        <v>3226.4</v>
      </c>
      <c r="E202" s="7" t="n">
        <v>3248.5</v>
      </c>
      <c r="F202" s="9" t="n">
        <v>1918400000</v>
      </c>
      <c r="G202" s="9" t="n">
        <v>10134300000</v>
      </c>
      <c r="H202">
        <f>H201*(E202/E201)</f>
        <v/>
      </c>
    </row>
    <row r="203">
      <c r="A203" s="8" t="n">
        <v>37939</v>
      </c>
      <c r="B203" s="7" t="n">
        <v>3248.5</v>
      </c>
      <c r="C203" s="7" t="n">
        <v>3248.5</v>
      </c>
      <c r="D203" s="7" t="n">
        <v>3195</v>
      </c>
      <c r="E203" s="7" t="n">
        <v>3201.8</v>
      </c>
      <c r="F203" s="9" t="n">
        <v>2217600000</v>
      </c>
      <c r="G203" s="9" t="n">
        <v>11729800000</v>
      </c>
      <c r="H203">
        <f>H202*(E203/E202)</f>
        <v/>
      </c>
    </row>
    <row r="204">
      <c r="A204" s="8" t="n">
        <v>37946</v>
      </c>
      <c r="B204" s="7" t="n">
        <v>3201.8</v>
      </c>
      <c r="C204" s="7" t="n">
        <v>3201.8</v>
      </c>
      <c r="D204" s="7" t="n">
        <v>3158.8</v>
      </c>
      <c r="E204" s="7" t="n">
        <v>3169.1</v>
      </c>
      <c r="F204" s="9" t="n">
        <v>1964600000</v>
      </c>
      <c r="G204" s="9" t="n">
        <v>10409700000</v>
      </c>
      <c r="H204">
        <f>H203*(E204/E203)</f>
        <v/>
      </c>
    </row>
    <row r="205">
      <c r="A205" s="8" t="n">
        <v>37953</v>
      </c>
      <c r="B205" s="7" t="n">
        <v>3169.1</v>
      </c>
      <c r="C205" s="7" t="n">
        <v>3201.4</v>
      </c>
      <c r="D205" s="7" t="n">
        <v>3167</v>
      </c>
      <c r="E205" s="7" t="n">
        <v>3186.4</v>
      </c>
      <c r="F205" s="9" t="n">
        <v>1611500000</v>
      </c>
      <c r="G205" s="9" t="n">
        <v>9350199000</v>
      </c>
      <c r="H205">
        <f>H204*(E205/E204)</f>
        <v/>
      </c>
    </row>
    <row r="206">
      <c r="A206" s="8" t="n">
        <v>37960</v>
      </c>
      <c r="B206" s="7" t="n">
        <v>3186.4</v>
      </c>
      <c r="C206" s="7" t="n">
        <v>3234.7</v>
      </c>
      <c r="D206" s="7" t="n">
        <v>3162.5</v>
      </c>
      <c r="E206" s="7" t="n">
        <v>3229.8</v>
      </c>
      <c r="F206" s="9" t="n">
        <v>1676100000</v>
      </c>
      <c r="G206" s="9" t="n">
        <v>9782700000</v>
      </c>
      <c r="H206">
        <f>H205*(E206/E205)</f>
        <v/>
      </c>
    </row>
    <row r="207">
      <c r="A207" s="8" t="n">
        <v>37967</v>
      </c>
      <c r="B207" s="7" t="n">
        <v>3229.8</v>
      </c>
      <c r="C207" s="7" t="n">
        <v>3243.9</v>
      </c>
      <c r="D207" s="7" t="n">
        <v>3186.2</v>
      </c>
      <c r="E207" s="7" t="n">
        <v>3212.7</v>
      </c>
      <c r="F207" s="9" t="n">
        <v>1817900000</v>
      </c>
      <c r="G207" s="9" t="n">
        <v>9405900000</v>
      </c>
      <c r="H207">
        <f>H206*(E207/E206)</f>
        <v/>
      </c>
    </row>
    <row r="208">
      <c r="A208" s="8" t="n">
        <v>37974</v>
      </c>
      <c r="B208" s="7" t="n">
        <v>3212.7</v>
      </c>
      <c r="C208" s="7" t="n">
        <v>3249.7</v>
      </c>
      <c r="D208" s="7" t="n">
        <v>3212.7</v>
      </c>
      <c r="E208" s="7" t="n">
        <v>3232.8</v>
      </c>
      <c r="F208" s="9" t="n">
        <v>2478900000</v>
      </c>
      <c r="G208" s="9" t="n">
        <v>14161300000</v>
      </c>
      <c r="H208">
        <f>H207*(E208/E207)</f>
        <v/>
      </c>
    </row>
    <row r="209">
      <c r="A209" s="8" t="n">
        <v>37979</v>
      </c>
      <c r="B209" s="7" t="n">
        <v>3232.8</v>
      </c>
      <c r="C209" s="7" t="n">
        <v>3267</v>
      </c>
      <c r="D209" s="7" t="n">
        <v>3232.8</v>
      </c>
      <c r="E209" s="7" t="n">
        <v>3265.6</v>
      </c>
      <c r="F209" s="9" t="n">
        <v>1055000000</v>
      </c>
      <c r="G209" s="9" t="n">
        <v>3505800000</v>
      </c>
      <c r="H209">
        <f>H208*(E209/E208)</f>
        <v/>
      </c>
    </row>
    <row r="210">
      <c r="A210" s="8" t="n">
        <v>37988</v>
      </c>
      <c r="B210" s="7" t="n">
        <v>3265.6</v>
      </c>
      <c r="C210" s="7" t="n">
        <v>3302.7</v>
      </c>
      <c r="D210" s="7" t="n">
        <v>3265.6</v>
      </c>
      <c r="E210" s="7" t="n">
        <v>3300.7</v>
      </c>
      <c r="F210" s="9" t="n">
        <v>601400000</v>
      </c>
      <c r="G210" s="9" t="n">
        <v>2838300000</v>
      </c>
      <c r="H210">
        <f>H209*(E210/E209)</f>
        <v/>
      </c>
    </row>
    <row r="211">
      <c r="A211" s="8" t="n">
        <v>37995</v>
      </c>
      <c r="B211" s="7" t="n">
        <v>3300.7</v>
      </c>
      <c r="C211" s="7" t="n">
        <v>3323.2</v>
      </c>
      <c r="D211" s="7" t="n">
        <v>3283.2</v>
      </c>
      <c r="E211" s="7" t="n">
        <v>3301.6</v>
      </c>
      <c r="F211" s="9" t="n">
        <v>1713400000</v>
      </c>
      <c r="G211" s="9" t="n">
        <v>9396799000</v>
      </c>
      <c r="H211">
        <f>H210*(E211/E210)</f>
        <v/>
      </c>
    </row>
    <row r="212">
      <c r="A212" s="8" t="n">
        <v>38002</v>
      </c>
      <c r="B212" s="7" t="n">
        <v>3301.6</v>
      </c>
      <c r="C212" s="7" t="n">
        <v>3316.9</v>
      </c>
      <c r="D212" s="7" t="n">
        <v>3285.5</v>
      </c>
      <c r="E212" s="7" t="n">
        <v>3288.8</v>
      </c>
      <c r="F212" s="9" t="n">
        <v>2150600000</v>
      </c>
      <c r="G212" s="9" t="n">
        <v>12150600000</v>
      </c>
      <c r="H212">
        <f>H211*(E212/E211)</f>
        <v/>
      </c>
    </row>
    <row r="213">
      <c r="A213" s="8" t="n">
        <v>38009</v>
      </c>
      <c r="B213" s="7" t="n">
        <v>3288.8</v>
      </c>
      <c r="C213" s="7" t="n">
        <v>3336.6</v>
      </c>
      <c r="D213" s="7" t="n">
        <v>3288.8</v>
      </c>
      <c r="E213" s="7" t="n">
        <v>3334.7</v>
      </c>
      <c r="F213" s="9" t="n">
        <v>1983100000</v>
      </c>
      <c r="G213" s="9" t="n">
        <v>10948900000</v>
      </c>
      <c r="H213">
        <f>H212*(E213/E212)</f>
        <v/>
      </c>
    </row>
    <row r="214">
      <c r="A214" s="8" t="n">
        <v>38016</v>
      </c>
      <c r="B214" s="7" t="n">
        <v>3334.7</v>
      </c>
      <c r="C214" s="7" t="n">
        <v>3346.2</v>
      </c>
      <c r="D214" s="7" t="n">
        <v>3258.3</v>
      </c>
      <c r="E214" s="7" t="n">
        <v>3272</v>
      </c>
      <c r="F214" s="9" t="n">
        <v>2165800000</v>
      </c>
      <c r="G214" s="9" t="n">
        <v>13274300000</v>
      </c>
      <c r="H214">
        <f>H213*(E214/E213)</f>
        <v/>
      </c>
    </row>
    <row r="215">
      <c r="A215" s="8" t="n">
        <v>38023</v>
      </c>
      <c r="B215" s="7" t="n">
        <v>3272</v>
      </c>
      <c r="C215" s="7" t="n">
        <v>3285.8</v>
      </c>
      <c r="D215" s="7" t="n">
        <v>3252.9</v>
      </c>
      <c r="E215" s="7" t="n">
        <v>3272.2</v>
      </c>
      <c r="F215" s="9" t="n">
        <v>1922600000</v>
      </c>
      <c r="G215" s="9" t="n">
        <v>10329100000</v>
      </c>
      <c r="H215">
        <f>H214*(E215/E214)</f>
        <v/>
      </c>
    </row>
    <row r="216">
      <c r="A216" s="8" t="n">
        <v>38030</v>
      </c>
      <c r="B216" s="7" t="n">
        <v>3272.2</v>
      </c>
      <c r="C216" s="7" t="n">
        <v>3337.5</v>
      </c>
      <c r="D216" s="7" t="n">
        <v>3272.2</v>
      </c>
      <c r="E216" s="7" t="n">
        <v>3333.7</v>
      </c>
      <c r="F216" s="9" t="n">
        <v>2141500000</v>
      </c>
      <c r="G216" s="9" t="n">
        <v>11595400000</v>
      </c>
      <c r="H216">
        <f>H215*(E216/E215)</f>
        <v/>
      </c>
    </row>
    <row r="217">
      <c r="A217" s="8" t="n">
        <v>38037</v>
      </c>
      <c r="B217" s="7" t="n">
        <v>3333.7</v>
      </c>
      <c r="C217" s="7" t="n">
        <v>3357.3</v>
      </c>
      <c r="D217" s="7" t="n">
        <v>3316.9</v>
      </c>
      <c r="E217" s="7" t="n">
        <v>3344.1</v>
      </c>
      <c r="F217" s="9" t="n">
        <v>1876900000</v>
      </c>
      <c r="G217" s="9" t="n">
        <v>10252400000</v>
      </c>
      <c r="H217">
        <f>H216*(E217/E216)</f>
        <v/>
      </c>
    </row>
    <row r="218">
      <c r="A218" s="8" t="n">
        <v>38044</v>
      </c>
      <c r="B218" s="7" t="n">
        <v>3344.1</v>
      </c>
      <c r="C218" s="7" t="n">
        <v>3360.9</v>
      </c>
      <c r="D218" s="7" t="n">
        <v>3320.9</v>
      </c>
      <c r="E218" s="7" t="n">
        <v>3360.6</v>
      </c>
      <c r="F218" s="9" t="n">
        <v>2329200000</v>
      </c>
      <c r="G218" s="9" t="n">
        <v>12293200000</v>
      </c>
      <c r="H218">
        <f>H217*(E218/E217)</f>
        <v/>
      </c>
    </row>
    <row r="219">
      <c r="A219" s="8" t="n">
        <v>38051</v>
      </c>
      <c r="B219" s="7" t="n">
        <v>3360.6</v>
      </c>
      <c r="C219" s="7" t="n">
        <v>3407.5</v>
      </c>
      <c r="D219" s="7" t="n">
        <v>3360.6</v>
      </c>
      <c r="E219" s="7" t="n">
        <v>3407.5</v>
      </c>
      <c r="F219" s="9" t="n">
        <v>2325200000</v>
      </c>
      <c r="G219" s="9" t="n">
        <v>11726700000</v>
      </c>
      <c r="H219">
        <f>H218*(E219/E218)</f>
        <v/>
      </c>
    </row>
    <row r="220">
      <c r="A220" s="8" t="n">
        <v>38058</v>
      </c>
      <c r="B220" s="7" t="n">
        <v>3407.5</v>
      </c>
      <c r="C220" s="7" t="n">
        <v>3429.3</v>
      </c>
      <c r="D220" s="7" t="n">
        <v>3391.1</v>
      </c>
      <c r="E220" s="7" t="n">
        <v>3402.3</v>
      </c>
      <c r="F220" s="9" t="n">
        <v>2381600000</v>
      </c>
      <c r="G220" s="9" t="n">
        <v>12869300000</v>
      </c>
      <c r="H220">
        <f>H219*(E220/E219)</f>
        <v/>
      </c>
    </row>
    <row r="221">
      <c r="A221" s="8" t="n">
        <v>38065</v>
      </c>
      <c r="B221" s="7" t="n">
        <v>3402.3</v>
      </c>
      <c r="C221" s="7" t="n">
        <v>3456.1</v>
      </c>
      <c r="D221" s="7" t="n">
        <v>3395</v>
      </c>
      <c r="E221" s="7" t="n">
        <v>3435.3</v>
      </c>
      <c r="F221" s="9" t="n">
        <v>2381200000</v>
      </c>
      <c r="G221" s="9" t="n">
        <v>12136900000</v>
      </c>
      <c r="H221">
        <f>H220*(E221/E220)</f>
        <v/>
      </c>
    </row>
    <row r="222">
      <c r="A222" s="8" t="n">
        <v>38072</v>
      </c>
      <c r="B222" s="7" t="n">
        <v>3435.3</v>
      </c>
      <c r="C222" s="7" t="n">
        <v>3435.7</v>
      </c>
      <c r="D222" s="7" t="n">
        <v>3376.3</v>
      </c>
      <c r="E222" s="7" t="n">
        <v>3428.5</v>
      </c>
      <c r="F222" s="9" t="n">
        <v>2464100000</v>
      </c>
      <c r="G222" s="9" t="n">
        <v>13794400000</v>
      </c>
      <c r="H222">
        <f>H221*(E222/E221)</f>
        <v/>
      </c>
    </row>
    <row r="223">
      <c r="A223" s="8" t="n">
        <v>38079</v>
      </c>
      <c r="B223" s="7" t="n">
        <v>3428.5</v>
      </c>
      <c r="C223" s="7" t="n">
        <v>3447.6</v>
      </c>
      <c r="D223" s="7" t="n">
        <v>3409.5</v>
      </c>
      <c r="E223" s="7" t="n">
        <v>3438.6</v>
      </c>
      <c r="F223" s="9" t="n">
        <v>2278700000</v>
      </c>
      <c r="G223" s="9" t="n">
        <v>11447700000</v>
      </c>
      <c r="H223">
        <f>H222*(E223/E222)</f>
        <v/>
      </c>
    </row>
    <row r="224">
      <c r="A224" s="8" t="n">
        <v>38085</v>
      </c>
      <c r="B224" s="7" t="n">
        <v>3438.6</v>
      </c>
      <c r="C224" s="7" t="n">
        <v>3469.2</v>
      </c>
      <c r="D224" s="7" t="n">
        <v>3438.6</v>
      </c>
      <c r="E224" s="7" t="n">
        <v>3450.6</v>
      </c>
      <c r="F224" s="9" t="n">
        <v>1601100000</v>
      </c>
      <c r="G224" s="9" t="n">
        <v>9456600000</v>
      </c>
      <c r="H224">
        <f>H223*(E224/E223)</f>
        <v/>
      </c>
    </row>
    <row r="225">
      <c r="A225" s="8" t="n">
        <v>38093</v>
      </c>
      <c r="B225" s="7" t="n">
        <v>3450.6</v>
      </c>
      <c r="C225" s="7" t="n">
        <v>3456.4</v>
      </c>
      <c r="D225" s="7" t="n">
        <v>3408.5</v>
      </c>
      <c r="E225" s="7" t="n">
        <v>3417.3</v>
      </c>
      <c r="F225" s="9" t="n">
        <v>1634500000</v>
      </c>
      <c r="G225" s="9" t="n">
        <v>8906600000</v>
      </c>
      <c r="H225">
        <f>H224*(E225/E224)</f>
        <v/>
      </c>
    </row>
    <row r="226">
      <c r="A226" s="8" t="n">
        <v>38100</v>
      </c>
      <c r="B226" s="7" t="n">
        <v>3417.3</v>
      </c>
      <c r="C226" s="7" t="n">
        <v>3468</v>
      </c>
      <c r="D226" s="7" t="n">
        <v>3417.3</v>
      </c>
      <c r="E226" s="7" t="n">
        <v>3457</v>
      </c>
      <c r="F226" s="9" t="n">
        <v>2241900000</v>
      </c>
      <c r="G226" s="9" t="n">
        <v>12512000000</v>
      </c>
      <c r="H226">
        <f>H225*(E226/E225)</f>
        <v/>
      </c>
    </row>
    <row r="227">
      <c r="A227" s="8" t="n">
        <v>38107</v>
      </c>
      <c r="B227" s="7" t="n">
        <v>3457.4</v>
      </c>
      <c r="C227" s="7" t="n">
        <v>3460.4</v>
      </c>
      <c r="D227" s="7" t="n">
        <v>3378.6</v>
      </c>
      <c r="E227" s="7" t="n">
        <v>3400.8</v>
      </c>
      <c r="F227" s="9" t="n">
        <v>2293900000</v>
      </c>
      <c r="G227" s="9" t="n">
        <v>12873300000</v>
      </c>
      <c r="H227">
        <f>H226*(E227/E226)</f>
        <v/>
      </c>
    </row>
    <row r="228">
      <c r="A228" s="8" t="n">
        <v>38114</v>
      </c>
      <c r="B228" s="7" t="n">
        <v>3400.8</v>
      </c>
      <c r="C228" s="7" t="n">
        <v>3412.6</v>
      </c>
      <c r="D228" s="7" t="n">
        <v>3376.7</v>
      </c>
      <c r="E228" s="7" t="n">
        <v>3393.2</v>
      </c>
      <c r="F228" s="9" t="n">
        <v>2365900000</v>
      </c>
      <c r="G228" s="9" t="n">
        <v>11792200000</v>
      </c>
      <c r="H228">
        <f>H227*(E228/E227)</f>
        <v/>
      </c>
    </row>
    <row r="229">
      <c r="A229" s="8" t="n">
        <v>38121</v>
      </c>
      <c r="B229" s="7" t="n">
        <v>3393.2</v>
      </c>
      <c r="C229" s="7" t="n">
        <v>3393.2</v>
      </c>
      <c r="D229" s="7" t="n">
        <v>3341</v>
      </c>
      <c r="E229" s="7" t="n">
        <v>3359.5</v>
      </c>
      <c r="F229" s="9" t="n">
        <v>2216800000</v>
      </c>
      <c r="G229" s="9" t="n">
        <v>12122800000</v>
      </c>
      <c r="H229">
        <f>H228*(E229/E228)</f>
        <v/>
      </c>
    </row>
    <row r="230">
      <c r="A230" s="8" t="n">
        <v>38128</v>
      </c>
      <c r="B230" s="7" t="n">
        <v>3359.5</v>
      </c>
      <c r="C230" s="7" t="n">
        <v>3397.9</v>
      </c>
      <c r="D230" s="7" t="n">
        <v>3343.4</v>
      </c>
      <c r="E230" s="7" t="n">
        <v>3395.4</v>
      </c>
      <c r="F230" s="9" t="n">
        <v>2007500000</v>
      </c>
      <c r="G230" s="9" t="n">
        <v>10821500000</v>
      </c>
      <c r="H230">
        <f>H229*(E230/E229)</f>
        <v/>
      </c>
    </row>
    <row r="231">
      <c r="A231" s="8" t="n">
        <v>38135</v>
      </c>
      <c r="B231" s="7" t="n">
        <v>3395.4</v>
      </c>
      <c r="C231" s="7" t="n">
        <v>3467.6</v>
      </c>
      <c r="D231" s="7" t="n">
        <v>3390.8</v>
      </c>
      <c r="E231" s="7" t="n">
        <v>3450.4</v>
      </c>
      <c r="F231" s="9" t="n">
        <v>2562300000</v>
      </c>
      <c r="G231" s="9" t="n">
        <v>14169700000</v>
      </c>
      <c r="H231">
        <f>H230*(E231/E230)</f>
        <v/>
      </c>
    </row>
    <row r="232">
      <c r="A232" s="8" t="n">
        <v>38142</v>
      </c>
      <c r="B232" s="7" t="n">
        <v>3450.4</v>
      </c>
      <c r="C232" s="7" t="n">
        <v>3478</v>
      </c>
      <c r="D232" s="7" t="n">
        <v>3449.9</v>
      </c>
      <c r="E232" s="7" t="n">
        <v>3467.7</v>
      </c>
      <c r="F232" s="9" t="n">
        <v>1940800000</v>
      </c>
      <c r="G232" s="9" t="n">
        <v>10216900000</v>
      </c>
      <c r="H232">
        <f>H231*(E232/E231)</f>
        <v/>
      </c>
    </row>
    <row r="233">
      <c r="A233" s="8" t="n">
        <v>38149</v>
      </c>
      <c r="B233" s="7" t="n">
        <v>3467.7</v>
      </c>
      <c r="C233" s="7" t="n">
        <v>3501.6</v>
      </c>
      <c r="D233" s="7" t="n">
        <v>3458.7</v>
      </c>
      <c r="E233" s="7" t="n">
        <v>3478.2</v>
      </c>
      <c r="F233" s="9" t="n">
        <v>2187900000</v>
      </c>
      <c r="G233" s="9" t="n">
        <v>11612800000</v>
      </c>
      <c r="H233">
        <f>H232*(E233/E232)</f>
        <v/>
      </c>
    </row>
    <row r="234">
      <c r="A234" s="8" t="n">
        <v>38156</v>
      </c>
      <c r="B234" s="7" t="n">
        <v>3478.2</v>
      </c>
      <c r="C234" s="7" t="n">
        <v>3531.1</v>
      </c>
      <c r="D234" s="7" t="n">
        <v>3457.9</v>
      </c>
      <c r="E234" s="7" t="n">
        <v>3527.7</v>
      </c>
      <c r="F234" s="9" t="n">
        <v>2339200000</v>
      </c>
      <c r="G234" s="9" t="n">
        <v>12523500000</v>
      </c>
      <c r="H234">
        <f>H233*(E234/E233)</f>
        <v/>
      </c>
    </row>
    <row r="235">
      <c r="A235" s="8" t="n">
        <v>38163</v>
      </c>
      <c r="B235" s="7" t="n">
        <v>3527.7</v>
      </c>
      <c r="C235" s="7" t="n">
        <v>3556.4</v>
      </c>
      <c r="D235" s="7" t="n">
        <v>3527.7</v>
      </c>
      <c r="E235" s="7" t="n">
        <v>3529.2</v>
      </c>
      <c r="F235" s="9" t="n">
        <v>2879500000</v>
      </c>
      <c r="G235" s="9" t="n">
        <v>17533500000</v>
      </c>
      <c r="H235">
        <f>H234*(E235/E234)</f>
        <v/>
      </c>
    </row>
    <row r="236">
      <c r="A236" s="8" t="n">
        <v>38170</v>
      </c>
      <c r="B236" s="7" t="n">
        <v>3529.2</v>
      </c>
      <c r="C236" s="7" t="n">
        <v>3540.5</v>
      </c>
      <c r="D236" s="7" t="n">
        <v>3514.6</v>
      </c>
      <c r="E236" s="7" t="n">
        <v>3534.4</v>
      </c>
      <c r="F236" s="9" t="n">
        <v>2325700000</v>
      </c>
      <c r="G236" s="9" t="n">
        <v>11847800000</v>
      </c>
      <c r="H236">
        <f>H235*(E236/E235)</f>
        <v/>
      </c>
    </row>
    <row r="237">
      <c r="A237" s="8" t="n">
        <v>38177</v>
      </c>
      <c r="B237" s="7" t="n">
        <v>3534.4</v>
      </c>
      <c r="C237" s="7" t="n">
        <v>3568.7</v>
      </c>
      <c r="D237" s="7" t="n">
        <v>3520.9</v>
      </c>
      <c r="E237" s="7" t="n">
        <v>3564</v>
      </c>
      <c r="F237" s="9" t="n">
        <v>2361000000</v>
      </c>
      <c r="G237" s="9" t="n">
        <v>12012500000</v>
      </c>
      <c r="H237">
        <f>H236*(E237/E236)</f>
        <v/>
      </c>
    </row>
    <row r="238">
      <c r="A238" s="8" t="n">
        <v>38184</v>
      </c>
      <c r="B238" s="7" t="n">
        <v>3564</v>
      </c>
      <c r="C238" s="7" t="n">
        <v>3568</v>
      </c>
      <c r="D238" s="7" t="n">
        <v>3518.7</v>
      </c>
      <c r="E238" s="7" t="n">
        <v>3531</v>
      </c>
      <c r="F238" s="9" t="n">
        <v>1804700000</v>
      </c>
      <c r="G238" s="9" t="n">
        <v>11843900000</v>
      </c>
      <c r="H238">
        <f>H237*(E238/E237)</f>
        <v/>
      </c>
    </row>
    <row r="239">
      <c r="A239" s="8" t="n">
        <v>38191</v>
      </c>
      <c r="B239" s="7" t="n">
        <v>3531</v>
      </c>
      <c r="C239" s="7" t="n">
        <v>3535.8</v>
      </c>
      <c r="D239" s="7" t="n">
        <v>3485.2</v>
      </c>
      <c r="E239" s="7" t="n">
        <v>3485.2</v>
      </c>
      <c r="F239" s="9" t="n">
        <v>2244800000</v>
      </c>
      <c r="G239" s="9" t="n">
        <v>13774000000</v>
      </c>
      <c r="H239">
        <f>H238*(E239/E238)</f>
        <v/>
      </c>
    </row>
    <row r="240">
      <c r="A240" s="8" t="n">
        <v>38198</v>
      </c>
      <c r="B240" s="7" t="n">
        <v>3485.2</v>
      </c>
      <c r="C240" s="7" t="n">
        <v>3538.6</v>
      </c>
      <c r="D240" s="7" t="n">
        <v>3478.2</v>
      </c>
      <c r="E240" s="7" t="n">
        <v>3536.1</v>
      </c>
      <c r="F240" s="9" t="n">
        <v>2366500000</v>
      </c>
      <c r="G240" s="9" t="n">
        <v>14033500000</v>
      </c>
      <c r="H240">
        <f>H239*(E240/E239)</f>
        <v/>
      </c>
    </row>
    <row r="241">
      <c r="A241" s="8" t="n">
        <v>38205</v>
      </c>
      <c r="B241" s="7" t="n">
        <v>3536.1</v>
      </c>
      <c r="C241" s="7" t="n">
        <v>3562.6</v>
      </c>
      <c r="D241" s="7" t="n">
        <v>3519.3</v>
      </c>
      <c r="E241" s="7" t="n">
        <v>3530.6</v>
      </c>
      <c r="F241" s="9" t="n">
        <v>1871400000</v>
      </c>
      <c r="G241" s="9" t="n">
        <v>10513200000</v>
      </c>
      <c r="H241">
        <f>H240*(E241/E240)</f>
        <v/>
      </c>
    </row>
    <row r="242">
      <c r="A242" s="8" t="n">
        <v>38212</v>
      </c>
      <c r="B242" s="7" t="n">
        <v>3530.6</v>
      </c>
      <c r="C242" s="7" t="n">
        <v>3530.6</v>
      </c>
      <c r="D242" s="7" t="n">
        <v>3475.5</v>
      </c>
      <c r="E242" s="7" t="n">
        <v>3477.8</v>
      </c>
      <c r="F242" s="9" t="n">
        <v>2138400000</v>
      </c>
      <c r="G242" s="9" t="n">
        <v>11958900000</v>
      </c>
      <c r="H242">
        <f>H241*(E242/E241)</f>
        <v/>
      </c>
    </row>
    <row r="243">
      <c r="A243" s="8" t="n">
        <v>38219</v>
      </c>
      <c r="B243" s="7" t="n">
        <v>3477.8</v>
      </c>
      <c r="C243" s="7" t="n">
        <v>3502.2</v>
      </c>
      <c r="D243" s="7" t="n">
        <v>3467.1</v>
      </c>
      <c r="E243" s="7" t="n">
        <v>3497.7</v>
      </c>
      <c r="F243" s="9" t="n">
        <v>1865600000</v>
      </c>
      <c r="G243" s="9" t="n">
        <v>11187900000</v>
      </c>
      <c r="H243">
        <f>H242*(E243/E242)</f>
        <v/>
      </c>
    </row>
    <row r="244">
      <c r="A244" s="8" t="n">
        <v>38226</v>
      </c>
      <c r="B244" s="7" t="n">
        <v>3497.7</v>
      </c>
      <c r="C244" s="7" t="n">
        <v>3565.3</v>
      </c>
      <c r="D244" s="7" t="n">
        <v>3497.7</v>
      </c>
      <c r="E244" s="7" t="n">
        <v>3558.9</v>
      </c>
      <c r="F244" s="9" t="n">
        <v>2321400000</v>
      </c>
      <c r="G244" s="9" t="n">
        <v>13140700000</v>
      </c>
      <c r="H244">
        <f>H243*(E244/E243)</f>
        <v/>
      </c>
    </row>
    <row r="245">
      <c r="A245" s="8" t="n">
        <v>38233</v>
      </c>
      <c r="B245" s="7" t="n">
        <v>3558.9</v>
      </c>
      <c r="C245" s="7" t="n">
        <v>3595</v>
      </c>
      <c r="D245" s="7" t="n">
        <v>3551.9</v>
      </c>
      <c r="E245" s="7" t="n">
        <v>3577.3</v>
      </c>
      <c r="F245" s="9" t="n">
        <v>2335800000</v>
      </c>
      <c r="G245" s="9" t="n">
        <v>12717400000</v>
      </c>
      <c r="H245">
        <f>H244*(E245/E244)</f>
        <v/>
      </c>
    </row>
    <row r="246">
      <c r="A246" s="8" t="n">
        <v>38240</v>
      </c>
      <c r="B246" s="7" t="n">
        <v>3577.3</v>
      </c>
      <c r="C246" s="7" t="n">
        <v>3608.2</v>
      </c>
      <c r="D246" s="7" t="n">
        <v>3574.2</v>
      </c>
      <c r="E246" s="7" t="n">
        <v>3596</v>
      </c>
      <c r="F246" s="9" t="n">
        <v>2118600000</v>
      </c>
      <c r="G246" s="9" t="n">
        <v>10028300000</v>
      </c>
      <c r="H246">
        <f>H245*(E246/E245)</f>
        <v/>
      </c>
    </row>
    <row r="247">
      <c r="A247" s="8" t="n">
        <v>38247</v>
      </c>
      <c r="B247" s="7" t="n">
        <v>3596</v>
      </c>
      <c r="C247" s="7" t="n">
        <v>3636.4</v>
      </c>
      <c r="D247" s="7" t="n">
        <v>3594.6</v>
      </c>
      <c r="E247" s="7" t="n">
        <v>3631.6</v>
      </c>
      <c r="F247" s="9" t="n">
        <v>2258300000</v>
      </c>
      <c r="G247" s="9" t="n">
        <v>13303200000</v>
      </c>
      <c r="H247">
        <f>H246*(E247/E246)</f>
        <v/>
      </c>
    </row>
    <row r="248">
      <c r="A248" s="8" t="n">
        <v>38254</v>
      </c>
      <c r="B248" s="7" t="n">
        <v>3631.6</v>
      </c>
      <c r="C248" s="7" t="n">
        <v>3644.3</v>
      </c>
      <c r="D248" s="7" t="n">
        <v>3613.9</v>
      </c>
      <c r="E248" s="7" t="n">
        <v>3623.9</v>
      </c>
      <c r="F248" s="9" t="n">
        <v>2361300000</v>
      </c>
      <c r="G248" s="9" t="n">
        <v>13030100000</v>
      </c>
      <c r="H248">
        <f>H247*(E248/E247)</f>
        <v/>
      </c>
    </row>
    <row r="249">
      <c r="A249" s="8" t="n">
        <v>38261</v>
      </c>
      <c r="B249" s="7" t="n">
        <v>3623.9</v>
      </c>
      <c r="C249" s="7" t="n">
        <v>3674.2</v>
      </c>
      <c r="D249" s="7" t="n">
        <v>3610</v>
      </c>
      <c r="E249" s="7" t="n">
        <v>3659.6</v>
      </c>
      <c r="F249" s="9" t="n">
        <v>2155600000</v>
      </c>
      <c r="G249" s="9" t="n">
        <v>11978300000</v>
      </c>
      <c r="H249">
        <f>H248*(E249/E248)</f>
        <v/>
      </c>
    </row>
    <row r="250">
      <c r="A250" s="8" t="n">
        <v>38268</v>
      </c>
      <c r="B250" s="7" t="n">
        <v>3659.6</v>
      </c>
      <c r="C250" s="7" t="n">
        <v>3720.4</v>
      </c>
      <c r="D250" s="7" t="n">
        <v>3659.6</v>
      </c>
      <c r="E250" s="7" t="n">
        <v>3686.8</v>
      </c>
      <c r="F250" s="9" t="n">
        <v>2111600000</v>
      </c>
      <c r="G250" s="9" t="n">
        <v>11406200000</v>
      </c>
      <c r="H250">
        <f>H249*(E250/E249)</f>
        <v/>
      </c>
    </row>
    <row r="251">
      <c r="A251" s="8" t="n">
        <v>38275</v>
      </c>
      <c r="B251" s="7" t="n">
        <v>3686.8</v>
      </c>
      <c r="C251" s="7" t="n">
        <v>3725.2</v>
      </c>
      <c r="D251" s="7" t="n">
        <v>3686.8</v>
      </c>
      <c r="E251" s="7" t="n">
        <v>3720.5</v>
      </c>
      <c r="F251" s="9" t="n">
        <v>2906300000</v>
      </c>
      <c r="G251" s="9" t="n">
        <v>16035100000</v>
      </c>
      <c r="H251">
        <f>H250*(E251/E250)</f>
        <v/>
      </c>
    </row>
    <row r="252">
      <c r="A252" s="8" t="n">
        <v>38282</v>
      </c>
      <c r="B252" s="7" t="n">
        <v>3720.9</v>
      </c>
      <c r="C252" s="7" t="n">
        <v>3720.9</v>
      </c>
      <c r="D252" s="7" t="n">
        <v>3695.4</v>
      </c>
      <c r="E252" s="7" t="n">
        <v>3709.9</v>
      </c>
      <c r="F252" s="9" t="n">
        <v>2519800000</v>
      </c>
      <c r="G252" s="9" t="n">
        <v>14275500000</v>
      </c>
      <c r="H252">
        <f>H251*(E252/E251)</f>
        <v/>
      </c>
    </row>
    <row r="253">
      <c r="A253" s="8" t="n">
        <v>38289</v>
      </c>
      <c r="B253" s="7" t="n">
        <v>3709.9</v>
      </c>
      <c r="C253" s="7" t="n">
        <v>3779.5</v>
      </c>
      <c r="D253" s="7" t="n">
        <v>3674.9</v>
      </c>
      <c r="E253" s="7" t="n">
        <v>3778.6</v>
      </c>
      <c r="F253" s="9" t="n">
        <v>3505600000</v>
      </c>
      <c r="G253" s="9" t="n">
        <v>21548900000</v>
      </c>
      <c r="H253">
        <f>H252*(E253/E252)</f>
        <v/>
      </c>
    </row>
    <row r="254">
      <c r="A254" s="8" t="n">
        <v>38296</v>
      </c>
      <c r="B254" s="7" t="n">
        <v>3778.6</v>
      </c>
      <c r="C254" s="7" t="n">
        <v>3854.9</v>
      </c>
      <c r="D254" s="7" t="n">
        <v>3777.9</v>
      </c>
      <c r="E254" s="7" t="n">
        <v>3843.5</v>
      </c>
      <c r="F254" s="9" t="n">
        <v>2582800000</v>
      </c>
      <c r="G254" s="9" t="n">
        <v>17217900000</v>
      </c>
      <c r="H254">
        <f>H253*(E254/E253)</f>
        <v/>
      </c>
    </row>
    <row r="255">
      <c r="A255" s="8" t="n">
        <v>38303</v>
      </c>
      <c r="B255" s="7" t="n">
        <v>3843.5</v>
      </c>
      <c r="C255" s="7" t="n">
        <v>3868.2</v>
      </c>
      <c r="D255" s="7" t="n">
        <v>3821.2</v>
      </c>
      <c r="E255" s="7" t="n">
        <v>3862.5</v>
      </c>
      <c r="F255" s="9" t="n">
        <v>2271100000</v>
      </c>
      <c r="G255" s="9" t="n">
        <v>14574500000</v>
      </c>
      <c r="H255">
        <f>H254*(E255/E254)</f>
        <v/>
      </c>
    </row>
    <row r="256">
      <c r="A256" s="8" t="n">
        <v>38310</v>
      </c>
      <c r="B256" s="7" t="n">
        <v>3862.5</v>
      </c>
      <c r="C256" s="7" t="n">
        <v>3889</v>
      </c>
      <c r="D256" s="7" t="n">
        <v>3862</v>
      </c>
      <c r="E256" s="7" t="n">
        <v>3872.7</v>
      </c>
      <c r="F256" s="9" t="n">
        <v>2309300000</v>
      </c>
      <c r="G256" s="9" t="n">
        <v>14763100000</v>
      </c>
      <c r="H256">
        <f>H255*(E256/E255)</f>
        <v/>
      </c>
    </row>
    <row r="257">
      <c r="A257" s="8" t="n">
        <v>38317</v>
      </c>
      <c r="B257" s="7" t="n">
        <v>3872.7</v>
      </c>
      <c r="C257" s="7" t="n">
        <v>3917.8</v>
      </c>
      <c r="D257" s="7" t="n">
        <v>3825.1</v>
      </c>
      <c r="E257" s="7" t="n">
        <v>3912.1</v>
      </c>
      <c r="F257" s="9" t="n">
        <v>2487300000</v>
      </c>
      <c r="G257" s="9" t="n">
        <v>16892400000</v>
      </c>
      <c r="H257">
        <f>H256*(E257/E256)</f>
        <v/>
      </c>
    </row>
    <row r="258">
      <c r="A258" s="8" t="n">
        <v>38324</v>
      </c>
      <c r="B258" s="7" t="n">
        <v>3912.1</v>
      </c>
      <c r="C258" s="7" t="n">
        <v>3948.7</v>
      </c>
      <c r="D258" s="7" t="n">
        <v>3899.3</v>
      </c>
      <c r="E258" s="7" t="n">
        <v>3939.5</v>
      </c>
      <c r="F258" s="9" t="n">
        <v>2246400000</v>
      </c>
      <c r="G258" s="9" t="n">
        <v>14755700000</v>
      </c>
      <c r="H258">
        <f>H257*(E258/E257)</f>
        <v/>
      </c>
    </row>
    <row r="259">
      <c r="A259" s="8" t="n">
        <v>38331</v>
      </c>
      <c r="B259" s="7" t="n">
        <v>3939.5</v>
      </c>
      <c r="C259" s="7" t="n">
        <v>3964.8</v>
      </c>
      <c r="D259" s="7" t="n">
        <v>3877.1</v>
      </c>
      <c r="E259" s="7" t="n">
        <v>3898.5</v>
      </c>
      <c r="F259" s="9" t="n">
        <v>2405000000</v>
      </c>
      <c r="G259" s="9" t="n">
        <v>14719200000</v>
      </c>
      <c r="H259">
        <f>H258*(E259/E258)</f>
        <v/>
      </c>
    </row>
    <row r="260">
      <c r="A260" s="8" t="n">
        <v>38338</v>
      </c>
      <c r="B260" s="7" t="n">
        <v>3886.9</v>
      </c>
      <c r="C260" s="7" t="n">
        <v>3997.6</v>
      </c>
      <c r="D260" s="7" t="n">
        <v>3886.9</v>
      </c>
      <c r="E260" s="7" t="n">
        <v>3988</v>
      </c>
      <c r="F260" s="9" t="n">
        <v>2264200000</v>
      </c>
      <c r="G260" s="9" t="n">
        <v>17029300000</v>
      </c>
      <c r="H260">
        <f>H259*(E260/E259)</f>
        <v/>
      </c>
    </row>
    <row r="261">
      <c r="A261" s="8" t="n">
        <v>38345</v>
      </c>
      <c r="B261" s="7" t="n">
        <v>3988</v>
      </c>
      <c r="C261" s="7" t="n">
        <v>4048.6</v>
      </c>
      <c r="D261" s="7" t="n">
        <v>3980.6</v>
      </c>
      <c r="E261" s="7" t="n">
        <v>4048.6</v>
      </c>
      <c r="F261" s="9" t="n">
        <v>1848400000</v>
      </c>
      <c r="G261" s="9" t="n">
        <v>14828600000</v>
      </c>
      <c r="H261">
        <f>H260*(E261/E260)</f>
        <v/>
      </c>
    </row>
    <row r="262">
      <c r="A262" s="8" t="n">
        <v>38352</v>
      </c>
      <c r="B262" s="7" t="n">
        <v>4048.6</v>
      </c>
      <c r="C262" s="7" t="n">
        <v>4055</v>
      </c>
      <c r="D262" s="7" t="n">
        <v>4036.5</v>
      </c>
      <c r="E262" s="7" t="n">
        <v>4050.6</v>
      </c>
      <c r="F262" s="9" t="n">
        <v>376500000</v>
      </c>
      <c r="G262" s="9" t="n">
        <v>2268700000</v>
      </c>
      <c r="H262">
        <f>H261*(E262/E261)</f>
        <v/>
      </c>
    </row>
    <row r="263">
      <c r="A263" s="8" t="n">
        <v>38359</v>
      </c>
      <c r="B263" s="7" t="n">
        <v>4050.6</v>
      </c>
      <c r="C263" s="7" t="n">
        <v>4069.7</v>
      </c>
      <c r="D263" s="7" t="n">
        <v>4026.1</v>
      </c>
      <c r="E263" s="7" t="n">
        <v>4063.2</v>
      </c>
      <c r="F263" s="9" t="n">
        <v>1234700000</v>
      </c>
      <c r="G263" s="9" t="n">
        <v>7754100000</v>
      </c>
      <c r="H263">
        <f>H262*(E263/E262)</f>
        <v/>
      </c>
    </row>
    <row r="264">
      <c r="A264" s="8" t="n">
        <v>38366</v>
      </c>
      <c r="B264" s="7" t="n">
        <v>4063.2</v>
      </c>
      <c r="C264" s="7" t="n">
        <v>4089.8</v>
      </c>
      <c r="D264" s="7" t="n">
        <v>4056.8</v>
      </c>
      <c r="E264" s="7" t="n">
        <v>4061.6</v>
      </c>
      <c r="F264" s="9" t="n">
        <v>1892600000</v>
      </c>
      <c r="G264" s="9" t="n">
        <v>12515500000</v>
      </c>
      <c r="H264">
        <f>H263*(E264/E263)</f>
        <v/>
      </c>
    </row>
    <row r="265">
      <c r="A265" s="8" t="n">
        <v>38373</v>
      </c>
      <c r="B265" s="7" t="n">
        <v>4061.6</v>
      </c>
      <c r="C265" s="7" t="n">
        <v>4094.3</v>
      </c>
      <c r="D265" s="7" t="n">
        <v>4027.3</v>
      </c>
      <c r="E265" s="7" t="n">
        <v>4043.9</v>
      </c>
      <c r="F265" s="9" t="n">
        <v>1915000000</v>
      </c>
      <c r="G265" s="9" t="n">
        <v>12969500000</v>
      </c>
      <c r="H265">
        <f>H264*(E265/E264)</f>
        <v/>
      </c>
    </row>
    <row r="266">
      <c r="A266" s="8" t="n">
        <v>38380</v>
      </c>
      <c r="B266" s="7" t="n">
        <v>4043.9</v>
      </c>
      <c r="C266" s="7" t="n">
        <v>4121</v>
      </c>
      <c r="D266" s="7" t="n">
        <v>4041.7</v>
      </c>
      <c r="E266" s="7" t="n">
        <v>4098.9</v>
      </c>
      <c r="F266" s="9" t="n">
        <v>1787200000</v>
      </c>
      <c r="G266" s="9" t="n">
        <v>13182800000</v>
      </c>
      <c r="H266">
        <f>H265*(E266/E265)</f>
        <v/>
      </c>
    </row>
    <row r="267">
      <c r="A267" s="8" t="n">
        <v>38387</v>
      </c>
      <c r="B267" s="7" t="n">
        <v>4098.9</v>
      </c>
      <c r="C267" s="7" t="n">
        <v>4165.4</v>
      </c>
      <c r="D267" s="7" t="n">
        <v>4095.4</v>
      </c>
      <c r="E267" s="7" t="n">
        <v>4161.8</v>
      </c>
      <c r="F267" s="9" t="n">
        <v>2518400000</v>
      </c>
      <c r="G267" s="9" t="n">
        <v>16837200000</v>
      </c>
      <c r="H267">
        <f>H266*(E267/E266)</f>
        <v/>
      </c>
    </row>
    <row r="268">
      <c r="A268" s="8" t="n">
        <v>38394</v>
      </c>
      <c r="B268" s="7" t="n">
        <v>4161.8</v>
      </c>
      <c r="C268" s="7" t="n">
        <v>4195.6</v>
      </c>
      <c r="D268" s="7" t="n">
        <v>4160</v>
      </c>
      <c r="E268" s="7" t="n">
        <v>4174.3</v>
      </c>
      <c r="F268" s="9" t="n">
        <v>2215300000</v>
      </c>
      <c r="G268" s="9" t="n">
        <v>15488500000</v>
      </c>
      <c r="H268">
        <f>H267*(E268/E267)</f>
        <v/>
      </c>
    </row>
    <row r="269">
      <c r="A269" s="8" t="n">
        <v>38401</v>
      </c>
      <c r="B269" s="7" t="n">
        <v>4174.3</v>
      </c>
      <c r="C269" s="7" t="n">
        <v>4190.5</v>
      </c>
      <c r="D269" s="7" t="n">
        <v>4140.7</v>
      </c>
      <c r="E269" s="7" t="n">
        <v>4163.6</v>
      </c>
      <c r="F269" s="9" t="n">
        <v>2559200000</v>
      </c>
      <c r="G269" s="9" t="n">
        <v>17267200000</v>
      </c>
      <c r="H269">
        <f>H268*(E269/E268)</f>
        <v/>
      </c>
    </row>
    <row r="270">
      <c r="A270" s="8" t="n">
        <v>38408</v>
      </c>
      <c r="B270" s="7" t="n">
        <v>4163.6</v>
      </c>
      <c r="C270" s="7" t="n">
        <v>4175.2</v>
      </c>
      <c r="D270" s="7" t="n">
        <v>4096.9</v>
      </c>
      <c r="E270" s="7" t="n">
        <v>4130.5</v>
      </c>
      <c r="F270" s="9" t="n">
        <v>2578800000</v>
      </c>
      <c r="G270" s="9" t="n">
        <v>19132200000</v>
      </c>
      <c r="H270">
        <f>H269*(E270/E269)</f>
        <v/>
      </c>
    </row>
    <row r="271">
      <c r="A271" s="8" t="n">
        <v>38415</v>
      </c>
      <c r="B271" s="7" t="n">
        <v>4130.5</v>
      </c>
      <c r="C271" s="7" t="n">
        <v>4228.7</v>
      </c>
      <c r="D271" s="7" t="n">
        <v>4130.5</v>
      </c>
      <c r="E271" s="7" t="n">
        <v>4220.4</v>
      </c>
      <c r="F271" s="9" t="n">
        <v>2304300000</v>
      </c>
      <c r="G271" s="9" t="n">
        <v>16572900000</v>
      </c>
      <c r="H271">
        <f>H270*(E271/E270)</f>
        <v/>
      </c>
    </row>
    <row r="272">
      <c r="A272" s="8" t="n">
        <v>38422</v>
      </c>
      <c r="B272" s="7" t="n">
        <v>4220.4</v>
      </c>
      <c r="C272" s="7" t="n">
        <v>4255</v>
      </c>
      <c r="D272" s="7" t="n">
        <v>4195.5</v>
      </c>
      <c r="E272" s="7" t="n">
        <v>4203.8</v>
      </c>
      <c r="F272" s="9" t="n">
        <v>2329000000</v>
      </c>
      <c r="G272" s="9" t="n">
        <v>16012400000</v>
      </c>
      <c r="H272">
        <f>H271*(E272/E271)</f>
        <v/>
      </c>
    </row>
    <row r="273">
      <c r="A273" s="8" t="n">
        <v>38429</v>
      </c>
      <c r="B273" s="7" t="n">
        <v>4203.8</v>
      </c>
      <c r="C273" s="7" t="n">
        <v>4258.1</v>
      </c>
      <c r="D273" s="7" t="n">
        <v>4195.3</v>
      </c>
      <c r="E273" s="7" t="n">
        <v>4249.1</v>
      </c>
      <c r="F273" s="9" t="n">
        <v>2280700000</v>
      </c>
      <c r="G273" s="9" t="n">
        <v>16816400000</v>
      </c>
      <c r="H273">
        <f>H272*(E273/E272)</f>
        <v/>
      </c>
    </row>
    <row r="274">
      <c r="A274" s="8" t="n">
        <v>38435</v>
      </c>
      <c r="B274" s="7" t="n">
        <v>4249.1</v>
      </c>
      <c r="C274" s="7" t="n">
        <v>4266.9</v>
      </c>
      <c r="D274" s="7" t="n">
        <v>4123.8</v>
      </c>
      <c r="E274" s="7" t="n">
        <v>4136.4</v>
      </c>
      <c r="F274" s="9" t="n">
        <v>1974600000</v>
      </c>
      <c r="G274" s="9" t="n">
        <v>14622100000</v>
      </c>
      <c r="H274">
        <f>H273*(E274/E273)</f>
        <v/>
      </c>
    </row>
    <row r="275">
      <c r="A275" s="8" t="n">
        <v>38443</v>
      </c>
      <c r="B275" s="7" t="n">
        <v>4136.4</v>
      </c>
      <c r="C275" s="7" t="n">
        <v>4151.2</v>
      </c>
      <c r="D275" s="7" t="n">
        <v>4059.5</v>
      </c>
      <c r="E275" s="7" t="n">
        <v>4138.3</v>
      </c>
      <c r="F275" s="9" t="n">
        <v>1887500000</v>
      </c>
      <c r="G275" s="9" t="n">
        <v>12286500000</v>
      </c>
      <c r="H275">
        <f>H274*(E275/E274)</f>
        <v/>
      </c>
    </row>
    <row r="276">
      <c r="A276" s="8" t="n">
        <v>38450</v>
      </c>
      <c r="B276" s="7" t="n">
        <v>4109.8</v>
      </c>
      <c r="C276" s="7" t="n">
        <v>4165.6</v>
      </c>
      <c r="D276" s="7" t="n">
        <v>4109.8</v>
      </c>
      <c r="E276" s="7" t="n">
        <v>4165.6</v>
      </c>
      <c r="F276" s="9" t="n">
        <v>2068800000</v>
      </c>
      <c r="G276" s="9" t="n">
        <v>13086700000</v>
      </c>
      <c r="H276">
        <f>H275*(E276/E275)</f>
        <v/>
      </c>
    </row>
    <row r="277">
      <c r="A277" s="8" t="n">
        <v>38457</v>
      </c>
      <c r="B277" s="7" t="n">
        <v>4165.6</v>
      </c>
      <c r="C277" s="7" t="n">
        <v>4165.6</v>
      </c>
      <c r="D277" s="7" t="n">
        <v>4010.8</v>
      </c>
      <c r="E277" s="7" t="n">
        <v>4014.3</v>
      </c>
      <c r="F277" s="9" t="n">
        <v>2156100000</v>
      </c>
      <c r="G277" s="9" t="n">
        <v>15330300000</v>
      </c>
      <c r="H277">
        <f>H276*(E277/E276)</f>
        <v/>
      </c>
    </row>
    <row r="278">
      <c r="A278" s="8" t="n">
        <v>38464</v>
      </c>
      <c r="B278" s="7" t="n">
        <v>4014.3</v>
      </c>
      <c r="C278" s="7" t="n">
        <v>4057.2</v>
      </c>
      <c r="D278" s="7" t="n">
        <v>3958.3</v>
      </c>
      <c r="E278" s="7" t="n">
        <v>4034.1</v>
      </c>
      <c r="F278" s="9" t="n">
        <v>2524000000</v>
      </c>
      <c r="G278" s="9" t="n">
        <v>17302500000</v>
      </c>
      <c r="H278">
        <f>H277*(E278/E277)</f>
        <v/>
      </c>
    </row>
    <row r="279">
      <c r="A279" s="8" t="n">
        <v>38471</v>
      </c>
      <c r="B279" s="7" t="n">
        <v>4034.1</v>
      </c>
      <c r="C279" s="7" t="n">
        <v>4050.6</v>
      </c>
      <c r="D279" s="7" t="n">
        <v>3969.1</v>
      </c>
      <c r="E279" s="7" t="n">
        <v>3983.2</v>
      </c>
      <c r="F279" s="9" t="n">
        <v>1947400000</v>
      </c>
      <c r="G279" s="9" t="n">
        <v>15463900000</v>
      </c>
      <c r="H279">
        <f>H278*(E279/E278)</f>
        <v/>
      </c>
    </row>
    <row r="280">
      <c r="A280" s="8" t="n">
        <v>38478</v>
      </c>
      <c r="B280" s="7" t="n">
        <v>3983.2</v>
      </c>
      <c r="C280" s="7" t="n">
        <v>4031.1</v>
      </c>
      <c r="D280" s="7" t="n">
        <v>3926.6</v>
      </c>
      <c r="E280" s="7" t="n">
        <v>3983.3</v>
      </c>
      <c r="F280" s="9" t="n">
        <v>2249300000</v>
      </c>
      <c r="G280" s="9" t="n">
        <v>14095100000</v>
      </c>
      <c r="H280">
        <f>H279*(E280/E279)</f>
        <v/>
      </c>
    </row>
    <row r="281">
      <c r="A281" s="8" t="n">
        <v>38485</v>
      </c>
      <c r="B281" s="7" t="n">
        <v>3983.3</v>
      </c>
      <c r="C281" s="7" t="n">
        <v>4028.9</v>
      </c>
      <c r="D281" s="7" t="n">
        <v>3974.6</v>
      </c>
      <c r="E281" s="7" t="n">
        <v>4012.1</v>
      </c>
      <c r="F281" s="9" t="n">
        <v>2234900000</v>
      </c>
      <c r="G281" s="9" t="n">
        <v>15974400000</v>
      </c>
      <c r="H281">
        <f>H280*(E281/E280)</f>
        <v/>
      </c>
    </row>
    <row r="282">
      <c r="A282" s="8" t="n">
        <v>38492</v>
      </c>
      <c r="B282" s="7" t="n">
        <v>4012.1</v>
      </c>
      <c r="C282" s="7" t="n">
        <v>4057.6</v>
      </c>
      <c r="D282" s="7" t="n">
        <v>3943.8</v>
      </c>
      <c r="E282" s="7" t="n">
        <v>4041.2</v>
      </c>
      <c r="F282" s="9" t="n">
        <v>2243500000</v>
      </c>
      <c r="G282" s="9" t="n">
        <v>15572900000</v>
      </c>
      <c r="H282">
        <f>H281*(E282/E281)</f>
        <v/>
      </c>
    </row>
    <row r="283">
      <c r="A283" s="8" t="n">
        <v>38499</v>
      </c>
      <c r="B283" s="7" t="n">
        <v>4041.3</v>
      </c>
      <c r="C283" s="7" t="n">
        <v>4120.2</v>
      </c>
      <c r="D283" s="7" t="n">
        <v>4041</v>
      </c>
      <c r="E283" s="7" t="n">
        <v>4116.4</v>
      </c>
      <c r="F283" s="9" t="n">
        <v>2411700000</v>
      </c>
      <c r="G283" s="9" t="n">
        <v>17896200000</v>
      </c>
      <c r="H283">
        <f>H282*(E283/E282)</f>
        <v/>
      </c>
    </row>
    <row r="284">
      <c r="A284" s="8" t="n">
        <v>38506</v>
      </c>
      <c r="B284" s="7" t="n">
        <v>4116.4</v>
      </c>
      <c r="C284" s="7" t="n">
        <v>4194.2</v>
      </c>
      <c r="D284" s="7" t="n">
        <v>4098.8</v>
      </c>
      <c r="E284" s="7" t="n">
        <v>4194</v>
      </c>
      <c r="F284" s="9" t="n">
        <v>2874200000</v>
      </c>
      <c r="G284" s="9" t="n">
        <v>19035000000</v>
      </c>
      <c r="H284">
        <f>H283*(E284/E283)</f>
        <v/>
      </c>
    </row>
    <row r="285">
      <c r="A285" s="8" t="n">
        <v>38513</v>
      </c>
      <c r="B285" s="7" t="n">
        <v>4194</v>
      </c>
      <c r="C285" s="7" t="n">
        <v>4231.9</v>
      </c>
      <c r="D285" s="7" t="n">
        <v>4179.3</v>
      </c>
      <c r="E285" s="7" t="n">
        <v>4221.7</v>
      </c>
      <c r="F285" s="9" t="n">
        <v>2124800000</v>
      </c>
      <c r="G285" s="9" t="n">
        <v>14147100000</v>
      </c>
      <c r="H285">
        <f>H284*(E285/E284)</f>
        <v/>
      </c>
    </row>
    <row r="286">
      <c r="A286" s="8" t="n">
        <v>38520</v>
      </c>
      <c r="B286" s="7" t="n">
        <v>4221.7</v>
      </c>
      <c r="C286" s="7" t="n">
        <v>4312.2</v>
      </c>
      <c r="D286" s="7" t="n">
        <v>4219.6</v>
      </c>
      <c r="E286" s="7" t="n">
        <v>4312.2</v>
      </c>
      <c r="F286" s="9" t="n">
        <v>2169700000</v>
      </c>
      <c r="G286" s="9" t="n">
        <v>15816000000</v>
      </c>
      <c r="H286">
        <f>H285*(E286/E285)</f>
        <v/>
      </c>
    </row>
    <row r="287">
      <c r="A287" s="8" t="n">
        <v>38527</v>
      </c>
      <c r="B287" s="7" t="n">
        <v>4312.2</v>
      </c>
      <c r="C287" s="7" t="n">
        <v>4321.7</v>
      </c>
      <c r="D287" s="7" t="n">
        <v>4224.2</v>
      </c>
      <c r="E287" s="7" t="n">
        <v>4245.6</v>
      </c>
      <c r="F287" s="9" t="n">
        <v>2488100000</v>
      </c>
      <c r="G287" s="9" t="n">
        <v>19121500000</v>
      </c>
      <c r="H287">
        <f>H286*(E287/E286)</f>
        <v/>
      </c>
    </row>
    <row r="288">
      <c r="A288" s="8" t="n">
        <v>38534</v>
      </c>
      <c r="B288" s="7" t="n">
        <v>4245.6</v>
      </c>
      <c r="C288" s="7" t="n">
        <v>4294.9</v>
      </c>
      <c r="D288" s="7" t="n">
        <v>4221.5</v>
      </c>
      <c r="E288" s="7" t="n">
        <v>4272.6</v>
      </c>
      <c r="F288" s="9" t="n">
        <v>2376700000</v>
      </c>
      <c r="G288" s="9" t="n">
        <v>15895600000</v>
      </c>
      <c r="H288">
        <f>H287*(E288/E287)</f>
        <v/>
      </c>
    </row>
    <row r="289">
      <c r="A289" s="8" t="n">
        <v>38541</v>
      </c>
      <c r="B289" s="7" t="n">
        <v>4272.6</v>
      </c>
      <c r="C289" s="7" t="n">
        <v>4316.3</v>
      </c>
      <c r="D289" s="7" t="n">
        <v>4213.6</v>
      </c>
      <c r="E289" s="7" t="n">
        <v>4229.2</v>
      </c>
      <c r="F289" s="9" t="n">
        <v>2030400000</v>
      </c>
      <c r="G289" s="9" t="n">
        <v>13158100000</v>
      </c>
      <c r="H289">
        <f>H288*(E289/E288)</f>
        <v/>
      </c>
    </row>
    <row r="290">
      <c r="A290" s="8" t="n">
        <v>38548</v>
      </c>
      <c r="B290" s="7" t="n">
        <v>4229.2</v>
      </c>
      <c r="C290" s="7" t="n">
        <v>4301.5</v>
      </c>
      <c r="D290" s="7" t="n">
        <v>4229.2</v>
      </c>
      <c r="E290" s="7" t="n">
        <v>4292.4</v>
      </c>
      <c r="F290" s="9" t="n">
        <v>2079200000</v>
      </c>
      <c r="G290" s="9" t="n">
        <v>12785500000</v>
      </c>
      <c r="H290">
        <f>H289*(E290/E289)</f>
        <v/>
      </c>
    </row>
    <row r="291">
      <c r="A291" s="8" t="n">
        <v>38555</v>
      </c>
      <c r="B291" s="7" t="n">
        <v>4292.4</v>
      </c>
      <c r="C291" s="7" t="n">
        <v>4371.2</v>
      </c>
      <c r="D291" s="7" t="n">
        <v>4273.1</v>
      </c>
      <c r="E291" s="7" t="n">
        <v>4371.1</v>
      </c>
      <c r="F291" s="9" t="n">
        <v>2110300000</v>
      </c>
      <c r="G291" s="9" t="n">
        <v>15825400000</v>
      </c>
      <c r="H291">
        <f>H290*(E291/E290)</f>
        <v/>
      </c>
    </row>
    <row r="292">
      <c r="A292" s="8" t="n">
        <v>38562</v>
      </c>
      <c r="B292" s="7" t="n">
        <v>4371.1</v>
      </c>
      <c r="C292" s="7" t="n">
        <v>4398.8</v>
      </c>
      <c r="D292" s="7" t="n">
        <v>4365.3</v>
      </c>
      <c r="E292" s="7" t="n">
        <v>4388.8</v>
      </c>
      <c r="F292" s="9" t="n">
        <v>2153500000</v>
      </c>
      <c r="G292" s="9" t="n">
        <v>16430200000</v>
      </c>
      <c r="H292">
        <f>H291*(E292/E291)</f>
        <v/>
      </c>
    </row>
    <row r="293">
      <c r="A293" s="8" t="n">
        <v>38569</v>
      </c>
      <c r="B293" s="7" t="n">
        <v>4388.8</v>
      </c>
      <c r="C293" s="7" t="n">
        <v>4399.2</v>
      </c>
      <c r="D293" s="7" t="n">
        <v>4361.4</v>
      </c>
      <c r="E293" s="7" t="n">
        <v>4377.3</v>
      </c>
      <c r="F293" s="9" t="n">
        <v>2211400000</v>
      </c>
      <c r="G293" s="9" t="n">
        <v>14697900000</v>
      </c>
      <c r="H293">
        <f>H292*(E293/E292)</f>
        <v/>
      </c>
    </row>
    <row r="294">
      <c r="A294" s="8" t="n">
        <v>38576</v>
      </c>
      <c r="B294" s="7" t="n">
        <v>4377.3</v>
      </c>
      <c r="C294" s="7" t="n">
        <v>4472</v>
      </c>
      <c r="D294" s="7" t="n">
        <v>4374.2</v>
      </c>
      <c r="E294" s="7" t="n">
        <v>4469.2</v>
      </c>
      <c r="F294" s="9" t="n">
        <v>2533400000</v>
      </c>
      <c r="G294" s="9" t="n">
        <v>18659600000</v>
      </c>
      <c r="H294">
        <f>H293*(E294/E293)</f>
        <v/>
      </c>
    </row>
    <row r="295">
      <c r="A295" s="8" t="n">
        <v>38583</v>
      </c>
      <c r="B295" s="7" t="n">
        <v>4469.2</v>
      </c>
      <c r="C295" s="7" t="n">
        <v>4484.9</v>
      </c>
      <c r="D295" s="7" t="n">
        <v>4434.7</v>
      </c>
      <c r="E295" s="7" t="n">
        <v>4461.6</v>
      </c>
      <c r="F295" s="9" t="n">
        <v>2340300000</v>
      </c>
      <c r="G295" s="9" t="n">
        <v>16886500000</v>
      </c>
      <c r="H295">
        <f>H294*(E295/E294)</f>
        <v/>
      </c>
    </row>
    <row r="296">
      <c r="A296" s="8" t="n">
        <v>38590</v>
      </c>
      <c r="B296" s="7" t="n">
        <v>4461.6</v>
      </c>
      <c r="C296" s="7" t="n">
        <v>4502.2</v>
      </c>
      <c r="D296" s="7" t="n">
        <v>4416.4</v>
      </c>
      <c r="E296" s="7" t="n">
        <v>4452.4</v>
      </c>
      <c r="F296" s="9" t="n">
        <v>2718700000</v>
      </c>
      <c r="G296" s="9" t="n">
        <v>20694200000</v>
      </c>
      <c r="H296">
        <f>H295*(E296/E295)</f>
        <v/>
      </c>
    </row>
    <row r="297">
      <c r="A297" s="8" t="n">
        <v>38597</v>
      </c>
      <c r="B297" s="7" t="n">
        <v>4452.5</v>
      </c>
      <c r="C297" s="7" t="n">
        <v>4514.3</v>
      </c>
      <c r="D297" s="7" t="n">
        <v>4392</v>
      </c>
      <c r="E297" s="7" t="n">
        <v>4473.7</v>
      </c>
      <c r="F297" s="9" t="n">
        <v>2357100000</v>
      </c>
      <c r="G297" s="9" t="n">
        <v>17429900000</v>
      </c>
      <c r="H297">
        <f>H296*(E297/E296)</f>
        <v/>
      </c>
    </row>
    <row r="298">
      <c r="A298" s="8" t="n">
        <v>38604</v>
      </c>
      <c r="B298" s="7" t="n">
        <v>4473.7</v>
      </c>
      <c r="C298" s="7" t="n">
        <v>4502.9</v>
      </c>
      <c r="D298" s="7" t="n">
        <v>4440.9</v>
      </c>
      <c r="E298" s="7" t="n">
        <v>4468.1</v>
      </c>
      <c r="F298" s="9" t="n">
        <v>2408700000</v>
      </c>
      <c r="G298" s="9" t="n">
        <v>16099800000</v>
      </c>
      <c r="H298">
        <f>H297*(E298/E297)</f>
        <v/>
      </c>
    </row>
    <row r="299">
      <c r="A299" s="8" t="n">
        <v>38611</v>
      </c>
      <c r="B299" s="7" t="n">
        <v>4468.1</v>
      </c>
      <c r="C299" s="7" t="n">
        <v>4560.9</v>
      </c>
      <c r="D299" s="7" t="n">
        <v>4465</v>
      </c>
      <c r="E299" s="7" t="n">
        <v>4553.6</v>
      </c>
      <c r="F299" s="9" t="n">
        <v>2706800000</v>
      </c>
      <c r="G299" s="9" t="n">
        <v>20529200000</v>
      </c>
      <c r="H299">
        <f>H298*(E299/E298)</f>
        <v/>
      </c>
    </row>
    <row r="300">
      <c r="A300" s="8" t="n">
        <v>38618</v>
      </c>
      <c r="B300" s="7" t="n">
        <v>4553.6</v>
      </c>
      <c r="C300" s="7" t="n">
        <v>4584.8</v>
      </c>
      <c r="D300" s="7" t="n">
        <v>4537.5</v>
      </c>
      <c r="E300" s="7" t="n">
        <v>4562.4</v>
      </c>
      <c r="F300" s="9" t="n">
        <v>2236800000</v>
      </c>
      <c r="G300" s="9" t="n">
        <v>16089700000</v>
      </c>
      <c r="H300">
        <f>H299*(E300/E299)</f>
        <v/>
      </c>
    </row>
    <row r="301">
      <c r="A301" s="8" t="n">
        <v>38625</v>
      </c>
      <c r="B301" s="7" t="n">
        <v>4562.4</v>
      </c>
      <c r="C301" s="7" t="n">
        <v>4679.1</v>
      </c>
      <c r="D301" s="7" t="n">
        <v>4562.4</v>
      </c>
      <c r="E301" s="7" t="n">
        <v>4641.2</v>
      </c>
      <c r="F301" s="9" t="n">
        <v>2826700000</v>
      </c>
      <c r="G301" s="9" t="n">
        <v>22714400000</v>
      </c>
      <c r="H301">
        <f>H300*(E301/E300)</f>
        <v/>
      </c>
    </row>
    <row r="302">
      <c r="A302" s="8" t="n">
        <v>38632</v>
      </c>
      <c r="B302" s="7" t="n">
        <v>4641.2</v>
      </c>
      <c r="C302" s="7" t="n">
        <v>4654.3</v>
      </c>
      <c r="D302" s="7" t="n">
        <v>4421.5</v>
      </c>
      <c r="E302" s="7" t="n">
        <v>4440.6</v>
      </c>
      <c r="F302" s="9" t="n">
        <v>2212200000</v>
      </c>
      <c r="G302" s="9" t="n">
        <v>15990300000</v>
      </c>
      <c r="H302">
        <f>H301*(E302/E301)</f>
        <v/>
      </c>
    </row>
    <row r="303">
      <c r="A303" s="8" t="n">
        <v>38639</v>
      </c>
      <c r="B303" s="7" t="n">
        <v>4440.6</v>
      </c>
      <c r="C303" s="7" t="n">
        <v>4479.8</v>
      </c>
      <c r="D303" s="7" t="n">
        <v>4393.2</v>
      </c>
      <c r="E303" s="7" t="n">
        <v>4406.1</v>
      </c>
      <c r="F303" s="9" t="n">
        <v>2168300000</v>
      </c>
      <c r="G303" s="9" t="n">
        <v>14912800000</v>
      </c>
      <c r="H303">
        <f>H302*(E303/E302)</f>
        <v/>
      </c>
    </row>
    <row r="304">
      <c r="A304" s="8" t="n">
        <v>38646</v>
      </c>
      <c r="B304" s="7" t="n">
        <v>4406.1</v>
      </c>
      <c r="C304" s="7" t="n">
        <v>4461.3</v>
      </c>
      <c r="D304" s="7" t="n">
        <v>4311.1</v>
      </c>
      <c r="E304" s="7" t="n">
        <v>4364.3</v>
      </c>
      <c r="F304" s="9" t="n">
        <v>2334000000</v>
      </c>
      <c r="G304" s="9" t="n">
        <v>16420500000</v>
      </c>
      <c r="H304">
        <f>H303*(E304/E303)</f>
        <v/>
      </c>
    </row>
    <row r="305">
      <c r="A305" s="8" t="n">
        <v>38653</v>
      </c>
      <c r="B305" s="7" t="n">
        <v>4364.3</v>
      </c>
      <c r="C305" s="7" t="n">
        <v>4453.8</v>
      </c>
      <c r="D305" s="7" t="n">
        <v>4337.7</v>
      </c>
      <c r="E305" s="7" t="n">
        <v>4383</v>
      </c>
      <c r="F305" s="9" t="n">
        <v>2467700000</v>
      </c>
      <c r="G305" s="9" t="n">
        <v>20156800000</v>
      </c>
      <c r="H305">
        <f>H304*(E305/E304)</f>
        <v/>
      </c>
    </row>
    <row r="306">
      <c r="A306" s="8" t="n">
        <v>38660</v>
      </c>
      <c r="B306" s="7" t="n">
        <v>4383</v>
      </c>
      <c r="C306" s="7" t="n">
        <v>4533.5</v>
      </c>
      <c r="D306" s="7" t="n">
        <v>4383</v>
      </c>
      <c r="E306" s="7" t="n">
        <v>4519.5</v>
      </c>
      <c r="F306" s="9" t="n">
        <v>1919400000</v>
      </c>
      <c r="G306" s="9" t="n">
        <v>14668200000</v>
      </c>
      <c r="H306">
        <f>H305*(E306/E305)</f>
        <v/>
      </c>
    </row>
    <row r="307">
      <c r="A307" s="8" t="n">
        <v>38667</v>
      </c>
      <c r="B307" s="7" t="n">
        <v>4519.5</v>
      </c>
      <c r="C307" s="7" t="n">
        <v>4583.1</v>
      </c>
      <c r="D307" s="7" t="n">
        <v>4497.4</v>
      </c>
      <c r="E307" s="7" t="n">
        <v>4574.3</v>
      </c>
      <c r="F307" s="9" t="n">
        <v>2132200000</v>
      </c>
      <c r="G307" s="9" t="n">
        <v>15818900000</v>
      </c>
      <c r="H307">
        <f>H306*(E307/E306)</f>
        <v/>
      </c>
    </row>
    <row r="308">
      <c r="A308" s="8" t="n">
        <v>38674</v>
      </c>
      <c r="B308" s="7" t="n">
        <v>4574.3</v>
      </c>
      <c r="C308" s="7" t="n">
        <v>4671.1</v>
      </c>
      <c r="D308" s="7" t="n">
        <v>4574.3</v>
      </c>
      <c r="E308" s="7" t="n">
        <v>4671.1</v>
      </c>
      <c r="F308" s="9" t="n">
        <v>2420000000</v>
      </c>
      <c r="G308" s="9" t="n">
        <v>16346900000</v>
      </c>
      <c r="H308">
        <f>H307*(E308/E307)</f>
        <v/>
      </c>
    </row>
    <row r="309">
      <c r="A309" s="8" t="n">
        <v>38681</v>
      </c>
      <c r="B309" s="7" t="n">
        <v>4671.1</v>
      </c>
      <c r="C309" s="7" t="n">
        <v>4680.1</v>
      </c>
      <c r="D309" s="7" t="n">
        <v>4614</v>
      </c>
      <c r="E309" s="7" t="n">
        <v>4648.8</v>
      </c>
      <c r="F309" s="9" t="n">
        <v>2614800000</v>
      </c>
      <c r="G309" s="9" t="n">
        <v>18986300000</v>
      </c>
      <c r="H309">
        <f>H308*(E309/E308)</f>
        <v/>
      </c>
    </row>
    <row r="310">
      <c r="A310" s="8" t="n">
        <v>38688</v>
      </c>
      <c r="B310" s="7" t="n">
        <v>4648.8</v>
      </c>
      <c r="C310" s="7" t="n">
        <v>4677.6</v>
      </c>
      <c r="D310" s="7" t="n">
        <v>4577.4</v>
      </c>
      <c r="E310" s="7" t="n">
        <v>4623.5</v>
      </c>
      <c r="F310" s="9" t="n">
        <v>2945500000</v>
      </c>
      <c r="G310" s="9" t="n">
        <v>18888300000</v>
      </c>
      <c r="H310">
        <f>H309*(E310/E309)</f>
        <v/>
      </c>
    </row>
    <row r="311">
      <c r="A311" s="8" t="n">
        <v>38695</v>
      </c>
      <c r="B311" s="7" t="n">
        <v>4623.5</v>
      </c>
      <c r="C311" s="7" t="n">
        <v>4636.2</v>
      </c>
      <c r="D311" s="7" t="n">
        <v>4549.3</v>
      </c>
      <c r="E311" s="7" t="n">
        <v>4580.1</v>
      </c>
      <c r="F311" s="9" t="n">
        <v>2041200000</v>
      </c>
      <c r="G311" s="9" t="n">
        <v>14372500000</v>
      </c>
      <c r="H311">
        <f>H310*(E311/E310)</f>
        <v/>
      </c>
    </row>
    <row r="312">
      <c r="A312" s="8" t="n">
        <v>38702</v>
      </c>
      <c r="B312" s="7" t="n">
        <v>4580.1</v>
      </c>
      <c r="C312" s="7" t="n">
        <v>4645.6</v>
      </c>
      <c r="D312" s="7" t="n">
        <v>4580.1</v>
      </c>
      <c r="E312" s="7" t="n">
        <v>4644</v>
      </c>
      <c r="F312" s="9" t="n">
        <v>2038900000</v>
      </c>
      <c r="G312" s="9" t="n">
        <v>14876300000</v>
      </c>
      <c r="H312">
        <f>H311*(E312/E311)</f>
        <v/>
      </c>
    </row>
    <row r="313">
      <c r="A313" s="8" t="n">
        <v>38709</v>
      </c>
      <c r="B313" s="7" t="n">
        <v>4644</v>
      </c>
      <c r="C313" s="7" t="n">
        <v>4732.9</v>
      </c>
      <c r="D313" s="7" t="n">
        <v>4638.2</v>
      </c>
      <c r="E313" s="7" t="n">
        <v>4727.7</v>
      </c>
      <c r="F313" s="9" t="n">
        <v>1874800000</v>
      </c>
      <c r="G313" s="9" t="n">
        <v>17007000000</v>
      </c>
      <c r="H313">
        <f>H312*(E313/E312)</f>
        <v/>
      </c>
    </row>
    <row r="314">
      <c r="A314" s="8" t="n">
        <v>38716</v>
      </c>
      <c r="B314" s="7" t="n">
        <v>4727.7</v>
      </c>
      <c r="C314" s="7" t="n">
        <v>4775.8</v>
      </c>
      <c r="D314" s="7" t="n">
        <v>4723.1</v>
      </c>
      <c r="E314" s="7" t="n">
        <v>4763.4</v>
      </c>
      <c r="F314" s="9" t="n">
        <v>546600000</v>
      </c>
      <c r="G314" s="9" t="n">
        <v>3747600000</v>
      </c>
      <c r="H314">
        <f>H313*(E314/E313)</f>
        <v/>
      </c>
    </row>
    <row r="315">
      <c r="A315" s="8" t="n">
        <v>38723</v>
      </c>
      <c r="B315" s="7" t="n">
        <v>4763.4</v>
      </c>
      <c r="C315" s="7" t="n">
        <v>4831</v>
      </c>
      <c r="D315" s="7" t="n">
        <v>4751.1</v>
      </c>
      <c r="E315" s="7" t="n">
        <v>4791.1</v>
      </c>
      <c r="F315" s="9" t="n">
        <v>1172600000</v>
      </c>
      <c r="G315" s="9" t="n">
        <v>8720900000</v>
      </c>
      <c r="H315">
        <f>H314*(E315/E314)</f>
        <v/>
      </c>
    </row>
    <row r="316">
      <c r="A316" s="8" t="n">
        <v>38730</v>
      </c>
      <c r="B316" s="7" t="n">
        <v>4791.1</v>
      </c>
      <c r="C316" s="7" t="n">
        <v>4857.8</v>
      </c>
      <c r="D316" s="7" t="n">
        <v>4791.1</v>
      </c>
      <c r="E316" s="7" t="n">
        <v>4836.7</v>
      </c>
      <c r="F316" s="9" t="n">
        <v>1891800000</v>
      </c>
      <c r="G316" s="9" t="n">
        <v>14192600000</v>
      </c>
      <c r="H316">
        <f>H315*(E316/E315)</f>
        <v/>
      </c>
    </row>
    <row r="317">
      <c r="A317" s="8" t="n">
        <v>38737</v>
      </c>
      <c r="B317" s="7" t="n">
        <v>4836.7</v>
      </c>
      <c r="C317" s="7" t="n">
        <v>4869.3</v>
      </c>
      <c r="D317" s="7" t="n">
        <v>4778</v>
      </c>
      <c r="E317" s="7" t="n">
        <v>4854.4</v>
      </c>
      <c r="F317" s="9" t="n">
        <v>2335700000</v>
      </c>
      <c r="G317" s="9" t="n">
        <v>17252600000</v>
      </c>
      <c r="H317">
        <f>H316*(E317/E316)</f>
        <v/>
      </c>
    </row>
    <row r="318">
      <c r="A318" s="8" t="n">
        <v>38744</v>
      </c>
      <c r="B318" s="7" t="n">
        <v>4854.4</v>
      </c>
      <c r="C318" s="7" t="n">
        <v>4923.1</v>
      </c>
      <c r="D318" s="7" t="n">
        <v>4773</v>
      </c>
      <c r="E318" s="7" t="n">
        <v>4919.3</v>
      </c>
      <c r="F318" s="9" t="n">
        <v>1864100000</v>
      </c>
      <c r="G318" s="9" t="n">
        <v>16355800000</v>
      </c>
      <c r="H318">
        <f>H317*(E318/E317)</f>
        <v/>
      </c>
    </row>
    <row r="319">
      <c r="A319" s="8" t="n">
        <v>38751</v>
      </c>
      <c r="B319" s="7" t="n">
        <v>4919.3</v>
      </c>
      <c r="C319" s="7" t="n">
        <v>4982.6</v>
      </c>
      <c r="D319" s="7" t="n">
        <v>4844.9</v>
      </c>
      <c r="E319" s="7" t="n">
        <v>4883.8</v>
      </c>
      <c r="F319" s="9" t="n">
        <v>2495400000</v>
      </c>
      <c r="G319" s="9" t="n">
        <v>20304600000</v>
      </c>
      <c r="H319">
        <f>H318*(E319/E318)</f>
        <v/>
      </c>
    </row>
    <row r="320">
      <c r="A320" s="8" t="n">
        <v>38758</v>
      </c>
      <c r="B320" s="7" t="n">
        <v>4883.8</v>
      </c>
      <c r="C320" s="7" t="n">
        <v>4923.7</v>
      </c>
      <c r="D320" s="7" t="n">
        <v>4824.9</v>
      </c>
      <c r="E320" s="7" t="n">
        <v>4871.5</v>
      </c>
      <c r="F320" s="9" t="n">
        <v>2399100000</v>
      </c>
      <c r="G320" s="9" t="n">
        <v>19105700000</v>
      </c>
      <c r="H320">
        <f>H319*(E320/E319)</f>
        <v/>
      </c>
    </row>
    <row r="321">
      <c r="A321" s="8" t="n">
        <v>38765</v>
      </c>
      <c r="B321" s="7" t="n">
        <v>4871.5</v>
      </c>
      <c r="C321" s="7" t="n">
        <v>4895.6</v>
      </c>
      <c r="D321" s="7" t="n">
        <v>4790.8</v>
      </c>
      <c r="E321" s="7" t="n">
        <v>4799.9</v>
      </c>
      <c r="F321" s="9" t="n">
        <v>2503800000</v>
      </c>
      <c r="G321" s="9" t="n">
        <v>19997200000</v>
      </c>
      <c r="H321">
        <f>H320*(E321/E320)</f>
        <v/>
      </c>
    </row>
    <row r="322">
      <c r="A322" s="8" t="n">
        <v>38772</v>
      </c>
      <c r="B322" s="7" t="n">
        <v>4799.9</v>
      </c>
      <c r="C322" s="7" t="n">
        <v>4929.2</v>
      </c>
      <c r="D322" s="7" t="n">
        <v>4799.9</v>
      </c>
      <c r="E322" s="7" t="n">
        <v>4893.4</v>
      </c>
      <c r="F322" s="9" t="n">
        <v>2836200000</v>
      </c>
      <c r="G322" s="9" t="n">
        <v>25517800000</v>
      </c>
      <c r="H322">
        <f>H321*(E322/E321)</f>
        <v/>
      </c>
    </row>
    <row r="323">
      <c r="A323" s="8" t="n">
        <v>38779</v>
      </c>
      <c r="B323" s="7" t="n">
        <v>4893.4</v>
      </c>
      <c r="C323" s="7" t="n">
        <v>4939.5</v>
      </c>
      <c r="D323" s="7" t="n">
        <v>4849.1</v>
      </c>
      <c r="E323" s="7" t="n">
        <v>4898.5</v>
      </c>
      <c r="F323" s="9" t="n">
        <v>2694600000</v>
      </c>
      <c r="G323" s="9" t="n">
        <v>20206000000</v>
      </c>
      <c r="H323">
        <f>H322*(E323/E322)</f>
        <v/>
      </c>
    </row>
    <row r="324">
      <c r="A324" s="8" t="n">
        <v>38786</v>
      </c>
      <c r="B324" s="7" t="n">
        <v>4898.5</v>
      </c>
      <c r="C324" s="7" t="n">
        <v>4904.8</v>
      </c>
      <c r="D324" s="7" t="n">
        <v>4844.8</v>
      </c>
      <c r="E324" s="7" t="n">
        <v>4888.1</v>
      </c>
      <c r="F324" s="9" t="n">
        <v>2293200000</v>
      </c>
      <c r="G324" s="9" t="n">
        <v>16977300000</v>
      </c>
      <c r="H324">
        <f>H323*(E324/E323)</f>
        <v/>
      </c>
    </row>
    <row r="325">
      <c r="A325" s="8" t="n">
        <v>38793</v>
      </c>
      <c r="B325" s="7" t="n">
        <v>4888.1</v>
      </c>
      <c r="C325" s="7" t="n">
        <v>4997.8</v>
      </c>
      <c r="D325" s="7" t="n">
        <v>4888.1</v>
      </c>
      <c r="E325" s="7" t="n">
        <v>4971.7</v>
      </c>
      <c r="F325" s="9" t="n">
        <v>2738700000</v>
      </c>
      <c r="G325" s="9" t="n">
        <v>20888100000</v>
      </c>
      <c r="H325">
        <f>H324*(E325/E324)</f>
        <v/>
      </c>
    </row>
    <row r="326">
      <c r="A326" s="8" t="n">
        <v>38800</v>
      </c>
      <c r="B326" s="7" t="n">
        <v>4971.7</v>
      </c>
      <c r="C326" s="7" t="n">
        <v>5051.9</v>
      </c>
      <c r="D326" s="7" t="n">
        <v>4971.7</v>
      </c>
      <c r="E326" s="7" t="n">
        <v>5040.1</v>
      </c>
      <c r="F326" s="9" t="n">
        <v>2541800000</v>
      </c>
      <c r="G326" s="9" t="n">
        <v>17580000000</v>
      </c>
      <c r="H326">
        <f>H325*(E326/E325)</f>
        <v/>
      </c>
    </row>
    <row r="327">
      <c r="A327" s="8" t="n">
        <v>38807</v>
      </c>
      <c r="B327" s="7" t="n">
        <v>5040.1</v>
      </c>
      <c r="C327" s="7" t="n">
        <v>5139.5</v>
      </c>
      <c r="D327" s="7" t="n">
        <v>5040.1</v>
      </c>
      <c r="E327" s="7" t="n">
        <v>5129.7</v>
      </c>
      <c r="F327" s="9" t="n">
        <v>3236100000</v>
      </c>
      <c r="G327" s="9" t="n">
        <v>25623900000</v>
      </c>
      <c r="H327">
        <f>H326*(E327/E326)</f>
        <v/>
      </c>
    </row>
    <row r="328">
      <c r="A328" s="8" t="n">
        <v>38814</v>
      </c>
      <c r="B328" s="7" t="n">
        <v>5129.7</v>
      </c>
      <c r="C328" s="7" t="n">
        <v>5248.8</v>
      </c>
      <c r="D328" s="7" t="n">
        <v>5122.1</v>
      </c>
      <c r="E328" s="7" t="n">
        <v>5232.9</v>
      </c>
      <c r="F328" s="9" t="n">
        <v>2533800000</v>
      </c>
      <c r="G328" s="9" t="n">
        <v>21342300000</v>
      </c>
      <c r="H328">
        <f>H327*(E328/E327)</f>
        <v/>
      </c>
    </row>
    <row r="329">
      <c r="A329" s="8" t="n">
        <v>38820</v>
      </c>
      <c r="B329" s="7" t="n">
        <v>5232.9</v>
      </c>
      <c r="C329" s="7" t="n">
        <v>5239.8</v>
      </c>
      <c r="D329" s="7" t="n">
        <v>5158.9</v>
      </c>
      <c r="E329" s="7" t="n">
        <v>5175.7</v>
      </c>
      <c r="F329" s="9" t="n">
        <v>1658700000</v>
      </c>
      <c r="G329" s="9" t="n">
        <v>13390300000</v>
      </c>
      <c r="H329">
        <f>H328*(E329/E328)</f>
        <v/>
      </c>
    </row>
    <row r="330">
      <c r="A330" s="8" t="n">
        <v>38828</v>
      </c>
      <c r="B330" s="7" t="n">
        <v>5175.7</v>
      </c>
      <c r="C330" s="7" t="n">
        <v>5301.8</v>
      </c>
      <c r="D330" s="7" t="n">
        <v>5175.7</v>
      </c>
      <c r="E330" s="7" t="n">
        <v>5250.1</v>
      </c>
      <c r="F330" s="9" t="n">
        <v>2347400000</v>
      </c>
      <c r="G330" s="9" t="n">
        <v>18679200000</v>
      </c>
      <c r="H330">
        <f>H329*(E330/E329)</f>
        <v/>
      </c>
    </row>
    <row r="331">
      <c r="A331" s="8" t="n">
        <v>38835</v>
      </c>
      <c r="B331" s="7" t="n">
        <v>5250.1</v>
      </c>
      <c r="C331" s="7" t="n">
        <v>5336.6</v>
      </c>
      <c r="D331" s="7" t="n">
        <v>5246.6</v>
      </c>
      <c r="E331" s="7" t="n">
        <v>5258.8</v>
      </c>
      <c r="F331" s="9" t="n">
        <v>2325200000</v>
      </c>
      <c r="G331" s="9" t="n">
        <v>19943700000</v>
      </c>
      <c r="H331">
        <f>H330*(E331/E330)</f>
        <v/>
      </c>
    </row>
    <row r="332">
      <c r="A332" s="8" t="n">
        <v>38842</v>
      </c>
      <c r="B332" s="7" t="n">
        <v>5258.8</v>
      </c>
      <c r="C332" s="7" t="n">
        <v>5315.7</v>
      </c>
      <c r="D332" s="7" t="n">
        <v>5189.2</v>
      </c>
      <c r="E332" s="7" t="n">
        <v>5255.4</v>
      </c>
      <c r="F332" s="9" t="n">
        <v>2473500000</v>
      </c>
      <c r="G332" s="9" t="n">
        <v>19073300000</v>
      </c>
      <c r="H332">
        <f>H331*(E332/E331)</f>
        <v/>
      </c>
    </row>
    <row r="333">
      <c r="A333" s="8" t="n">
        <v>38849</v>
      </c>
      <c r="B333" s="7" t="n">
        <v>5255.4</v>
      </c>
      <c r="C333" s="7" t="n">
        <v>5406.7</v>
      </c>
      <c r="D333" s="7" t="n">
        <v>5255.4</v>
      </c>
      <c r="E333" s="7" t="n">
        <v>5329.5</v>
      </c>
      <c r="F333" s="9" t="n">
        <v>2529000000</v>
      </c>
      <c r="G333" s="9" t="n">
        <v>19976200000</v>
      </c>
      <c r="H333">
        <f>H332*(E333/E332)</f>
        <v/>
      </c>
    </row>
    <row r="334">
      <c r="A334" s="8" t="n">
        <v>38856</v>
      </c>
      <c r="B334" s="7" t="n">
        <v>5329.5</v>
      </c>
      <c r="C334" s="7" t="n">
        <v>5329.5</v>
      </c>
      <c r="D334" s="7" t="n">
        <v>5096</v>
      </c>
      <c r="E334" s="7" t="n">
        <v>5100.9</v>
      </c>
      <c r="F334" s="9" t="n">
        <v>2875600000</v>
      </c>
      <c r="G334" s="9" t="n">
        <v>22764100000</v>
      </c>
      <c r="H334">
        <f>H333*(E334/E333)</f>
        <v/>
      </c>
    </row>
    <row r="335">
      <c r="A335" s="8" t="n">
        <v>38863</v>
      </c>
      <c r="B335" s="7" t="n">
        <v>5100.9</v>
      </c>
      <c r="C335" s="7" t="n">
        <v>5105.4</v>
      </c>
      <c r="D335" s="7" t="n">
        <v>4976.8</v>
      </c>
      <c r="E335" s="7" t="n">
        <v>5053.7</v>
      </c>
      <c r="F335" s="9" t="n">
        <v>2925000000</v>
      </c>
      <c r="G335" s="9" t="n">
        <v>25150900000</v>
      </c>
      <c r="H335">
        <f>H334*(E335/E334)</f>
        <v/>
      </c>
    </row>
    <row r="336">
      <c r="A336" s="8" t="n">
        <v>38870</v>
      </c>
      <c r="B336" s="7" t="n">
        <v>5053.7</v>
      </c>
      <c r="C336" s="7" t="n">
        <v>5110.7</v>
      </c>
      <c r="D336" s="7" t="n">
        <v>5001.7</v>
      </c>
      <c r="E336" s="7" t="n">
        <v>5077.2</v>
      </c>
      <c r="F336" s="9" t="n">
        <v>2430100000</v>
      </c>
      <c r="G336" s="9" t="n">
        <v>18821900000</v>
      </c>
      <c r="H336">
        <f>H335*(E336/E335)</f>
        <v/>
      </c>
    </row>
    <row r="337">
      <c r="A337" s="8" t="n">
        <v>38877</v>
      </c>
      <c r="B337" s="7" t="n">
        <v>5077.2</v>
      </c>
      <c r="C337" s="7" t="n">
        <v>5120</v>
      </c>
      <c r="D337" s="7" t="n">
        <v>4903.9</v>
      </c>
      <c r="E337" s="7" t="n">
        <v>4966</v>
      </c>
      <c r="F337" s="9" t="n">
        <v>2812200000</v>
      </c>
      <c r="G337" s="9" t="n">
        <v>22049000000</v>
      </c>
      <c r="H337">
        <f>H336*(E337/E336)</f>
        <v/>
      </c>
    </row>
    <row r="338">
      <c r="A338" s="8" t="n">
        <v>38884</v>
      </c>
      <c r="B338" s="7" t="n">
        <v>4966</v>
      </c>
      <c r="C338" s="7" t="n">
        <v>4976.6</v>
      </c>
      <c r="D338" s="7" t="n">
        <v>4758.3</v>
      </c>
      <c r="E338" s="7" t="n">
        <v>4969</v>
      </c>
      <c r="F338" s="9" t="n">
        <v>2763800000</v>
      </c>
      <c r="G338" s="9" t="n">
        <v>20903800000</v>
      </c>
      <c r="H338">
        <f>H337*(E338/E337)</f>
        <v/>
      </c>
    </row>
    <row r="339">
      <c r="A339" s="8" t="n">
        <v>38891</v>
      </c>
      <c r="B339" s="7" t="n">
        <v>4969</v>
      </c>
      <c r="C339" s="7" t="n">
        <v>5011.8</v>
      </c>
      <c r="D339" s="7" t="n">
        <v>4843</v>
      </c>
      <c r="E339" s="7" t="n">
        <v>4964.9</v>
      </c>
      <c r="F339" s="9" t="n">
        <v>2487100000</v>
      </c>
      <c r="G339" s="9" t="n">
        <v>17313200000</v>
      </c>
      <c r="H339">
        <f>H338*(E339/E338)</f>
        <v/>
      </c>
    </row>
    <row r="340">
      <c r="A340" s="8" t="n">
        <v>38898</v>
      </c>
      <c r="B340" s="7" t="n">
        <v>4964.9</v>
      </c>
      <c r="C340" s="7" t="n">
        <v>5113.1</v>
      </c>
      <c r="D340" s="7" t="n">
        <v>4922.6</v>
      </c>
      <c r="E340" s="7" t="n">
        <v>5073.9</v>
      </c>
      <c r="F340" s="9" t="n">
        <v>2767200000</v>
      </c>
      <c r="G340" s="9" t="n">
        <v>23771500000</v>
      </c>
      <c r="H340">
        <f>H339*(E340/E339)</f>
        <v/>
      </c>
    </row>
    <row r="341">
      <c r="A341" s="8" t="n">
        <v>38905</v>
      </c>
      <c r="B341" s="7" t="n">
        <v>5073.9</v>
      </c>
      <c r="C341" s="7" t="n">
        <v>5146.6</v>
      </c>
      <c r="D341" s="7" t="n">
        <v>5053.5</v>
      </c>
      <c r="E341" s="7" t="n">
        <v>5135.3</v>
      </c>
      <c r="F341" s="9" t="n">
        <v>2418000000</v>
      </c>
      <c r="G341" s="9" t="n">
        <v>17117500000</v>
      </c>
      <c r="H341">
        <f>H340*(E341/E340)</f>
        <v/>
      </c>
    </row>
    <row r="342">
      <c r="A342" s="8" t="n">
        <v>38912</v>
      </c>
      <c r="B342" s="7" t="n">
        <v>5135.3</v>
      </c>
      <c r="C342" s="7" t="n">
        <v>5142.8</v>
      </c>
      <c r="D342" s="7" t="n">
        <v>4966.1</v>
      </c>
      <c r="E342" s="7" t="n">
        <v>4966.1</v>
      </c>
      <c r="F342" s="9" t="n">
        <v>2300000000</v>
      </c>
      <c r="G342" s="9" t="n">
        <v>17388000000</v>
      </c>
      <c r="H342">
        <f>H341*(E342/E341)</f>
        <v/>
      </c>
    </row>
    <row r="343">
      <c r="A343" s="8" t="n">
        <v>38919</v>
      </c>
      <c r="B343" s="7" t="n">
        <v>4966.1</v>
      </c>
      <c r="C343" s="7" t="n">
        <v>4996.5</v>
      </c>
      <c r="D343" s="7" t="n">
        <v>4899.9</v>
      </c>
      <c r="E343" s="7" t="n">
        <v>4960.6</v>
      </c>
      <c r="F343" s="9" t="n">
        <v>2203400000</v>
      </c>
      <c r="G343" s="9" t="n">
        <v>16715000000</v>
      </c>
      <c r="H343">
        <f>H342*(E343/E342)</f>
        <v/>
      </c>
    </row>
    <row r="344">
      <c r="A344" s="8" t="n">
        <v>38926</v>
      </c>
      <c r="B344" s="7" t="n">
        <v>4960.6</v>
      </c>
      <c r="C344" s="7" t="n">
        <v>5015.9</v>
      </c>
      <c r="D344" s="7" t="n">
        <v>4901.7</v>
      </c>
      <c r="E344" s="7" t="n">
        <v>4958.3</v>
      </c>
      <c r="F344" s="9" t="n">
        <v>2529600000</v>
      </c>
      <c r="G344" s="9" t="n">
        <v>19522600000</v>
      </c>
      <c r="H344">
        <f>H343*(E344/E343)</f>
        <v/>
      </c>
    </row>
    <row r="345">
      <c r="A345" s="8" t="n">
        <v>38933</v>
      </c>
      <c r="B345" s="7" t="n">
        <v>4958.3</v>
      </c>
      <c r="C345" s="7" t="n">
        <v>5027.1</v>
      </c>
      <c r="D345" s="7" t="n">
        <v>4919.5</v>
      </c>
      <c r="E345" s="7" t="n">
        <v>4956.1</v>
      </c>
      <c r="F345" s="9" t="n">
        <v>2463900000</v>
      </c>
      <c r="G345" s="9" t="n">
        <v>17928300000</v>
      </c>
      <c r="H345">
        <f>H344*(E345/E344)</f>
        <v/>
      </c>
    </row>
    <row r="346">
      <c r="A346" s="8" t="n">
        <v>38940</v>
      </c>
      <c r="B346" s="7" t="n">
        <v>4956.1</v>
      </c>
      <c r="C346" s="7" t="n">
        <v>5024.8</v>
      </c>
      <c r="D346" s="7" t="n">
        <v>4926.3</v>
      </c>
      <c r="E346" s="7" t="n">
        <v>4949.2</v>
      </c>
      <c r="F346" s="9" t="n">
        <v>2256100000</v>
      </c>
      <c r="G346" s="9" t="n">
        <v>17224100000</v>
      </c>
      <c r="H346">
        <f>H345*(E346/E345)</f>
        <v/>
      </c>
    </row>
    <row r="347">
      <c r="A347" s="8" t="n">
        <v>38947</v>
      </c>
      <c r="B347" s="7" t="n">
        <v>4949.2</v>
      </c>
      <c r="C347" s="7" t="n">
        <v>5059.1</v>
      </c>
      <c r="D347" s="7" t="n">
        <v>4927.4</v>
      </c>
      <c r="E347" s="7" t="n">
        <v>5052.5</v>
      </c>
      <c r="F347" s="9" t="n">
        <v>2878700000</v>
      </c>
      <c r="G347" s="9" t="n">
        <v>20241600000</v>
      </c>
      <c r="H347">
        <f>H346*(E347/E346)</f>
        <v/>
      </c>
    </row>
    <row r="348">
      <c r="A348" s="8" t="n">
        <v>38954</v>
      </c>
      <c r="B348" s="7" t="n">
        <v>5052.5</v>
      </c>
      <c r="C348" s="7" t="n">
        <v>5107.8</v>
      </c>
      <c r="D348" s="7" t="n">
        <v>4982.7</v>
      </c>
      <c r="E348" s="7" t="n">
        <v>5023.6</v>
      </c>
      <c r="F348" s="9" t="n">
        <v>3260900000</v>
      </c>
      <c r="G348" s="9" t="n">
        <v>24035800000</v>
      </c>
      <c r="H348">
        <f>H347*(E348/E347)</f>
        <v/>
      </c>
    </row>
    <row r="349">
      <c r="A349" s="8" t="n">
        <v>38961</v>
      </c>
      <c r="B349" s="7" t="n">
        <v>5023.6</v>
      </c>
      <c r="C349" s="7" t="n">
        <v>5121.3</v>
      </c>
      <c r="D349" s="7" t="n">
        <v>5014.3</v>
      </c>
      <c r="E349" s="7" t="n">
        <v>5097.1</v>
      </c>
      <c r="F349" s="9" t="n">
        <v>2675500000</v>
      </c>
      <c r="G349" s="9" t="n">
        <v>18831000000</v>
      </c>
      <c r="H349">
        <f>H348*(E349/E348)</f>
        <v/>
      </c>
    </row>
    <row r="350">
      <c r="A350" s="8" t="n">
        <v>38968</v>
      </c>
      <c r="B350" s="7" t="n">
        <v>5097.1</v>
      </c>
      <c r="C350" s="7" t="n">
        <v>5164.2</v>
      </c>
      <c r="D350" s="7" t="n">
        <v>5061.4</v>
      </c>
      <c r="E350" s="7" t="n">
        <v>5098.3</v>
      </c>
      <c r="F350" s="9" t="n">
        <v>2419500000</v>
      </c>
      <c r="G350" s="9" t="n">
        <v>17245900000</v>
      </c>
      <c r="H350">
        <f>H349*(E350/E349)</f>
        <v/>
      </c>
    </row>
    <row r="351">
      <c r="A351" s="8" t="n">
        <v>38975</v>
      </c>
      <c r="B351" s="7" t="n">
        <v>5098.3</v>
      </c>
      <c r="C351" s="7" t="n">
        <v>5099.5</v>
      </c>
      <c r="D351" s="7" t="n">
        <v>4961.3</v>
      </c>
      <c r="E351" s="7" t="n">
        <v>5036.4</v>
      </c>
      <c r="F351" s="9" t="n">
        <v>2776800000</v>
      </c>
      <c r="G351" s="9" t="n">
        <v>21603300000</v>
      </c>
      <c r="H351">
        <f>H350*(E351/E350)</f>
        <v/>
      </c>
    </row>
    <row r="352">
      <c r="A352" s="8" t="n">
        <v>38982</v>
      </c>
      <c r="B352" s="7" t="n">
        <v>5036.4</v>
      </c>
      <c r="C352" s="7" t="n">
        <v>5098.4</v>
      </c>
      <c r="D352" s="7" t="n">
        <v>4964.2</v>
      </c>
      <c r="E352" s="7" t="n">
        <v>4983.2</v>
      </c>
      <c r="F352" s="9" t="n">
        <v>3374000000</v>
      </c>
      <c r="G352" s="9" t="n">
        <v>24671100000</v>
      </c>
      <c r="H352">
        <f>H351*(E352/E351)</f>
        <v/>
      </c>
    </row>
    <row r="353">
      <c r="A353" s="8" t="n">
        <v>38989</v>
      </c>
      <c r="B353" s="7" t="n">
        <v>4983.2</v>
      </c>
      <c r="C353" s="7" t="n">
        <v>5155.3</v>
      </c>
      <c r="D353" s="7" t="n">
        <v>4963.4</v>
      </c>
      <c r="E353" s="7" t="n">
        <v>5154.1</v>
      </c>
      <c r="F353" s="9" t="n">
        <v>3274800000</v>
      </c>
      <c r="G353" s="9" t="n">
        <v>22947900000</v>
      </c>
      <c r="H353">
        <f>H352*(E353/E352)</f>
        <v/>
      </c>
    </row>
    <row r="354">
      <c r="A354" s="8" t="n">
        <v>38996</v>
      </c>
      <c r="B354" s="7" t="n">
        <v>5154.1</v>
      </c>
      <c r="C354" s="7" t="n">
        <v>5229.3</v>
      </c>
      <c r="D354" s="7" t="n">
        <v>5142.7</v>
      </c>
      <c r="E354" s="7" t="n">
        <v>5220.7</v>
      </c>
      <c r="F354" s="9" t="n">
        <v>2163700000</v>
      </c>
      <c r="G354" s="9" t="n">
        <v>16061500000</v>
      </c>
      <c r="H354">
        <f>H353*(E354/E353)</f>
        <v/>
      </c>
    </row>
    <row r="355">
      <c r="A355" s="8" t="n">
        <v>39003</v>
      </c>
      <c r="B355" s="7" t="n">
        <v>5220.7</v>
      </c>
      <c r="C355" s="7" t="n">
        <v>5314.5</v>
      </c>
      <c r="D355" s="7" t="n">
        <v>5173.1</v>
      </c>
      <c r="E355" s="7" t="n">
        <v>5290</v>
      </c>
      <c r="F355" s="9" t="n">
        <v>2658400000</v>
      </c>
      <c r="G355" s="9" t="n">
        <v>19283200000</v>
      </c>
      <c r="H355">
        <f>H354*(E355/E354)</f>
        <v/>
      </c>
    </row>
    <row r="356">
      <c r="A356" s="8" t="n">
        <v>39010</v>
      </c>
      <c r="B356" s="7" t="n">
        <v>5290</v>
      </c>
      <c r="C356" s="7" t="n">
        <v>5335.4</v>
      </c>
      <c r="D356" s="7" t="n">
        <v>5264.6</v>
      </c>
      <c r="E356" s="7" t="n">
        <v>5335.4</v>
      </c>
      <c r="F356" s="9" t="n">
        <v>3234200000</v>
      </c>
      <c r="G356" s="9" t="n">
        <v>23580600000</v>
      </c>
      <c r="H356">
        <f>H355*(E356/E355)</f>
        <v/>
      </c>
    </row>
    <row r="357">
      <c r="A357" s="8" t="n">
        <v>39017</v>
      </c>
      <c r="B357" s="7" t="n">
        <v>5335.4</v>
      </c>
      <c r="C357" s="7" t="n">
        <v>5391.1</v>
      </c>
      <c r="D357" s="7" t="n">
        <v>5315.9</v>
      </c>
      <c r="E357" s="7" t="n">
        <v>5358.5</v>
      </c>
      <c r="F357" s="9" t="n">
        <v>3219700000</v>
      </c>
      <c r="G357" s="9" t="n">
        <v>26396700000</v>
      </c>
      <c r="H357">
        <f>H356*(E357/E356)</f>
        <v/>
      </c>
    </row>
    <row r="358">
      <c r="A358" s="8" t="n">
        <v>39024</v>
      </c>
      <c r="B358" s="7" t="n">
        <v>5358.5</v>
      </c>
      <c r="C358" s="7" t="n">
        <v>5432.5</v>
      </c>
      <c r="D358" s="7" t="n">
        <v>5348.8</v>
      </c>
      <c r="E358" s="7" t="n">
        <v>5432</v>
      </c>
      <c r="F358" s="9" t="n">
        <v>2800700000</v>
      </c>
      <c r="G358" s="9" t="n">
        <v>22265100000</v>
      </c>
      <c r="H358">
        <f>H357*(E358/E357)</f>
        <v/>
      </c>
    </row>
    <row r="359">
      <c r="A359" s="8" t="n">
        <v>39031</v>
      </c>
      <c r="B359" s="7" t="n">
        <v>5432</v>
      </c>
      <c r="C359" s="7" t="n">
        <v>5496.3</v>
      </c>
      <c r="D359" s="7" t="n">
        <v>5406.3</v>
      </c>
      <c r="E359" s="7" t="n">
        <v>5436.7</v>
      </c>
      <c r="F359" s="9" t="n">
        <v>2513700000</v>
      </c>
      <c r="G359" s="9" t="n">
        <v>20879300000</v>
      </c>
      <c r="H359">
        <f>H358*(E359/E358)</f>
        <v/>
      </c>
    </row>
    <row r="360">
      <c r="A360" s="8" t="n">
        <v>39038</v>
      </c>
      <c r="B360" s="7" t="n">
        <v>5436.7</v>
      </c>
      <c r="C360" s="7" t="n">
        <v>5462</v>
      </c>
      <c r="D360" s="7" t="n">
        <v>5356.9</v>
      </c>
      <c r="E360" s="7" t="n">
        <v>5419.7</v>
      </c>
      <c r="F360" s="9" t="n">
        <v>2766000000</v>
      </c>
      <c r="G360" s="9" t="n">
        <v>22600800000</v>
      </c>
      <c r="H360">
        <f>H359*(E360/E359)</f>
        <v/>
      </c>
    </row>
    <row r="361">
      <c r="A361" s="8" t="n">
        <v>39045</v>
      </c>
      <c r="B361" s="7" t="n">
        <v>5419.7</v>
      </c>
      <c r="C361" s="7" t="n">
        <v>5473.8</v>
      </c>
      <c r="D361" s="7" t="n">
        <v>5322.4</v>
      </c>
      <c r="E361" s="7" t="n">
        <v>5453.6</v>
      </c>
      <c r="F361" s="9" t="n">
        <v>3872000000</v>
      </c>
      <c r="G361" s="9" t="n">
        <v>28922600000</v>
      </c>
      <c r="H361">
        <f>H360*(E361/E360)</f>
        <v/>
      </c>
    </row>
    <row r="362">
      <c r="A362" s="8" t="n">
        <v>39052</v>
      </c>
      <c r="B362" s="7" t="n">
        <v>5453.6</v>
      </c>
      <c r="C362" s="7" t="n">
        <v>5495.7</v>
      </c>
      <c r="D362" s="7" t="n">
        <v>5368.3</v>
      </c>
      <c r="E362" s="7" t="n">
        <v>5427.9</v>
      </c>
      <c r="F362" s="9" t="n">
        <v>3407800000</v>
      </c>
      <c r="G362" s="9" t="n">
        <v>23510500000</v>
      </c>
      <c r="H362">
        <f>H361*(E362/E361)</f>
        <v/>
      </c>
    </row>
    <row r="363">
      <c r="A363" s="8" t="n">
        <v>39059</v>
      </c>
      <c r="B363" s="7" t="n">
        <v>5427.9</v>
      </c>
      <c r="C363" s="7" t="n">
        <v>5471.6</v>
      </c>
      <c r="D363" s="7" t="n">
        <v>5411</v>
      </c>
      <c r="E363" s="7" t="n">
        <v>5425.8</v>
      </c>
      <c r="F363" s="9" t="n">
        <v>3214100000</v>
      </c>
      <c r="G363" s="9" t="n">
        <v>22136400000</v>
      </c>
      <c r="H363">
        <f>H362*(E363/E362)</f>
        <v/>
      </c>
    </row>
    <row r="364">
      <c r="A364" s="8" t="n">
        <v>39066</v>
      </c>
      <c r="B364" s="7" t="n">
        <v>5425.8</v>
      </c>
      <c r="C364" s="7" t="n">
        <v>5587.4</v>
      </c>
      <c r="D364" s="7" t="n">
        <v>5425.8</v>
      </c>
      <c r="E364" s="7" t="n">
        <v>5575.4</v>
      </c>
      <c r="F364" s="9" t="n">
        <v>3176100000</v>
      </c>
      <c r="G364" s="9" t="n">
        <v>21793100000</v>
      </c>
      <c r="H364">
        <f>H363*(E364/E363)</f>
        <v/>
      </c>
    </row>
    <row r="365">
      <c r="A365" s="8" t="n">
        <v>39073</v>
      </c>
      <c r="B365" s="7" t="n">
        <v>5575.4</v>
      </c>
      <c r="C365" s="7" t="n">
        <v>5618.4</v>
      </c>
      <c r="D365" s="7" t="n">
        <v>5557.1</v>
      </c>
      <c r="E365" s="7" t="n">
        <v>5603.7</v>
      </c>
      <c r="F365" s="9" t="n">
        <v>3692000000</v>
      </c>
      <c r="G365" s="9" t="n">
        <v>31534800000</v>
      </c>
      <c r="H365">
        <f>H364*(E365/E364)</f>
        <v/>
      </c>
    </row>
    <row r="366">
      <c r="A366" s="8" t="n">
        <v>39080</v>
      </c>
      <c r="B366" s="7" t="n">
        <v>5603.7</v>
      </c>
      <c r="C366" s="7" t="n">
        <v>5684.4</v>
      </c>
      <c r="D366" s="7" t="n">
        <v>5600.8</v>
      </c>
      <c r="E366" s="7" t="n">
        <v>5669.9</v>
      </c>
      <c r="F366" s="9" t="n">
        <v>736200000</v>
      </c>
      <c r="G366" s="9" t="n">
        <v>4973200000</v>
      </c>
      <c r="H366">
        <f>H365*(E366/E365)</f>
        <v/>
      </c>
    </row>
    <row r="367">
      <c r="A367" s="8" t="n">
        <v>39087</v>
      </c>
      <c r="B367" s="7" t="n">
        <v>5669.9</v>
      </c>
      <c r="C367" s="7" t="n">
        <v>5698.2</v>
      </c>
      <c r="D367" s="7" t="n">
        <v>5565.2</v>
      </c>
      <c r="E367" s="7" t="n">
        <v>5572</v>
      </c>
      <c r="F367" s="9" t="n">
        <v>1535900000</v>
      </c>
      <c r="G367" s="9" t="n">
        <v>12526500000</v>
      </c>
      <c r="H367">
        <f>H366*(E367/E366)</f>
        <v/>
      </c>
    </row>
    <row r="368">
      <c r="A368" s="8" t="n">
        <v>39094</v>
      </c>
      <c r="B368" s="7" t="n">
        <v>5572.1</v>
      </c>
      <c r="C368" s="7" t="n">
        <v>5638.8</v>
      </c>
      <c r="D368" s="7" t="n">
        <v>5499</v>
      </c>
      <c r="E368" s="7" t="n">
        <v>5638.8</v>
      </c>
      <c r="F368" s="9" t="n">
        <v>3129000000</v>
      </c>
      <c r="G368" s="9" t="n">
        <v>22530800000</v>
      </c>
      <c r="H368">
        <f>H367*(E368/E367)</f>
        <v/>
      </c>
    </row>
    <row r="369">
      <c r="A369" s="8" t="n">
        <v>39101</v>
      </c>
      <c r="B369" s="7" t="n">
        <v>5638.8</v>
      </c>
      <c r="C369" s="7" t="n">
        <v>5705.4</v>
      </c>
      <c r="D369" s="7" t="n">
        <v>5633.2</v>
      </c>
      <c r="E369" s="7" t="n">
        <v>5673.1</v>
      </c>
      <c r="F369" s="9" t="n">
        <v>2767500000</v>
      </c>
      <c r="G369" s="9" t="n">
        <v>20532900000</v>
      </c>
      <c r="H369">
        <f>H368*(E369/E368)</f>
        <v/>
      </c>
    </row>
    <row r="370">
      <c r="A370" s="8" t="n">
        <v>39107</v>
      </c>
      <c r="B370" s="7" t="n">
        <v>5673.1</v>
      </c>
      <c r="C370" s="7" t="n">
        <v>5802.1</v>
      </c>
      <c r="D370" s="7" t="n">
        <v>5673.1</v>
      </c>
      <c r="E370" s="7" t="n">
        <v>5769.9</v>
      </c>
      <c r="F370" s="9" t="n">
        <v>2516000000</v>
      </c>
      <c r="G370" s="9" t="n">
        <v>22127200000</v>
      </c>
      <c r="H370">
        <f>H369*(E370/E369)</f>
        <v/>
      </c>
    </row>
    <row r="371">
      <c r="A371" s="8" t="n">
        <v>39115</v>
      </c>
      <c r="B371" s="7" t="n">
        <v>5769.9</v>
      </c>
      <c r="C371" s="7" t="n">
        <v>5841.3</v>
      </c>
      <c r="D371" s="7" t="n">
        <v>5752.6</v>
      </c>
      <c r="E371" s="7" t="n">
        <v>5831.5</v>
      </c>
      <c r="F371" s="9" t="n">
        <v>3373900000</v>
      </c>
      <c r="G371" s="9" t="n">
        <v>26263600000</v>
      </c>
      <c r="H371">
        <f>H370*(E371/E370)</f>
        <v/>
      </c>
    </row>
    <row r="372">
      <c r="A372" s="8" t="n">
        <v>39122</v>
      </c>
      <c r="B372" s="7" t="n">
        <v>5831.5</v>
      </c>
      <c r="C372" s="7" t="n">
        <v>5927.2</v>
      </c>
      <c r="D372" s="7" t="n">
        <v>5801.4</v>
      </c>
      <c r="E372" s="7" t="n">
        <v>5927.2</v>
      </c>
      <c r="F372" s="9" t="n">
        <v>3371200000</v>
      </c>
      <c r="G372" s="9" t="n">
        <v>28248800000</v>
      </c>
      <c r="H372">
        <f>H371*(E372/E371)</f>
        <v/>
      </c>
    </row>
    <row r="373">
      <c r="A373" s="8" t="n">
        <v>39129</v>
      </c>
      <c r="B373" s="7" t="n">
        <v>5927.2</v>
      </c>
      <c r="C373" s="7" t="n">
        <v>6000</v>
      </c>
      <c r="D373" s="7" t="n">
        <v>5905.4</v>
      </c>
      <c r="E373" s="7" t="n">
        <v>5953.7</v>
      </c>
      <c r="F373" s="9" t="n">
        <v>3151100000</v>
      </c>
      <c r="G373" s="9" t="n">
        <v>25160300000</v>
      </c>
      <c r="H373">
        <f>H372*(E373/E372)</f>
        <v/>
      </c>
    </row>
    <row r="374">
      <c r="A374" s="8" t="n">
        <v>39136</v>
      </c>
      <c r="B374" s="7" t="n">
        <v>5953.7</v>
      </c>
      <c r="C374" s="7" t="n">
        <v>6052.1</v>
      </c>
      <c r="D374" s="7" t="n">
        <v>5950.5</v>
      </c>
      <c r="E374" s="7" t="n">
        <v>6036.1</v>
      </c>
      <c r="F374" s="9" t="n">
        <v>3311900000</v>
      </c>
      <c r="G374" s="9" t="n">
        <v>29417300000</v>
      </c>
      <c r="H374">
        <f>H373*(E374/E373)</f>
        <v/>
      </c>
    </row>
    <row r="375">
      <c r="A375" s="8" t="n">
        <v>39143</v>
      </c>
      <c r="B375" s="7" t="n">
        <v>6036.1</v>
      </c>
      <c r="C375" s="7" t="n">
        <v>6044</v>
      </c>
      <c r="D375" s="7" t="n">
        <v>5780.9</v>
      </c>
      <c r="E375" s="7" t="n">
        <v>5786</v>
      </c>
      <c r="F375" s="9" t="n">
        <v>3661000000</v>
      </c>
      <c r="G375" s="9" t="n">
        <v>30651500000</v>
      </c>
      <c r="H375">
        <f>H374*(E375/E374)</f>
        <v/>
      </c>
    </row>
    <row r="376">
      <c r="A376" s="8" t="n">
        <v>39150</v>
      </c>
      <c r="B376" s="7" t="n">
        <v>5786</v>
      </c>
      <c r="C376" s="7" t="n">
        <v>5852.6</v>
      </c>
      <c r="D376" s="7" t="n">
        <v>5641.1</v>
      </c>
      <c r="E376" s="7" t="n">
        <v>5830.2</v>
      </c>
      <c r="F376" s="9" t="n">
        <v>3482400000</v>
      </c>
      <c r="G376" s="9" t="n">
        <v>28779500000</v>
      </c>
      <c r="H376">
        <f>H375*(E376/E375)</f>
        <v/>
      </c>
    </row>
    <row r="377">
      <c r="A377" s="8" t="n">
        <v>39157</v>
      </c>
      <c r="B377" s="7" t="n">
        <v>5830.2</v>
      </c>
      <c r="C377" s="7" t="n">
        <v>5917.7</v>
      </c>
      <c r="D377" s="7" t="n">
        <v>5741.9</v>
      </c>
      <c r="E377" s="7" t="n">
        <v>5836.3</v>
      </c>
      <c r="F377" s="9" t="n">
        <v>3393800000</v>
      </c>
      <c r="G377" s="9" t="n">
        <v>27565900000</v>
      </c>
      <c r="H377">
        <f>H376*(E377/E376)</f>
        <v/>
      </c>
    </row>
    <row r="378">
      <c r="A378" s="8" t="n">
        <v>39164</v>
      </c>
      <c r="B378" s="7" t="n">
        <v>5836.3</v>
      </c>
      <c r="C378" s="7" t="n">
        <v>5968.1</v>
      </c>
      <c r="D378" s="7" t="n">
        <v>5818.6</v>
      </c>
      <c r="E378" s="7" t="n">
        <v>5952.3</v>
      </c>
      <c r="F378" s="9" t="n">
        <v>2726700000</v>
      </c>
      <c r="G378" s="9" t="n">
        <v>24036800000</v>
      </c>
      <c r="H378">
        <f>H377*(E378/E377)</f>
        <v/>
      </c>
    </row>
    <row r="379">
      <c r="A379" s="8" t="n">
        <v>39171</v>
      </c>
      <c r="B379" s="7" t="n">
        <v>5952.3</v>
      </c>
      <c r="C379" s="7" t="n">
        <v>5998.9</v>
      </c>
      <c r="D379" s="7" t="n">
        <v>5905.3</v>
      </c>
      <c r="E379" s="7" t="n">
        <v>5995</v>
      </c>
      <c r="F379" s="9" t="n">
        <v>3508900000</v>
      </c>
      <c r="G379" s="9" t="n">
        <v>31260500000</v>
      </c>
      <c r="H379">
        <f>H378*(E379/E378)</f>
        <v/>
      </c>
    </row>
    <row r="380">
      <c r="A380" s="8" t="n">
        <v>39177</v>
      </c>
      <c r="B380" s="7" t="n">
        <v>5995</v>
      </c>
      <c r="C380" s="7" t="n">
        <v>6097.2</v>
      </c>
      <c r="D380" s="7" t="n">
        <v>5915.8</v>
      </c>
      <c r="E380" s="7" t="n">
        <v>6077.1</v>
      </c>
      <c r="F380" s="9" t="n">
        <v>2450200000</v>
      </c>
      <c r="G380" s="9" t="n">
        <v>20109400000</v>
      </c>
      <c r="H380">
        <f>H379*(E380/E379)</f>
        <v/>
      </c>
    </row>
    <row r="381">
      <c r="A381" s="8" t="n">
        <v>39185</v>
      </c>
      <c r="B381" s="7" t="n">
        <v>6077.1</v>
      </c>
      <c r="C381" s="7" t="n">
        <v>6195.8</v>
      </c>
      <c r="D381" s="7" t="n">
        <v>6077.1</v>
      </c>
      <c r="E381" s="7" t="n">
        <v>6135.8</v>
      </c>
      <c r="F381" s="9" t="n">
        <v>2648700000</v>
      </c>
      <c r="G381" s="9" t="n">
        <v>22071000000</v>
      </c>
      <c r="H381">
        <f>H380*(E381/E380)</f>
        <v/>
      </c>
    </row>
    <row r="382">
      <c r="A382" s="8" t="n">
        <v>39192</v>
      </c>
      <c r="B382" s="7" t="n">
        <v>6135.8</v>
      </c>
      <c r="C382" s="7" t="n">
        <v>6265.2</v>
      </c>
      <c r="D382" s="7" t="n">
        <v>6135.8</v>
      </c>
      <c r="E382" s="7" t="n">
        <v>6207.5</v>
      </c>
      <c r="F382" s="9" t="n">
        <v>3406000000</v>
      </c>
      <c r="G382" s="9" t="n">
        <v>28507700000</v>
      </c>
      <c r="H382">
        <f>H381*(E382/E381)</f>
        <v/>
      </c>
    </row>
    <row r="383">
      <c r="A383" s="8" t="n">
        <v>39199</v>
      </c>
      <c r="B383" s="7" t="n">
        <v>6207.5</v>
      </c>
      <c r="C383" s="7" t="n">
        <v>6252.3</v>
      </c>
      <c r="D383" s="7" t="n">
        <v>6144.2</v>
      </c>
      <c r="E383" s="7" t="n">
        <v>6151.6</v>
      </c>
      <c r="F383" s="9" t="n">
        <v>2734100000</v>
      </c>
      <c r="G383" s="9" t="n">
        <v>25236200000</v>
      </c>
      <c r="H383">
        <f>H382*(E383/E382)</f>
        <v/>
      </c>
    </row>
    <row r="384">
      <c r="A384" s="8" t="n">
        <v>39206</v>
      </c>
      <c r="B384" s="7" t="n">
        <v>6151.6</v>
      </c>
      <c r="C384" s="7" t="n">
        <v>6304.9</v>
      </c>
      <c r="D384" s="7" t="n">
        <v>6134.2</v>
      </c>
      <c r="E384" s="7" t="n">
        <v>6304.9</v>
      </c>
      <c r="F384" s="9" t="n">
        <v>3244100000</v>
      </c>
      <c r="G384" s="9" t="n">
        <v>25738500000</v>
      </c>
      <c r="H384">
        <f>H383*(E384/E383)</f>
        <v/>
      </c>
    </row>
    <row r="385">
      <c r="A385" s="8" t="n">
        <v>39213</v>
      </c>
      <c r="B385" s="7" t="n">
        <v>6304.9</v>
      </c>
      <c r="C385" s="7" t="n">
        <v>6382.7</v>
      </c>
      <c r="D385" s="7" t="n">
        <v>6280.5</v>
      </c>
      <c r="E385" s="7" t="n">
        <v>6297.4</v>
      </c>
      <c r="F385" s="9" t="n">
        <v>3443100000</v>
      </c>
      <c r="G385" s="9" t="n">
        <v>31299100000</v>
      </c>
      <c r="H385">
        <f>H384*(E385/E384)</f>
        <v/>
      </c>
    </row>
    <row r="386">
      <c r="A386" s="8" t="n">
        <v>39220</v>
      </c>
      <c r="B386" s="7" t="n">
        <v>6297.4</v>
      </c>
      <c r="C386" s="7" t="n">
        <v>6365.9</v>
      </c>
      <c r="D386" s="7" t="n">
        <v>6267.3</v>
      </c>
      <c r="E386" s="7" t="n">
        <v>6312.5</v>
      </c>
      <c r="F386" s="9" t="n">
        <v>3128100000</v>
      </c>
      <c r="G386" s="9" t="n">
        <v>27017900000</v>
      </c>
      <c r="H386">
        <f>H385*(E386/E385)</f>
        <v/>
      </c>
    </row>
    <row r="387">
      <c r="A387" s="8" t="n">
        <v>39227</v>
      </c>
      <c r="B387" s="7" t="n">
        <v>6318.7</v>
      </c>
      <c r="C387" s="7" t="n">
        <v>6384.1</v>
      </c>
      <c r="D387" s="7" t="n">
        <v>6226.4</v>
      </c>
      <c r="E387" s="7" t="n">
        <v>6252.8</v>
      </c>
      <c r="F387" s="9" t="n">
        <v>3684700000</v>
      </c>
      <c r="G387" s="9" t="n">
        <v>31502000000</v>
      </c>
      <c r="H387">
        <f>H386*(E387/E386)</f>
        <v/>
      </c>
    </row>
    <row r="388">
      <c r="A388" s="8" t="n">
        <v>39234</v>
      </c>
      <c r="B388" s="7" t="n">
        <v>6252.8</v>
      </c>
      <c r="C388" s="7" t="n">
        <v>6352.5</v>
      </c>
      <c r="D388" s="7" t="n">
        <v>6231</v>
      </c>
      <c r="E388" s="7" t="n">
        <v>6333.5</v>
      </c>
      <c r="F388" s="9" t="n">
        <v>3473500000</v>
      </c>
      <c r="G388" s="9" t="n">
        <v>29081100000</v>
      </c>
      <c r="H388">
        <f>H387*(E388/E387)</f>
        <v/>
      </c>
    </row>
    <row r="389">
      <c r="A389" s="8" t="n">
        <v>39241</v>
      </c>
      <c r="B389" s="7" t="n">
        <v>6333.5</v>
      </c>
      <c r="C389" s="7" t="n">
        <v>6409.2</v>
      </c>
      <c r="D389" s="7" t="n">
        <v>6199.3</v>
      </c>
      <c r="E389" s="7" t="n">
        <v>6231.7</v>
      </c>
      <c r="F389" s="9" t="n">
        <v>3592000000</v>
      </c>
      <c r="G389" s="9" t="n">
        <v>29663100000</v>
      </c>
      <c r="H389">
        <f>H388*(E389/E388)</f>
        <v/>
      </c>
    </row>
    <row r="390">
      <c r="A390" s="8" t="n">
        <v>39248</v>
      </c>
      <c r="B390" s="7" t="n">
        <v>6231.7</v>
      </c>
      <c r="C390" s="7" t="n">
        <v>6298.5</v>
      </c>
      <c r="D390" s="7" t="n">
        <v>6170.2</v>
      </c>
      <c r="E390" s="7" t="n">
        <v>6293.8</v>
      </c>
      <c r="F390" s="9" t="n">
        <v>2834900000</v>
      </c>
      <c r="G390" s="9" t="n">
        <v>23654300000</v>
      </c>
      <c r="H390">
        <f>H389*(E390/E389)</f>
        <v/>
      </c>
    </row>
    <row r="391">
      <c r="A391" s="8" t="n">
        <v>39255</v>
      </c>
      <c r="B391" s="7" t="n">
        <v>6293.8</v>
      </c>
      <c r="C391" s="7" t="n">
        <v>6403.9</v>
      </c>
      <c r="D391" s="7" t="n">
        <v>6293.8</v>
      </c>
      <c r="E391" s="7" t="n">
        <v>6382.6</v>
      </c>
      <c r="F391" s="9" t="n">
        <v>4589600000</v>
      </c>
      <c r="G391" s="9" t="n">
        <v>38173300000</v>
      </c>
      <c r="H391">
        <f>H390*(E391/E390)</f>
        <v/>
      </c>
    </row>
    <row r="392">
      <c r="A392" s="8" t="n">
        <v>39262</v>
      </c>
      <c r="B392" s="7" t="n">
        <v>6382.6</v>
      </c>
      <c r="C392" s="7" t="n">
        <v>6382.6</v>
      </c>
      <c r="D392" s="7" t="n">
        <v>6184.2</v>
      </c>
      <c r="E392" s="7" t="n">
        <v>6274.9</v>
      </c>
      <c r="F392" s="9" t="n">
        <v>4524000000</v>
      </c>
      <c r="G392" s="9" t="n">
        <v>39198100000</v>
      </c>
      <c r="H392">
        <f>H391*(E392/E391)</f>
        <v/>
      </c>
    </row>
    <row r="393">
      <c r="A393" s="8" t="n">
        <v>39269</v>
      </c>
      <c r="B393" s="7" t="n">
        <v>6274.9</v>
      </c>
      <c r="C393" s="7" t="n">
        <v>6362.3</v>
      </c>
      <c r="D393" s="7" t="n">
        <v>6254.6</v>
      </c>
      <c r="E393" s="7" t="n">
        <v>6351.1</v>
      </c>
      <c r="F393" s="9" t="n">
        <v>3772500000</v>
      </c>
      <c r="G393" s="9" t="n">
        <v>29582800000</v>
      </c>
      <c r="H393">
        <f>H392*(E393/E392)</f>
        <v/>
      </c>
    </row>
    <row r="394">
      <c r="A394" s="8" t="n">
        <v>39276</v>
      </c>
      <c r="B394" s="7" t="n">
        <v>6351.1</v>
      </c>
      <c r="C394" s="7" t="n">
        <v>6436.7</v>
      </c>
      <c r="D394" s="7" t="n">
        <v>6300.8</v>
      </c>
      <c r="E394" s="7" t="n">
        <v>6389.4</v>
      </c>
      <c r="F394" s="9" t="n">
        <v>3207100000</v>
      </c>
      <c r="G394" s="9" t="n">
        <v>27861200000</v>
      </c>
      <c r="H394">
        <f>H393*(E394/E393)</f>
        <v/>
      </c>
    </row>
    <row r="395">
      <c r="A395" s="8" t="n">
        <v>39283</v>
      </c>
      <c r="B395" s="7" t="n">
        <v>6389.4</v>
      </c>
      <c r="C395" s="7" t="n">
        <v>6422.3</v>
      </c>
      <c r="D395" s="7" t="n">
        <v>6326.4</v>
      </c>
      <c r="E395" s="7" t="n">
        <v>6421.8</v>
      </c>
      <c r="F395" s="9" t="n">
        <v>3292200000</v>
      </c>
      <c r="G395" s="9" t="n">
        <v>27309000000</v>
      </c>
      <c r="H395">
        <f>H394*(E395/E394)</f>
        <v/>
      </c>
    </row>
    <row r="396">
      <c r="A396" s="8" t="n">
        <v>39290</v>
      </c>
      <c r="B396" s="7" t="n">
        <v>6421.8</v>
      </c>
      <c r="C396" s="7" t="n">
        <v>6432.2</v>
      </c>
      <c r="D396" s="7" t="n">
        <v>6082.9</v>
      </c>
      <c r="E396" s="7" t="n">
        <v>6082.9</v>
      </c>
      <c r="F396" s="9" t="n">
        <v>3856700000</v>
      </c>
      <c r="G396" s="9" t="n">
        <v>34767100000</v>
      </c>
      <c r="H396">
        <f>H395*(E396/E395)</f>
        <v/>
      </c>
    </row>
    <row r="397">
      <c r="A397" s="8" t="n">
        <v>39297</v>
      </c>
      <c r="B397" s="7" t="n">
        <v>6082.9</v>
      </c>
      <c r="C397" s="7" t="n">
        <v>6145.4</v>
      </c>
      <c r="D397" s="7" t="n">
        <v>5903.2</v>
      </c>
      <c r="E397" s="7" t="n">
        <v>6021</v>
      </c>
      <c r="F397" s="9" t="n">
        <v>3662900000</v>
      </c>
      <c r="G397" s="9" t="n">
        <v>31926400000</v>
      </c>
      <c r="H397">
        <f>H396*(E397/E396)</f>
        <v/>
      </c>
    </row>
    <row r="398">
      <c r="A398" s="8" t="n">
        <v>39304</v>
      </c>
      <c r="B398" s="7" t="n">
        <v>6021</v>
      </c>
      <c r="C398" s="7" t="n">
        <v>6165.6</v>
      </c>
      <c r="D398" s="7" t="n">
        <v>5891.1</v>
      </c>
      <c r="E398" s="7" t="n">
        <v>5936</v>
      </c>
      <c r="F398" s="9" t="n">
        <v>3861400000</v>
      </c>
      <c r="G398" s="9" t="n">
        <v>31548800000</v>
      </c>
      <c r="H398">
        <f>H397*(E398/E397)</f>
        <v/>
      </c>
    </row>
    <row r="399">
      <c r="A399" s="8" t="n">
        <v>39311</v>
      </c>
      <c r="B399" s="7" t="n">
        <v>5936</v>
      </c>
      <c r="C399" s="7" t="n">
        <v>6040.4</v>
      </c>
      <c r="D399" s="7" t="n">
        <v>5483.3</v>
      </c>
      <c r="E399" s="7" t="n">
        <v>5671</v>
      </c>
      <c r="F399" s="9" t="n">
        <v>4701400000</v>
      </c>
      <c r="G399" s="9" t="n">
        <v>38543500000</v>
      </c>
      <c r="H399">
        <f>H398*(E399/E398)</f>
        <v/>
      </c>
    </row>
    <row r="400">
      <c r="A400" s="8" t="n">
        <v>39318</v>
      </c>
      <c r="B400" s="7" t="n">
        <v>5671</v>
      </c>
      <c r="C400" s="7" t="n">
        <v>6177.7</v>
      </c>
      <c r="D400" s="7" t="n">
        <v>5671</v>
      </c>
      <c r="E400" s="7" t="n">
        <v>6088.5</v>
      </c>
      <c r="F400" s="9" t="n">
        <v>3735000000</v>
      </c>
      <c r="G400" s="9" t="n">
        <v>31511800000</v>
      </c>
      <c r="H400">
        <f>H399*(E400/E399)</f>
        <v/>
      </c>
    </row>
    <row r="401">
      <c r="A401" s="8" t="n">
        <v>39325</v>
      </c>
      <c r="B401" s="7" t="n">
        <v>6088.5</v>
      </c>
      <c r="C401" s="7" t="n">
        <v>6247.2</v>
      </c>
      <c r="D401" s="7" t="n">
        <v>6031.6</v>
      </c>
      <c r="E401" s="7" t="n">
        <v>6247.2</v>
      </c>
      <c r="F401" s="9" t="n">
        <v>3993200000</v>
      </c>
      <c r="G401" s="9" t="n">
        <v>33067300000</v>
      </c>
      <c r="H401">
        <f>H400*(E401/E400)</f>
        <v/>
      </c>
    </row>
    <row r="402">
      <c r="A402" s="8" t="n">
        <v>39332</v>
      </c>
      <c r="B402" s="7" t="n">
        <v>6247.2</v>
      </c>
      <c r="C402" s="7" t="n">
        <v>6355.7</v>
      </c>
      <c r="D402" s="7" t="n">
        <v>6189.7</v>
      </c>
      <c r="E402" s="7" t="n">
        <v>6278.4</v>
      </c>
      <c r="F402" s="9" t="n">
        <v>2773100000</v>
      </c>
      <c r="G402" s="9" t="n">
        <v>22733100000</v>
      </c>
      <c r="H402">
        <f>H401*(E402/E401)</f>
        <v/>
      </c>
    </row>
    <row r="403">
      <c r="A403" s="8" t="n">
        <v>39339</v>
      </c>
      <c r="B403" s="7" t="n">
        <v>6278.4</v>
      </c>
      <c r="C403" s="7" t="n">
        <v>6310.8</v>
      </c>
      <c r="D403" s="7" t="n">
        <v>6146.5</v>
      </c>
      <c r="E403" s="7" t="n">
        <v>6306.8</v>
      </c>
      <c r="F403" s="9" t="n">
        <v>3150700000</v>
      </c>
      <c r="G403" s="9" t="n">
        <v>26419200000</v>
      </c>
      <c r="H403">
        <f>H402*(E403/E402)</f>
        <v/>
      </c>
    </row>
    <row r="404">
      <c r="A404" s="8" t="n">
        <v>39346</v>
      </c>
      <c r="B404" s="7" t="n">
        <v>6306.8</v>
      </c>
      <c r="C404" s="7" t="n">
        <v>6416.4</v>
      </c>
      <c r="D404" s="7" t="n">
        <v>6166.2</v>
      </c>
      <c r="E404" s="7" t="n">
        <v>6357.9</v>
      </c>
      <c r="F404" s="9" t="n">
        <v>4121800000</v>
      </c>
      <c r="G404" s="9" t="n">
        <v>36427200000</v>
      </c>
      <c r="H404">
        <f>H403*(E404/E403)</f>
        <v/>
      </c>
    </row>
    <row r="405">
      <c r="A405" s="8" t="n">
        <v>39353</v>
      </c>
      <c r="B405" s="7" t="n">
        <v>6357.9</v>
      </c>
      <c r="C405" s="7" t="n">
        <v>6594.4</v>
      </c>
      <c r="D405" s="7" t="n">
        <v>6357.9</v>
      </c>
      <c r="E405" s="7" t="n">
        <v>6567.8</v>
      </c>
      <c r="F405" s="9" t="n">
        <v>3669900000</v>
      </c>
      <c r="G405" s="9" t="n">
        <v>37388100000</v>
      </c>
      <c r="H405">
        <f>H404*(E405/E404)</f>
        <v/>
      </c>
    </row>
    <row r="406">
      <c r="A406" s="8" t="n">
        <v>39360</v>
      </c>
      <c r="B406" s="7" t="n">
        <v>6567.8</v>
      </c>
      <c r="C406" s="7" t="n">
        <v>6680.3</v>
      </c>
      <c r="D406" s="7" t="n">
        <v>6551.7</v>
      </c>
      <c r="E406" s="7" t="n">
        <v>6605.4</v>
      </c>
      <c r="F406" s="9" t="n">
        <v>2890200000</v>
      </c>
      <c r="G406" s="9" t="n">
        <v>25537700000</v>
      </c>
      <c r="H406">
        <f>H405*(E406/E405)</f>
        <v/>
      </c>
    </row>
    <row r="407">
      <c r="A407" s="8" t="n">
        <v>39367</v>
      </c>
      <c r="B407" s="7" t="n">
        <v>6605.4</v>
      </c>
      <c r="C407" s="7" t="n">
        <v>6782.5</v>
      </c>
      <c r="D407" s="7" t="n">
        <v>6605.4</v>
      </c>
      <c r="E407" s="7" t="n">
        <v>6748.9</v>
      </c>
      <c r="F407" s="9" t="n">
        <v>2944700000</v>
      </c>
      <c r="G407" s="9" t="n">
        <v>26242500000</v>
      </c>
      <c r="H407">
        <f>H406*(E407/E406)</f>
        <v/>
      </c>
    </row>
    <row r="408">
      <c r="A408" s="8" t="n">
        <v>39374</v>
      </c>
      <c r="B408" s="7" t="n">
        <v>6748.9</v>
      </c>
      <c r="C408" s="7" t="n">
        <v>6800.2</v>
      </c>
      <c r="D408" s="7" t="n">
        <v>6648.4</v>
      </c>
      <c r="E408" s="7" t="n">
        <v>6706.3</v>
      </c>
      <c r="F408" s="9" t="n">
        <v>2825400000</v>
      </c>
      <c r="G408" s="9" t="n">
        <v>26956900000</v>
      </c>
      <c r="H408">
        <f>H407*(E408/E407)</f>
        <v/>
      </c>
    </row>
    <row r="409">
      <c r="A409" s="8" t="n">
        <v>39381</v>
      </c>
      <c r="B409" s="7" t="n">
        <v>6706.3</v>
      </c>
      <c r="C409" s="7" t="n">
        <v>6733.4</v>
      </c>
      <c r="D409" s="7" t="n">
        <v>6542.9</v>
      </c>
      <c r="E409" s="7" t="n">
        <v>6700.6</v>
      </c>
      <c r="F409" s="9" t="n">
        <v>3875700000</v>
      </c>
      <c r="G409" s="9" t="n">
        <v>39125100000</v>
      </c>
      <c r="H409">
        <f>H408*(E409/E408)</f>
        <v/>
      </c>
    </row>
    <row r="410">
      <c r="A410" s="8" t="n">
        <v>39388</v>
      </c>
      <c r="B410" s="7" t="n">
        <v>6700.6</v>
      </c>
      <c r="C410" s="7" t="n">
        <v>6851.5</v>
      </c>
      <c r="D410" s="7" t="n">
        <v>6674.7</v>
      </c>
      <c r="E410" s="7" t="n">
        <v>6696.6</v>
      </c>
      <c r="F410" s="9" t="n">
        <v>3294200000</v>
      </c>
      <c r="G410" s="9" t="n">
        <v>32119400000</v>
      </c>
      <c r="H410">
        <f>H409*(E410/E409)</f>
        <v/>
      </c>
    </row>
    <row r="411">
      <c r="A411" s="8" t="n">
        <v>39395</v>
      </c>
      <c r="B411" s="7" t="n">
        <v>6696.6</v>
      </c>
      <c r="C411" s="7" t="n">
        <v>6710.2</v>
      </c>
      <c r="D411" s="7" t="n">
        <v>6488.5</v>
      </c>
      <c r="E411" s="7" t="n">
        <v>6545.7</v>
      </c>
      <c r="F411" s="9" t="n">
        <v>3022400000</v>
      </c>
      <c r="G411" s="9" t="n">
        <v>32472900000</v>
      </c>
      <c r="H411">
        <f>H410*(E411/E410)</f>
        <v/>
      </c>
    </row>
    <row r="412">
      <c r="A412" s="8" t="n">
        <v>39402</v>
      </c>
      <c r="B412" s="7" t="n">
        <v>6545.7</v>
      </c>
      <c r="C412" s="7" t="n">
        <v>6616.5</v>
      </c>
      <c r="D412" s="7" t="n">
        <v>6437.3</v>
      </c>
      <c r="E412" s="7" t="n">
        <v>6461.9</v>
      </c>
      <c r="F412" s="9" t="n">
        <v>3209900000</v>
      </c>
      <c r="G412" s="9" t="n">
        <v>33954100000</v>
      </c>
      <c r="H412">
        <f>H411*(E412/E411)</f>
        <v/>
      </c>
    </row>
    <row r="413">
      <c r="A413" s="8" t="n">
        <v>39409</v>
      </c>
      <c r="B413" s="7" t="n">
        <v>6461.9</v>
      </c>
      <c r="C413" s="7" t="n">
        <v>6551.9</v>
      </c>
      <c r="D413" s="7" t="n">
        <v>6312.6</v>
      </c>
      <c r="E413" s="7" t="n">
        <v>6330.2</v>
      </c>
      <c r="F413" s="9" t="n">
        <v>2805600000</v>
      </c>
      <c r="G413" s="9" t="n">
        <v>27411100000</v>
      </c>
      <c r="H413">
        <f>H412*(E413/E412)</f>
        <v/>
      </c>
    </row>
    <row r="414">
      <c r="A414" s="8" t="n">
        <v>39416</v>
      </c>
      <c r="B414" s="7" t="n">
        <v>6330.2</v>
      </c>
      <c r="C414" s="7" t="n">
        <v>6552.9</v>
      </c>
      <c r="D414" s="7" t="n">
        <v>6330.2</v>
      </c>
      <c r="E414" s="7" t="n">
        <v>6533.1</v>
      </c>
      <c r="F414" s="9" t="n">
        <v>3937300000</v>
      </c>
      <c r="G414" s="9" t="n">
        <v>37309700000</v>
      </c>
      <c r="H414">
        <f>H413*(E414/E413)</f>
        <v/>
      </c>
    </row>
    <row r="415">
      <c r="A415" s="8" t="n">
        <v>39423</v>
      </c>
      <c r="B415" s="7" t="n">
        <v>6533.1</v>
      </c>
      <c r="C415" s="7" t="n">
        <v>6671.4</v>
      </c>
      <c r="D415" s="7" t="n">
        <v>6482</v>
      </c>
      <c r="E415" s="7" t="n">
        <v>6654.7</v>
      </c>
      <c r="F415" s="9" t="n">
        <v>3196500000</v>
      </c>
      <c r="G415" s="9" t="n">
        <v>28524800000</v>
      </c>
      <c r="H415">
        <f>H414*(E415/E414)</f>
        <v/>
      </c>
    </row>
    <row r="416">
      <c r="A416" s="8" t="n">
        <v>39430</v>
      </c>
      <c r="B416" s="7" t="n">
        <v>6654.7</v>
      </c>
      <c r="C416" s="7" t="n">
        <v>6684.4</v>
      </c>
      <c r="D416" s="7" t="n">
        <v>6466.7</v>
      </c>
      <c r="E416" s="7" t="n">
        <v>6491.7</v>
      </c>
      <c r="F416" s="9" t="n">
        <v>2981400000</v>
      </c>
      <c r="G416" s="9" t="n">
        <v>27414900000</v>
      </c>
      <c r="H416">
        <f>H415*(E416/E415)</f>
        <v/>
      </c>
    </row>
    <row r="417">
      <c r="A417" s="8" t="n">
        <v>39437</v>
      </c>
      <c r="B417" s="7" t="n">
        <v>6491.7</v>
      </c>
      <c r="C417" s="7" t="n">
        <v>6491.7</v>
      </c>
      <c r="D417" s="7" t="n">
        <v>6105.1</v>
      </c>
      <c r="E417" s="7" t="n">
        <v>6247</v>
      </c>
      <c r="F417" s="9" t="n">
        <v>5880400000</v>
      </c>
      <c r="G417" s="9" t="n">
        <v>45675800000</v>
      </c>
      <c r="H417">
        <f>H416*(E417/E416)</f>
        <v/>
      </c>
    </row>
    <row r="418">
      <c r="A418" s="8" t="n">
        <v>39444</v>
      </c>
      <c r="B418" s="7" t="n">
        <v>6247</v>
      </c>
      <c r="C418" s="7" t="n">
        <v>6366.5</v>
      </c>
      <c r="D418" s="7" t="n">
        <v>6247</v>
      </c>
      <c r="E418" s="7" t="n">
        <v>6339.9</v>
      </c>
      <c r="F418" s="9" t="n">
        <v>965700000</v>
      </c>
      <c r="G418" s="9" t="n">
        <v>6714500000</v>
      </c>
      <c r="H418">
        <f>H417*(E418/E417)</f>
        <v/>
      </c>
    </row>
    <row r="419">
      <c r="A419" s="8" t="n">
        <v>39451</v>
      </c>
      <c r="B419" s="7" t="n">
        <v>6339.9</v>
      </c>
      <c r="C419" s="7" t="n">
        <v>6385.7</v>
      </c>
      <c r="D419" s="7" t="n">
        <v>6251.4</v>
      </c>
      <c r="E419" s="7" t="n">
        <v>6306.8</v>
      </c>
      <c r="F419" s="9" t="n">
        <v>1500500000</v>
      </c>
      <c r="G419" s="9" t="n">
        <v>10323800000</v>
      </c>
      <c r="H419">
        <f>H418*(E419/E418)</f>
        <v/>
      </c>
    </row>
    <row r="420">
      <c r="A420" s="8" t="n">
        <v>39458</v>
      </c>
      <c r="B420" s="7" t="n">
        <v>6306.8</v>
      </c>
      <c r="C420" s="7" t="n">
        <v>6306.8</v>
      </c>
      <c r="D420" s="7" t="n">
        <v>5981.6</v>
      </c>
      <c r="E420" s="7" t="n">
        <v>5981.6</v>
      </c>
      <c r="F420" s="9" t="n">
        <v>3457100000</v>
      </c>
      <c r="G420" s="9" t="n">
        <v>25888300000</v>
      </c>
      <c r="H420">
        <f>H419*(E420/E419)</f>
        <v/>
      </c>
    </row>
    <row r="421">
      <c r="A421" s="8" t="n">
        <v>39465</v>
      </c>
      <c r="B421" s="7" t="n">
        <v>5981.6</v>
      </c>
      <c r="C421" s="7" t="n">
        <v>6042</v>
      </c>
      <c r="D421" s="7" t="n">
        <v>5619.3</v>
      </c>
      <c r="E421" s="7" t="n">
        <v>5747.3</v>
      </c>
      <c r="F421" s="9" t="n">
        <v>4420000000</v>
      </c>
      <c r="G421" s="9" t="n">
        <v>31540700000</v>
      </c>
      <c r="H421">
        <f>H420*(E421/E420)</f>
        <v/>
      </c>
    </row>
    <row r="422">
      <c r="A422" s="8" t="n">
        <v>39472</v>
      </c>
      <c r="B422" s="7" t="n">
        <v>5747.3</v>
      </c>
      <c r="C422" s="7" t="n">
        <v>5860.3</v>
      </c>
      <c r="D422" s="7" t="n">
        <v>5186.8</v>
      </c>
      <c r="E422" s="7" t="n">
        <v>5860.3</v>
      </c>
      <c r="F422" s="9" t="n">
        <v>5414800000</v>
      </c>
      <c r="G422" s="9" t="n">
        <v>40708600000</v>
      </c>
      <c r="H422">
        <f>H421*(E422/E421)</f>
        <v/>
      </c>
    </row>
    <row r="423">
      <c r="A423" s="8" t="n">
        <v>39479</v>
      </c>
      <c r="B423" s="7" t="n">
        <v>5860.3</v>
      </c>
      <c r="C423" s="7" t="n">
        <v>5862.1</v>
      </c>
      <c r="D423" s="7" t="n">
        <v>5448.5</v>
      </c>
      <c r="E423" s="7" t="n">
        <v>5842.9</v>
      </c>
      <c r="F423" s="9" t="n">
        <v>3480300000</v>
      </c>
      <c r="G423" s="9" t="n">
        <v>25693700000</v>
      </c>
      <c r="H423">
        <f>H422*(E423/E422)</f>
        <v/>
      </c>
    </row>
    <row r="424">
      <c r="A424" s="8" t="n">
        <v>39486</v>
      </c>
      <c r="B424" s="7" t="n">
        <v>5842.9</v>
      </c>
      <c r="C424" s="7" t="n">
        <v>6022</v>
      </c>
      <c r="D424" s="7" t="n">
        <v>5508.7</v>
      </c>
      <c r="E424" s="7" t="n">
        <v>5658</v>
      </c>
      <c r="F424" s="9" t="n">
        <v>3322300000</v>
      </c>
      <c r="G424" s="9" t="n">
        <v>27843900000</v>
      </c>
      <c r="H424">
        <f>H423*(E424/E423)</f>
        <v/>
      </c>
    </row>
    <row r="425">
      <c r="A425" s="8" t="n">
        <v>39493</v>
      </c>
      <c r="B425" s="7" t="n">
        <v>5658</v>
      </c>
      <c r="C425" s="7" t="n">
        <v>5690.5</v>
      </c>
      <c r="D425" s="7" t="n">
        <v>5513.2</v>
      </c>
      <c r="E425" s="7" t="n">
        <v>5606.6</v>
      </c>
      <c r="F425" s="9" t="n">
        <v>3564300000</v>
      </c>
      <c r="G425" s="9" t="n">
        <v>29725200000</v>
      </c>
      <c r="H425">
        <f>H424*(E425/E424)</f>
        <v/>
      </c>
    </row>
    <row r="426">
      <c r="A426" s="8" t="n">
        <v>39500</v>
      </c>
      <c r="B426" s="7" t="n">
        <v>5606.6</v>
      </c>
      <c r="C426" s="7" t="n">
        <v>5650.3</v>
      </c>
      <c r="D426" s="7" t="n">
        <v>5490.4</v>
      </c>
      <c r="E426" s="7" t="n">
        <v>5559.9</v>
      </c>
      <c r="F426" s="9" t="n">
        <v>3816800000</v>
      </c>
      <c r="G426" s="9" t="n">
        <v>30813000000</v>
      </c>
      <c r="H426">
        <f>H425*(E426/E425)</f>
        <v/>
      </c>
    </row>
    <row r="427">
      <c r="A427" s="8" t="n">
        <v>39507</v>
      </c>
      <c r="B427" s="7" t="n">
        <v>5559.9</v>
      </c>
      <c r="C427" s="7" t="n">
        <v>5769.8</v>
      </c>
      <c r="D427" s="7" t="n">
        <v>5515.6</v>
      </c>
      <c r="E427" s="7" t="n">
        <v>5572.1</v>
      </c>
      <c r="F427" s="9" t="n">
        <v>4178200000</v>
      </c>
      <c r="G427" s="9" t="n">
        <v>32744100000</v>
      </c>
      <c r="H427">
        <f>H426*(E427/E426)</f>
        <v/>
      </c>
    </row>
    <row r="428">
      <c r="A428" s="8" t="n">
        <v>39514</v>
      </c>
      <c r="B428" s="7" t="n">
        <v>5572.1</v>
      </c>
      <c r="C428" s="7" t="n">
        <v>5572.1</v>
      </c>
      <c r="D428" s="7" t="n">
        <v>5240.3</v>
      </c>
      <c r="E428" s="7" t="n">
        <v>5264</v>
      </c>
      <c r="F428" s="9" t="n">
        <v>4729700000</v>
      </c>
      <c r="G428" s="9" t="n">
        <v>32488300000</v>
      </c>
      <c r="H428">
        <f>H427*(E428/E427)</f>
        <v/>
      </c>
    </row>
    <row r="429">
      <c r="A429" s="8" t="n">
        <v>39521</v>
      </c>
      <c r="B429" s="7" t="n">
        <v>5264</v>
      </c>
      <c r="C429" s="7" t="n">
        <v>5369.7</v>
      </c>
      <c r="D429" s="7" t="n">
        <v>5082.1</v>
      </c>
      <c r="E429" s="7" t="n">
        <v>5206.9</v>
      </c>
      <c r="F429" s="9" t="n">
        <v>4282300000</v>
      </c>
      <c r="G429" s="9" t="n">
        <v>29549400000</v>
      </c>
      <c r="H429">
        <f>H428*(E429/E428)</f>
        <v/>
      </c>
    </row>
    <row r="430">
      <c r="A430" s="8" t="n">
        <v>39527</v>
      </c>
      <c r="B430" s="7" t="n">
        <v>5206.9</v>
      </c>
      <c r="C430" s="7" t="n">
        <v>5289.1</v>
      </c>
      <c r="D430" s="7" t="n">
        <v>5039.6</v>
      </c>
      <c r="E430" s="7" t="n">
        <v>5127.5</v>
      </c>
      <c r="F430" s="9" t="n">
        <v>4575700000</v>
      </c>
      <c r="G430" s="9" t="n">
        <v>32923400000</v>
      </c>
      <c r="H430">
        <f>H429*(E430/E429)</f>
        <v/>
      </c>
    </row>
    <row r="431">
      <c r="A431" s="8" t="n">
        <v>39535</v>
      </c>
      <c r="B431" s="7" t="n">
        <v>5127.5</v>
      </c>
      <c r="C431" s="7" t="n">
        <v>5389.7</v>
      </c>
      <c r="D431" s="7" t="n">
        <v>5127.5</v>
      </c>
      <c r="E431" s="7" t="n">
        <v>5351.1</v>
      </c>
      <c r="F431" s="9" t="n">
        <v>3758500000</v>
      </c>
      <c r="G431" s="9" t="n">
        <v>25998400000</v>
      </c>
      <c r="H431">
        <f>H430*(E431/E430)</f>
        <v/>
      </c>
    </row>
    <row r="432">
      <c r="A432" s="8" t="n">
        <v>39542</v>
      </c>
      <c r="B432" s="7" t="n">
        <v>5351.1</v>
      </c>
      <c r="C432" s="7" t="n">
        <v>5657.7</v>
      </c>
      <c r="D432" s="7" t="n">
        <v>5301</v>
      </c>
      <c r="E432" s="7" t="n">
        <v>5619.6</v>
      </c>
      <c r="F432" s="9" t="n">
        <v>4353200000</v>
      </c>
      <c r="G432" s="9" t="n">
        <v>27509500000</v>
      </c>
      <c r="H432">
        <f>H431*(E432/E431)</f>
        <v/>
      </c>
    </row>
    <row r="433">
      <c r="A433" s="8" t="n">
        <v>39549</v>
      </c>
      <c r="B433" s="7" t="n">
        <v>5619.6</v>
      </c>
      <c r="C433" s="7" t="n">
        <v>5643.7</v>
      </c>
      <c r="D433" s="7" t="n">
        <v>5386.1</v>
      </c>
      <c r="E433" s="7" t="n">
        <v>5439.3</v>
      </c>
      <c r="F433" s="9" t="n">
        <v>3550500000</v>
      </c>
      <c r="G433" s="9" t="n">
        <v>25352900000</v>
      </c>
      <c r="H433">
        <f>H432*(E433/E432)</f>
        <v/>
      </c>
    </row>
    <row r="434">
      <c r="A434" s="8" t="n">
        <v>39556</v>
      </c>
      <c r="B434" s="7" t="n">
        <v>5439.3</v>
      </c>
      <c r="C434" s="7" t="n">
        <v>5567.6</v>
      </c>
      <c r="D434" s="7" t="n">
        <v>5309.2</v>
      </c>
      <c r="E434" s="7" t="n">
        <v>5429.7</v>
      </c>
      <c r="F434" s="9" t="n">
        <v>3295500000</v>
      </c>
      <c r="G434" s="9" t="n">
        <v>23051900000</v>
      </c>
      <c r="H434">
        <f>H433*(E434/E433)</f>
        <v/>
      </c>
    </row>
    <row r="435">
      <c r="A435" s="8" t="n">
        <v>39562</v>
      </c>
      <c r="B435" s="7" t="n">
        <v>5429.7</v>
      </c>
      <c r="C435" s="7" t="n">
        <v>5653.9</v>
      </c>
      <c r="D435" s="7" t="n">
        <v>5429.7</v>
      </c>
      <c r="E435" s="7" t="n">
        <v>5587.3</v>
      </c>
      <c r="F435" s="9" t="n">
        <v>2809900000</v>
      </c>
      <c r="G435" s="9" t="n">
        <v>22387700000</v>
      </c>
      <c r="H435">
        <f>H434*(E435/E434)</f>
        <v/>
      </c>
    </row>
    <row r="436">
      <c r="A436" s="8" t="n">
        <v>39570</v>
      </c>
      <c r="B436" s="7" t="n">
        <v>5587.3</v>
      </c>
      <c r="C436" s="7" t="n">
        <v>5700.4</v>
      </c>
      <c r="D436" s="7" t="n">
        <v>5516</v>
      </c>
      <c r="E436" s="7" t="n">
        <v>5700.4</v>
      </c>
      <c r="F436" s="9" t="n">
        <v>3663400000</v>
      </c>
      <c r="G436" s="9" t="n">
        <v>25920500000</v>
      </c>
      <c r="H436">
        <f>H435*(E436/E435)</f>
        <v/>
      </c>
    </row>
    <row r="437">
      <c r="A437" s="8" t="n">
        <v>39577</v>
      </c>
      <c r="B437" s="7" t="n">
        <v>5700.4</v>
      </c>
      <c r="C437" s="7" t="n">
        <v>5810.7</v>
      </c>
      <c r="D437" s="7" t="n">
        <v>5590.6</v>
      </c>
      <c r="E437" s="7" t="n">
        <v>5771.8</v>
      </c>
      <c r="F437" s="9" t="n">
        <v>3456100000</v>
      </c>
      <c r="G437" s="9" t="n">
        <v>24842000000</v>
      </c>
      <c r="H437">
        <f>H436*(E437/E436)</f>
        <v/>
      </c>
    </row>
    <row r="438">
      <c r="A438" s="8" t="n">
        <v>39584</v>
      </c>
      <c r="B438" s="7" t="n">
        <v>5771.8</v>
      </c>
      <c r="C438" s="7" t="n">
        <v>5971.5</v>
      </c>
      <c r="D438" s="7" t="n">
        <v>5771.8</v>
      </c>
      <c r="E438" s="7" t="n">
        <v>5931</v>
      </c>
      <c r="F438" s="9" t="n">
        <v>3686400000</v>
      </c>
      <c r="G438" s="9" t="n">
        <v>29266300000</v>
      </c>
      <c r="H438">
        <f>H437*(E438/E437)</f>
        <v/>
      </c>
    </row>
    <row r="439">
      <c r="A439" s="8" t="n">
        <v>39591</v>
      </c>
      <c r="B439" s="7" t="n">
        <v>5931</v>
      </c>
      <c r="C439" s="7" t="n">
        <v>5980.8</v>
      </c>
      <c r="D439" s="7" t="n">
        <v>5738.9</v>
      </c>
      <c r="E439" s="7" t="n">
        <v>5768</v>
      </c>
      <c r="F439" s="9" t="n">
        <v>3832700000</v>
      </c>
      <c r="G439" s="9" t="n">
        <v>28303000000</v>
      </c>
      <c r="H439">
        <f>H438*(E439/E438)</f>
        <v/>
      </c>
    </row>
    <row r="440">
      <c r="A440" s="8" t="n">
        <v>39598</v>
      </c>
      <c r="B440" s="7" t="n">
        <v>5768</v>
      </c>
      <c r="C440" s="7" t="n">
        <v>5768</v>
      </c>
      <c r="D440" s="7" t="n">
        <v>5628.5</v>
      </c>
      <c r="E440" s="7" t="n">
        <v>5654.7</v>
      </c>
      <c r="F440" s="9" t="n">
        <v>4474900000</v>
      </c>
      <c r="G440" s="9" t="n">
        <v>30676100000</v>
      </c>
      <c r="H440">
        <f>H439*(E440/E439)</f>
        <v/>
      </c>
    </row>
    <row r="441">
      <c r="A441" s="8" t="n">
        <v>39605</v>
      </c>
      <c r="B441" s="7" t="n">
        <v>5654.7</v>
      </c>
      <c r="C441" s="7" t="n">
        <v>5681.5</v>
      </c>
      <c r="D441" s="7" t="n">
        <v>5514.3</v>
      </c>
      <c r="E441" s="7" t="n">
        <v>5592.1</v>
      </c>
      <c r="F441" s="9" t="n">
        <v>3869800000</v>
      </c>
      <c r="G441" s="9" t="n">
        <v>26981800000</v>
      </c>
      <c r="H441">
        <f>H440*(E441/E440)</f>
        <v/>
      </c>
    </row>
    <row r="442">
      <c r="A442" s="8" t="n">
        <v>39612</v>
      </c>
      <c r="B442" s="7" t="n">
        <v>5592.1</v>
      </c>
      <c r="C442" s="7" t="n">
        <v>5592.1</v>
      </c>
      <c r="D442" s="7" t="n">
        <v>5290</v>
      </c>
      <c r="E442" s="7" t="n">
        <v>5378.1</v>
      </c>
      <c r="F442" s="9" t="n">
        <v>3630100000</v>
      </c>
      <c r="G442" s="9" t="n">
        <v>24344800000</v>
      </c>
      <c r="H442">
        <f>H441*(E442/E441)</f>
        <v/>
      </c>
    </row>
    <row r="443">
      <c r="A443" s="8" t="n">
        <v>39619</v>
      </c>
      <c r="B443" s="7" t="n">
        <v>5378.1</v>
      </c>
      <c r="C443" s="7" t="n">
        <v>5444.2</v>
      </c>
      <c r="D443" s="7" t="n">
        <v>5276.2</v>
      </c>
      <c r="E443" s="7" t="n">
        <v>5288.3</v>
      </c>
      <c r="F443" s="9" t="n">
        <v>5429900000</v>
      </c>
      <c r="G443" s="9" t="n">
        <v>34997400000</v>
      </c>
      <c r="H443">
        <f>H442*(E443/E442)</f>
        <v/>
      </c>
    </row>
    <row r="444">
      <c r="A444" s="8" t="n">
        <v>39626</v>
      </c>
      <c r="B444" s="7" t="n">
        <v>5288.3</v>
      </c>
      <c r="C444" s="7" t="n">
        <v>5334.1</v>
      </c>
      <c r="D444" s="7" t="n">
        <v>5144.7</v>
      </c>
      <c r="E444" s="7" t="n">
        <v>5237</v>
      </c>
      <c r="F444" s="9" t="n">
        <v>5300400000</v>
      </c>
      <c r="G444" s="9" t="n">
        <v>36406400000</v>
      </c>
      <c r="H444">
        <f>H443*(E444/E443)</f>
        <v/>
      </c>
    </row>
    <row r="445">
      <c r="A445" s="8" t="n">
        <v>39633</v>
      </c>
      <c r="B445" s="7" t="n">
        <v>5237</v>
      </c>
      <c r="C445" s="7" t="n">
        <v>5305.9</v>
      </c>
      <c r="D445" s="7" t="n">
        <v>4969.1</v>
      </c>
      <c r="E445" s="7" t="n">
        <v>5082.1</v>
      </c>
      <c r="F445" s="9" t="n">
        <v>4399200000</v>
      </c>
      <c r="G445" s="9" t="n">
        <v>30162500000</v>
      </c>
      <c r="H445">
        <f>H444*(E445/E444)</f>
        <v/>
      </c>
    </row>
    <row r="446">
      <c r="A446" s="8" t="n">
        <v>39640</v>
      </c>
      <c r="B446" s="7" t="n">
        <v>5082.1</v>
      </c>
      <c r="C446" s="7" t="n">
        <v>5082.1</v>
      </c>
      <c r="D446" s="7" t="n">
        <v>4916.9</v>
      </c>
      <c r="E446" s="7" t="n">
        <v>4979.9</v>
      </c>
      <c r="F446" s="9" t="n">
        <v>3915100000</v>
      </c>
      <c r="G446" s="9" t="n">
        <v>24052900000</v>
      </c>
      <c r="H446">
        <f>H445*(E446/E445)</f>
        <v/>
      </c>
    </row>
    <row r="447">
      <c r="A447" s="8" t="n">
        <v>39647</v>
      </c>
      <c r="B447" s="7" t="n">
        <v>4979.9</v>
      </c>
      <c r="C447" s="7" t="n">
        <v>4979.9</v>
      </c>
      <c r="D447" s="7" t="n">
        <v>4787.5</v>
      </c>
      <c r="E447" s="7" t="n">
        <v>4840.4</v>
      </c>
      <c r="F447" s="9" t="n">
        <v>4038100000</v>
      </c>
      <c r="G447" s="9" t="n">
        <v>23872800000</v>
      </c>
      <c r="H447">
        <f>H446*(E447/E446)</f>
        <v/>
      </c>
    </row>
    <row r="448">
      <c r="A448" s="8" t="n">
        <v>39654</v>
      </c>
      <c r="B448" s="7" t="n">
        <v>4840.4</v>
      </c>
      <c r="C448" s="7" t="n">
        <v>5158.3</v>
      </c>
      <c r="D448" s="7" t="n">
        <v>4840.4</v>
      </c>
      <c r="E448" s="7" t="n">
        <v>4970.5</v>
      </c>
      <c r="F448" s="9" t="n">
        <v>4244900000</v>
      </c>
      <c r="G448" s="9" t="n">
        <v>30300000000</v>
      </c>
      <c r="H448">
        <f>H447*(E448/E447)</f>
        <v/>
      </c>
    </row>
    <row r="449">
      <c r="A449" s="8" t="n">
        <v>39661</v>
      </c>
      <c r="B449" s="7" t="n">
        <v>4970.5</v>
      </c>
      <c r="C449" s="7" t="n">
        <v>5015.2</v>
      </c>
      <c r="D449" s="7" t="n">
        <v>4819.4</v>
      </c>
      <c r="E449" s="7" t="n">
        <v>4904</v>
      </c>
      <c r="F449" s="9" t="n">
        <v>3525900000</v>
      </c>
      <c r="G449" s="9" t="n">
        <v>24475700000</v>
      </c>
      <c r="H449">
        <f>H448*(E449/E448)</f>
        <v/>
      </c>
    </row>
    <row r="450">
      <c r="A450" s="8" t="n">
        <v>39668</v>
      </c>
      <c r="B450" s="7" t="n">
        <v>4904</v>
      </c>
      <c r="C450" s="7" t="n">
        <v>5004.9</v>
      </c>
      <c r="D450" s="7" t="n">
        <v>4758.5</v>
      </c>
      <c r="E450" s="7" t="n">
        <v>4986.2</v>
      </c>
      <c r="F450" s="9" t="n">
        <v>3929700000</v>
      </c>
      <c r="G450" s="9" t="n">
        <v>24512200000</v>
      </c>
      <c r="H450">
        <f>H449*(E450/E449)</f>
        <v/>
      </c>
    </row>
    <row r="451">
      <c r="A451" s="8" t="n">
        <v>39675</v>
      </c>
      <c r="B451" s="7" t="n">
        <v>4986.2</v>
      </c>
      <c r="C451" s="7" t="n">
        <v>5072.9</v>
      </c>
      <c r="D451" s="7" t="n">
        <v>4931.7</v>
      </c>
      <c r="E451" s="7" t="n">
        <v>4981.7</v>
      </c>
      <c r="F451" s="9" t="n">
        <v>3875100000</v>
      </c>
      <c r="G451" s="9" t="n">
        <v>25674100000</v>
      </c>
      <c r="H451">
        <f>H450*(E451/E450)</f>
        <v/>
      </c>
    </row>
    <row r="452">
      <c r="A452" s="8" t="n">
        <v>39682</v>
      </c>
      <c r="B452" s="7" t="n">
        <v>4981.7</v>
      </c>
      <c r="C452" s="7" t="n">
        <v>5031.6</v>
      </c>
      <c r="D452" s="7" t="n">
        <v>4866.4</v>
      </c>
      <c r="E452" s="7" t="n">
        <v>4931.4</v>
      </c>
      <c r="F452" s="9" t="n">
        <v>4125900000</v>
      </c>
      <c r="G452" s="9" t="n">
        <v>25039800000</v>
      </c>
      <c r="H452">
        <f>H451*(E452/E451)</f>
        <v/>
      </c>
    </row>
    <row r="453">
      <c r="A453" s="8" t="n">
        <v>39689</v>
      </c>
      <c r="B453" s="7" t="n">
        <v>4931.4</v>
      </c>
      <c r="C453" s="7" t="n">
        <v>5146.3</v>
      </c>
      <c r="D453" s="7" t="n">
        <v>4895</v>
      </c>
      <c r="E453" s="7" t="n">
        <v>5135.6</v>
      </c>
      <c r="F453" s="9" t="n">
        <v>3860700000</v>
      </c>
      <c r="G453" s="9" t="n">
        <v>25573900000</v>
      </c>
      <c r="H453">
        <f>H452*(E453/E452)</f>
        <v/>
      </c>
    </row>
    <row r="454">
      <c r="A454" s="8" t="n">
        <v>39696</v>
      </c>
      <c r="B454" s="7" t="n">
        <v>5135.6</v>
      </c>
      <c r="C454" s="7" t="n">
        <v>5177.2</v>
      </c>
      <c r="D454" s="7" t="n">
        <v>4837.6</v>
      </c>
      <c r="E454" s="7" t="n">
        <v>4877.1</v>
      </c>
      <c r="F454" s="9" t="n">
        <v>3863100000</v>
      </c>
      <c r="G454" s="9" t="n">
        <v>24939700000</v>
      </c>
      <c r="H454">
        <f>H453*(E454/E453)</f>
        <v/>
      </c>
    </row>
    <row r="455">
      <c r="A455" s="8" t="n">
        <v>39703</v>
      </c>
      <c r="B455" s="7" t="n">
        <v>4877.1</v>
      </c>
      <c r="C455" s="7" t="n">
        <v>5081.7</v>
      </c>
      <c r="D455" s="7" t="n">
        <v>4811.4</v>
      </c>
      <c r="E455" s="7" t="n">
        <v>4903.8</v>
      </c>
      <c r="F455" s="9" t="n">
        <v>4141300000</v>
      </c>
      <c r="G455" s="9" t="n">
        <v>28182700000</v>
      </c>
      <c r="H455">
        <f>H454*(E455/E454)</f>
        <v/>
      </c>
    </row>
    <row r="456">
      <c r="A456" s="8" t="n">
        <v>39710</v>
      </c>
      <c r="B456" s="7" t="n">
        <v>4903.8</v>
      </c>
      <c r="C456" s="7" t="n">
        <v>4905.1</v>
      </c>
      <c r="D456" s="7" t="n">
        <v>4527.4</v>
      </c>
      <c r="E456" s="7" t="n">
        <v>4804.1</v>
      </c>
      <c r="F456" s="9" t="n">
        <v>6767700000</v>
      </c>
      <c r="G456" s="9" t="n">
        <v>40827600000</v>
      </c>
      <c r="H456">
        <f>H455*(E456/E455)</f>
        <v/>
      </c>
    </row>
    <row r="457">
      <c r="A457" s="8" t="n">
        <v>39717</v>
      </c>
      <c r="B457" s="7" t="n">
        <v>4804.1</v>
      </c>
      <c r="C457" s="7" t="n">
        <v>5020.5</v>
      </c>
      <c r="D457" s="7" t="n">
        <v>4804.1</v>
      </c>
      <c r="E457" s="7" t="n">
        <v>4904.8</v>
      </c>
      <c r="F457" s="9" t="n">
        <v>4128800000</v>
      </c>
      <c r="G457" s="9" t="n">
        <v>28580700000</v>
      </c>
      <c r="H457">
        <f>H456*(E457/E456)</f>
        <v/>
      </c>
    </row>
    <row r="458">
      <c r="A458" s="8" t="n">
        <v>39724</v>
      </c>
      <c r="B458" s="7" t="n">
        <v>4904.8</v>
      </c>
      <c r="C458" s="7" t="n">
        <v>4956.6</v>
      </c>
      <c r="D458" s="7" t="n">
        <v>4540.7</v>
      </c>
      <c r="E458" s="7" t="n">
        <v>4695.4</v>
      </c>
      <c r="F458" s="9" t="n">
        <v>3026500000</v>
      </c>
      <c r="G458" s="9" t="n">
        <v>20763700000</v>
      </c>
      <c r="H458">
        <f>H457*(E458/E457)</f>
        <v/>
      </c>
    </row>
    <row r="459">
      <c r="A459" s="8" t="n">
        <v>39731</v>
      </c>
      <c r="B459" s="7" t="n">
        <v>4695.4</v>
      </c>
      <c r="C459" s="7" t="n">
        <v>4695.4</v>
      </c>
      <c r="D459" s="7" t="n">
        <v>3960.7</v>
      </c>
      <c r="E459" s="7" t="n">
        <v>3960.7</v>
      </c>
      <c r="F459" s="9" t="n">
        <v>3894000000</v>
      </c>
      <c r="G459" s="9" t="n">
        <v>22303000000</v>
      </c>
      <c r="H459">
        <f>H458*(E459/E458)</f>
        <v/>
      </c>
    </row>
    <row r="460">
      <c r="A460" s="8" t="n">
        <v>39738</v>
      </c>
      <c r="B460" s="7" t="n">
        <v>3960.7</v>
      </c>
      <c r="C460" s="7" t="n">
        <v>4442.4</v>
      </c>
      <c r="D460" s="7" t="n">
        <v>3960.7</v>
      </c>
      <c r="E460" s="7" t="n">
        <v>3970.8</v>
      </c>
      <c r="F460" s="9" t="n">
        <v>4626900000</v>
      </c>
      <c r="G460" s="9" t="n">
        <v>24753400000</v>
      </c>
      <c r="H460">
        <f>H459*(E460/E459)</f>
        <v/>
      </c>
    </row>
    <row r="461">
      <c r="A461" s="8" t="n">
        <v>39745</v>
      </c>
      <c r="B461" s="7" t="n">
        <v>3970.8</v>
      </c>
      <c r="C461" s="7" t="n">
        <v>4302.5</v>
      </c>
      <c r="D461" s="7" t="n">
        <v>3830</v>
      </c>
      <c r="E461" s="7" t="n">
        <v>3869.4</v>
      </c>
      <c r="F461" s="9" t="n">
        <v>3963100000</v>
      </c>
      <c r="G461" s="9" t="n">
        <v>20314200000</v>
      </c>
      <c r="H461">
        <f>H460*(E461/E460)</f>
        <v/>
      </c>
    </row>
    <row r="462">
      <c r="A462" s="8" t="n">
        <v>39752</v>
      </c>
      <c r="B462" s="7" t="n">
        <v>3869.4</v>
      </c>
      <c r="C462" s="7" t="n">
        <v>4022.4</v>
      </c>
      <c r="D462" s="7" t="n">
        <v>3724.8</v>
      </c>
      <c r="E462" s="7" t="n">
        <v>4018</v>
      </c>
      <c r="F462" s="9" t="n">
        <v>4847200000</v>
      </c>
      <c r="G462" s="9" t="n">
        <v>23124000000</v>
      </c>
      <c r="H462">
        <f>H461*(E462/E461)</f>
        <v/>
      </c>
    </row>
    <row r="463">
      <c r="A463" s="8" t="n">
        <v>39759</v>
      </c>
      <c r="B463" s="7" t="n">
        <v>4018</v>
      </c>
      <c r="C463" s="7" t="n">
        <v>4340.5</v>
      </c>
      <c r="D463" s="7" t="n">
        <v>3963.8</v>
      </c>
      <c r="E463" s="7" t="n">
        <v>4051.3</v>
      </c>
      <c r="F463" s="9" t="n">
        <v>4119000000</v>
      </c>
      <c r="G463" s="9" t="n">
        <v>20278400000</v>
      </c>
      <c r="H463">
        <f>H462*(E463/E462)</f>
        <v/>
      </c>
    </row>
    <row r="464">
      <c r="A464" s="8" t="n">
        <v>39766</v>
      </c>
      <c r="B464" s="7" t="n">
        <v>4051.3</v>
      </c>
      <c r="C464" s="7" t="n">
        <v>4159.8</v>
      </c>
      <c r="D464" s="7" t="n">
        <v>3697.3</v>
      </c>
      <c r="E464" s="7" t="n">
        <v>3748.1</v>
      </c>
      <c r="F464" s="9" t="n">
        <v>4200600000</v>
      </c>
      <c r="G464" s="9" t="n">
        <v>18234000000</v>
      </c>
      <c r="H464">
        <f>H463*(E464/E463)</f>
        <v/>
      </c>
    </row>
    <row r="465">
      <c r="A465" s="8" t="n">
        <v>39773</v>
      </c>
      <c r="B465" s="7" t="n">
        <v>3748.1</v>
      </c>
      <c r="C465" s="7" t="n">
        <v>3748.1</v>
      </c>
      <c r="D465" s="7" t="n">
        <v>3217.5</v>
      </c>
      <c r="E465" s="7" t="n">
        <v>3416.5</v>
      </c>
      <c r="F465" s="9" t="n">
        <v>4730700000</v>
      </c>
      <c r="G465" s="9" t="n">
        <v>21533700000</v>
      </c>
      <c r="H465">
        <f>H464*(E465/E464)</f>
        <v/>
      </c>
    </row>
    <row r="466">
      <c r="A466" s="8" t="n">
        <v>39780</v>
      </c>
      <c r="B466" s="7" t="n">
        <v>3416.5</v>
      </c>
      <c r="C466" s="7" t="n">
        <v>3742.5</v>
      </c>
      <c r="D466" s="7" t="n">
        <v>3362</v>
      </c>
      <c r="E466" s="7" t="n">
        <v>3742.5</v>
      </c>
      <c r="F466" s="9" t="n">
        <v>4670500000</v>
      </c>
      <c r="G466" s="9" t="n">
        <v>23597000000</v>
      </c>
      <c r="H466">
        <f>H465*(E466/E465)</f>
        <v/>
      </c>
    </row>
    <row r="467">
      <c r="A467" s="8" t="n">
        <v>39787</v>
      </c>
      <c r="B467" s="7" t="n">
        <v>3742.5</v>
      </c>
      <c r="C467" s="7" t="n">
        <v>3742.5</v>
      </c>
      <c r="D467" s="7" t="n">
        <v>3485.2</v>
      </c>
      <c r="E467" s="7" t="n">
        <v>3489.9</v>
      </c>
      <c r="F467" s="9" t="n">
        <v>3737000000</v>
      </c>
      <c r="G467" s="9" t="n">
        <v>17147300000</v>
      </c>
      <c r="H467">
        <f>H466*(E467/E466)</f>
        <v/>
      </c>
    </row>
    <row r="468">
      <c r="A468" s="8" t="n">
        <v>39794</v>
      </c>
      <c r="B468" s="7" t="n">
        <v>3489.9</v>
      </c>
      <c r="C468" s="7" t="n">
        <v>3670.8</v>
      </c>
      <c r="D468" s="7" t="n">
        <v>3474.1</v>
      </c>
      <c r="E468" s="7" t="n">
        <v>3510.4</v>
      </c>
      <c r="F468" s="9" t="n">
        <v>3887600000</v>
      </c>
      <c r="G468" s="9" t="n">
        <v>19235900000</v>
      </c>
      <c r="H468">
        <f>H467*(E468/E467)</f>
        <v/>
      </c>
    </row>
    <row r="469">
      <c r="A469" s="8" t="n">
        <v>39801</v>
      </c>
      <c r="B469" s="7" t="n">
        <v>3510.4</v>
      </c>
      <c r="C469" s="7" t="n">
        <v>3664.4</v>
      </c>
      <c r="D469" s="7" t="n">
        <v>3507.7</v>
      </c>
      <c r="E469" s="7" t="n">
        <v>3615.7</v>
      </c>
      <c r="F469" s="9" t="n">
        <v>6609800000</v>
      </c>
      <c r="G469" s="9" t="n">
        <v>28953300000</v>
      </c>
      <c r="H469">
        <f>H468*(E469/E468)</f>
        <v/>
      </c>
    </row>
    <row r="470">
      <c r="A470" s="8" t="n">
        <v>39806</v>
      </c>
      <c r="B470" s="7" t="n">
        <v>3615.7</v>
      </c>
      <c r="C470" s="7" t="n">
        <v>3627.7</v>
      </c>
      <c r="D470" s="7" t="n">
        <v>3494.3</v>
      </c>
      <c r="E470" s="7" t="n">
        <v>3582.2</v>
      </c>
      <c r="F470" s="9" t="n">
        <v>1541100000</v>
      </c>
      <c r="G470" s="9" t="n">
        <v>5324500000</v>
      </c>
      <c r="H470">
        <f>H469*(E470/E469)</f>
        <v/>
      </c>
    </row>
    <row r="471">
      <c r="A471" s="8" t="n">
        <v>39815</v>
      </c>
      <c r="B471" s="7" t="n">
        <v>3582.2</v>
      </c>
      <c r="C471" s="7" t="n">
        <v>3767.5</v>
      </c>
      <c r="D471" s="7" t="n">
        <v>3572.7</v>
      </c>
      <c r="E471" s="7" t="n">
        <v>3713.8</v>
      </c>
      <c r="F471" s="9" t="n">
        <v>1611200000</v>
      </c>
      <c r="G471" s="9" t="n">
        <v>5423900000</v>
      </c>
      <c r="H471">
        <f>H470*(E471/E470)</f>
        <v/>
      </c>
    </row>
    <row r="472">
      <c r="A472" s="8" t="n">
        <v>39822</v>
      </c>
      <c r="B472" s="7" t="n">
        <v>3742.5</v>
      </c>
      <c r="C472" s="7" t="n">
        <v>3817.9</v>
      </c>
      <c r="D472" s="7" t="n">
        <v>3662.6</v>
      </c>
      <c r="E472" s="7" t="n">
        <v>3735.7</v>
      </c>
      <c r="F472" s="9" t="n">
        <v>3605700000</v>
      </c>
      <c r="G472" s="9" t="n">
        <v>12774900000</v>
      </c>
      <c r="H472">
        <f>H471*(E472/E471)</f>
        <v/>
      </c>
    </row>
    <row r="473">
      <c r="A473" s="8" t="n">
        <v>39829</v>
      </c>
      <c r="B473" s="7" t="n">
        <v>3722</v>
      </c>
      <c r="C473" s="7" t="n">
        <v>3722</v>
      </c>
      <c r="D473" s="7" t="n">
        <v>3515.1</v>
      </c>
      <c r="E473" s="7" t="n">
        <v>3550.9</v>
      </c>
      <c r="F473" s="9" t="n">
        <v>2953800000</v>
      </c>
      <c r="G473" s="9" t="n">
        <v>11966300000</v>
      </c>
      <c r="H473">
        <f>H472*(E473/E472)</f>
        <v/>
      </c>
    </row>
    <row r="474">
      <c r="A474" s="8" t="n">
        <v>39836</v>
      </c>
      <c r="B474" s="7" t="n">
        <v>3556</v>
      </c>
      <c r="C474" s="7" t="n">
        <v>3602</v>
      </c>
      <c r="D474" s="7" t="n">
        <v>3342.7</v>
      </c>
      <c r="E474" s="7" t="n">
        <v>3342.7</v>
      </c>
      <c r="F474" s="9" t="n">
        <v>3111100000</v>
      </c>
      <c r="G474" s="9" t="n">
        <v>14541100000</v>
      </c>
      <c r="H474">
        <f>H473*(E474/E473)</f>
        <v/>
      </c>
    </row>
    <row r="475">
      <c r="A475" s="8" t="n">
        <v>39843</v>
      </c>
      <c r="B475" s="7" t="n">
        <v>3376</v>
      </c>
      <c r="C475" s="7" t="n">
        <v>3564.1</v>
      </c>
      <c r="D475" s="7" t="n">
        <v>3374</v>
      </c>
      <c r="E475" s="7" t="n">
        <v>3540.7</v>
      </c>
      <c r="F475" s="9" t="n">
        <v>2984300000</v>
      </c>
      <c r="G475" s="9" t="n">
        <v>16037200000</v>
      </c>
      <c r="H475">
        <f>H474*(E475/E474)</f>
        <v/>
      </c>
    </row>
    <row r="476">
      <c r="A476" s="8" t="n">
        <v>39850</v>
      </c>
      <c r="B476" s="7" t="n">
        <v>3519.4</v>
      </c>
      <c r="C476" s="7" t="n">
        <v>3578.7</v>
      </c>
      <c r="D476" s="7" t="n">
        <v>3414.5</v>
      </c>
      <c r="E476" s="7" t="n">
        <v>3469.9</v>
      </c>
      <c r="F476" s="9" t="n">
        <v>4095800000</v>
      </c>
      <c r="G476" s="9" t="n">
        <v>17231700000</v>
      </c>
      <c r="H476">
        <f>H475*(E476/E475)</f>
        <v/>
      </c>
    </row>
    <row r="477">
      <c r="A477" s="8" t="n">
        <v>39857</v>
      </c>
      <c r="B477" s="7" t="n">
        <v>3498.4</v>
      </c>
      <c r="C477" s="7" t="n">
        <v>3559.5</v>
      </c>
      <c r="D477" s="7" t="n">
        <v>3409.6</v>
      </c>
      <c r="E477" s="7" t="n">
        <v>3559.1</v>
      </c>
      <c r="F477" s="9" t="n">
        <v>3574200000</v>
      </c>
      <c r="G477" s="9" t="n">
        <v>15672900000</v>
      </c>
      <c r="H477">
        <f>H476*(E477/E476)</f>
        <v/>
      </c>
    </row>
    <row r="478">
      <c r="A478" s="8" t="n">
        <v>39864</v>
      </c>
      <c r="B478" s="7" t="n">
        <v>3548.8</v>
      </c>
      <c r="C478" s="7" t="n">
        <v>3548.8</v>
      </c>
      <c r="D478" s="7" t="n">
        <v>3368.1</v>
      </c>
      <c r="E478" s="7" t="n">
        <v>3402.4</v>
      </c>
      <c r="F478" s="9" t="n">
        <v>4204200000</v>
      </c>
      <c r="G478" s="9" t="n">
        <v>16124500000</v>
      </c>
      <c r="H478">
        <f>H477*(E478/E477)</f>
        <v/>
      </c>
    </row>
    <row r="479">
      <c r="A479" s="8" t="n">
        <v>39871</v>
      </c>
      <c r="B479" s="7" t="n">
        <v>3386.9</v>
      </c>
      <c r="C479" s="7" t="n">
        <v>3386.9</v>
      </c>
      <c r="D479" s="7" t="n">
        <v>3296.2</v>
      </c>
      <c r="E479" s="7" t="n">
        <v>3344.5</v>
      </c>
      <c r="F479" s="9" t="n">
        <v>4751400000</v>
      </c>
      <c r="G479" s="9" t="n">
        <v>16985500000</v>
      </c>
      <c r="H479">
        <f>H478*(E479/E478)</f>
        <v/>
      </c>
    </row>
    <row r="480">
      <c r="A480" s="8" t="n">
        <v>39878</v>
      </c>
      <c r="B480" s="7" t="n">
        <v>3329.4</v>
      </c>
      <c r="C480" s="7" t="n">
        <v>3330.4</v>
      </c>
      <c r="D480" s="7" t="n">
        <v>3124.3</v>
      </c>
      <c r="E480" s="7" t="n">
        <v>3145.5</v>
      </c>
      <c r="F480" s="9" t="n">
        <v>4622900000</v>
      </c>
      <c r="G480" s="9" t="n">
        <v>16612400000</v>
      </c>
      <c r="H480">
        <f>H479*(E480/E479)</f>
        <v/>
      </c>
    </row>
    <row r="481">
      <c r="A481" s="8" t="n">
        <v>39885</v>
      </c>
      <c r="B481" s="7" t="n">
        <v>3165.5</v>
      </c>
      <c r="C481" s="7" t="n">
        <v>3353.5</v>
      </c>
      <c r="D481" s="7" t="n">
        <v>3120.8</v>
      </c>
      <c r="E481" s="7" t="n">
        <v>3345.2</v>
      </c>
      <c r="F481" s="9" t="n">
        <v>4582600000</v>
      </c>
      <c r="G481" s="9" t="n">
        <v>17078700000</v>
      </c>
      <c r="H481">
        <f>H480*(E481/E480)</f>
        <v/>
      </c>
    </row>
    <row r="482">
      <c r="A482" s="8" t="n">
        <v>39892</v>
      </c>
      <c r="B482" s="7" t="n">
        <v>3345.8</v>
      </c>
      <c r="C482" s="7" t="n">
        <v>3500.7</v>
      </c>
      <c r="D482" s="7" t="n">
        <v>3339.9</v>
      </c>
      <c r="E482" s="7" t="n">
        <v>3465.8</v>
      </c>
      <c r="F482" s="9" t="n">
        <v>7689600000</v>
      </c>
      <c r="G482" s="9" t="n">
        <v>26475200000</v>
      </c>
      <c r="H482">
        <f>H481*(E482/E481)</f>
        <v/>
      </c>
    </row>
    <row r="483">
      <c r="A483" s="8" t="n">
        <v>39899</v>
      </c>
      <c r="B483" s="7" t="n">
        <v>3469.9</v>
      </c>
      <c r="C483" s="7" t="n">
        <v>3706.6</v>
      </c>
      <c r="D483" s="7" t="n">
        <v>3456.2</v>
      </c>
      <c r="E483" s="7" t="n">
        <v>3672.3</v>
      </c>
      <c r="F483" s="9" t="n">
        <v>5176700000</v>
      </c>
      <c r="G483" s="9" t="n">
        <v>22320000000</v>
      </c>
      <c r="H483">
        <f>H482*(E483/E482)</f>
        <v/>
      </c>
    </row>
    <row r="484">
      <c r="A484" s="8" t="n">
        <v>39906</v>
      </c>
      <c r="B484" s="7" t="n">
        <v>3658</v>
      </c>
      <c r="C484" s="7" t="n">
        <v>3750.1</v>
      </c>
      <c r="D484" s="7" t="n">
        <v>3550.9</v>
      </c>
      <c r="E484" s="7" t="n">
        <v>3735.6</v>
      </c>
      <c r="F484" s="9" t="n">
        <v>5148300000</v>
      </c>
      <c r="G484" s="9" t="n">
        <v>18160000000</v>
      </c>
      <c r="H484">
        <f>H483*(E484/E483)</f>
        <v/>
      </c>
    </row>
    <row r="485">
      <c r="A485" s="8" t="n">
        <v>39912</v>
      </c>
      <c r="B485" s="7" t="n">
        <v>3733.8</v>
      </c>
      <c r="C485" s="7" t="n">
        <v>3763.1</v>
      </c>
      <c r="D485" s="7" t="n">
        <v>3610.9</v>
      </c>
      <c r="E485" s="7" t="n">
        <v>3671.6</v>
      </c>
      <c r="F485" s="9" t="n">
        <v>3814000000</v>
      </c>
      <c r="G485" s="9" t="n">
        <v>13674000000</v>
      </c>
      <c r="H485">
        <f>H484*(E485/E484)</f>
        <v/>
      </c>
    </row>
    <row r="486">
      <c r="A486" s="8" t="n">
        <v>39920</v>
      </c>
      <c r="B486" s="7" t="n">
        <v>3697</v>
      </c>
      <c r="C486" s="7" t="n">
        <v>3851.2</v>
      </c>
      <c r="D486" s="7" t="n">
        <v>3696.4</v>
      </c>
      <c r="E486" s="7" t="n">
        <v>3776.7</v>
      </c>
      <c r="F486" s="9" t="n">
        <v>3732500000</v>
      </c>
      <c r="G486" s="9" t="n">
        <v>12763800000</v>
      </c>
      <c r="H486">
        <f>H485*(E486/E485)</f>
        <v/>
      </c>
    </row>
    <row r="487">
      <c r="A487" s="8" t="n">
        <v>39927</v>
      </c>
      <c r="B487" s="7" t="n">
        <v>3777.9</v>
      </c>
      <c r="C487" s="7" t="n">
        <v>3788</v>
      </c>
      <c r="D487" s="7" t="n">
        <v>3661</v>
      </c>
      <c r="E487" s="7" t="n">
        <v>3712.3</v>
      </c>
      <c r="F487" s="9" t="n">
        <v>4689000000</v>
      </c>
      <c r="G487" s="9" t="n">
        <v>17995600000</v>
      </c>
      <c r="H487">
        <f>H486*(E487/E486)</f>
        <v/>
      </c>
    </row>
    <row r="488">
      <c r="A488" s="8" t="n">
        <v>39934</v>
      </c>
      <c r="B488" s="7" t="n">
        <v>3725</v>
      </c>
      <c r="C488" s="7" t="n">
        <v>3799.3</v>
      </c>
      <c r="D488" s="7" t="n">
        <v>3679.8</v>
      </c>
      <c r="E488" s="7" t="n">
        <v>3769.6</v>
      </c>
      <c r="F488" s="9" t="n">
        <v>4587500000</v>
      </c>
      <c r="G488" s="9" t="n">
        <v>16347400000</v>
      </c>
      <c r="H488">
        <f>H487*(E488/E487)</f>
        <v/>
      </c>
    </row>
    <row r="489">
      <c r="A489" s="8" t="n">
        <v>39941</v>
      </c>
      <c r="B489" s="7" t="n">
        <v>3781.5</v>
      </c>
      <c r="C489" s="7" t="n">
        <v>3954.2</v>
      </c>
      <c r="D489" s="7" t="n">
        <v>3781.5</v>
      </c>
      <c r="E489" s="7" t="n">
        <v>3941.7</v>
      </c>
      <c r="F489" s="9" t="n">
        <v>5757400000</v>
      </c>
      <c r="G489" s="9" t="n">
        <v>21326600000</v>
      </c>
      <c r="H489">
        <f>H488*(E489/E488)</f>
        <v/>
      </c>
    </row>
    <row r="490">
      <c r="A490" s="8" t="n">
        <v>39948</v>
      </c>
      <c r="B490" s="7" t="n">
        <v>3943.2</v>
      </c>
      <c r="C490" s="7" t="n">
        <v>3960.4</v>
      </c>
      <c r="D490" s="7" t="n">
        <v>3722.7</v>
      </c>
      <c r="E490" s="7" t="n">
        <v>3773.2</v>
      </c>
      <c r="F490" s="9" t="n">
        <v>6348500000</v>
      </c>
      <c r="G490" s="9" t="n">
        <v>21955000000</v>
      </c>
      <c r="H490">
        <f>H489*(E490/E489)</f>
        <v/>
      </c>
    </row>
    <row r="491">
      <c r="A491" s="8" t="n">
        <v>39955</v>
      </c>
      <c r="B491" s="7" t="n">
        <v>3763.8</v>
      </c>
      <c r="C491" s="7" t="n">
        <v>3831.5</v>
      </c>
      <c r="D491" s="7" t="n">
        <v>3714.9</v>
      </c>
      <c r="E491" s="7" t="n">
        <v>3761.6</v>
      </c>
      <c r="F491" s="9" t="n">
        <v>5031000000</v>
      </c>
      <c r="G491" s="9" t="n">
        <v>18038100000</v>
      </c>
      <c r="H491">
        <f>H490*(E491/E490)</f>
        <v/>
      </c>
    </row>
    <row r="492">
      <c r="A492" s="8" t="n">
        <v>39962</v>
      </c>
      <c r="B492" s="7" t="n">
        <v>3763.7</v>
      </c>
      <c r="C492" s="7" t="n">
        <v>3836.9</v>
      </c>
      <c r="D492" s="7" t="n">
        <v>3722</v>
      </c>
      <c r="E492" s="7" t="n">
        <v>3818</v>
      </c>
      <c r="F492" s="9" t="n">
        <v>6327400000</v>
      </c>
      <c r="G492" s="9" t="n">
        <v>23985400000</v>
      </c>
      <c r="H492">
        <f>H491*(E492/E491)</f>
        <v/>
      </c>
    </row>
    <row r="493">
      <c r="A493" s="8" t="n">
        <v>39969</v>
      </c>
      <c r="B493" s="7" t="n">
        <v>3826.4</v>
      </c>
      <c r="C493" s="7" t="n">
        <v>4021.3</v>
      </c>
      <c r="D493" s="7" t="n">
        <v>3810.2</v>
      </c>
      <c r="E493" s="7" t="n">
        <v>3971.2</v>
      </c>
      <c r="F493" s="9" t="n">
        <v>7536000000</v>
      </c>
      <c r="G493" s="9" t="n">
        <v>29209500000</v>
      </c>
      <c r="H493">
        <f>H492*(E493/E492)</f>
        <v/>
      </c>
    </row>
    <row r="494">
      <c r="A494" s="8" t="n">
        <v>39976</v>
      </c>
      <c r="B494" s="7" t="n">
        <v>3959.2</v>
      </c>
      <c r="C494" s="7" t="n">
        <v>4079.4</v>
      </c>
      <c r="D494" s="7" t="n">
        <v>3934.9</v>
      </c>
      <c r="E494" s="7" t="n">
        <v>4062.2</v>
      </c>
      <c r="F494" s="9" t="n">
        <v>5962900000</v>
      </c>
      <c r="G494" s="9" t="n">
        <v>22209800000</v>
      </c>
      <c r="H494">
        <f>H493*(E494/E493)</f>
        <v/>
      </c>
    </row>
    <row r="495">
      <c r="A495" s="8" t="n">
        <v>39983</v>
      </c>
      <c r="B495" s="7" t="n">
        <v>4048.8</v>
      </c>
      <c r="C495" s="7" t="n">
        <v>4058.8</v>
      </c>
      <c r="D495" s="7" t="n">
        <v>3871.5</v>
      </c>
      <c r="E495" s="7" t="n">
        <v>3899.6</v>
      </c>
      <c r="F495" s="9" t="n">
        <v>7288800000</v>
      </c>
      <c r="G495" s="9" t="n">
        <v>27883800000</v>
      </c>
      <c r="H495">
        <f>H494*(E495/E494)</f>
        <v/>
      </c>
    </row>
    <row r="496">
      <c r="A496" s="8" t="n">
        <v>39990</v>
      </c>
      <c r="B496" s="7" t="n">
        <v>3908.9</v>
      </c>
      <c r="C496" s="7" t="n">
        <v>3931.2</v>
      </c>
      <c r="D496" s="7" t="n">
        <v>3767.9</v>
      </c>
      <c r="E496" s="7" t="n">
        <v>3903.8</v>
      </c>
      <c r="F496" s="9" t="n">
        <v>5329200000</v>
      </c>
      <c r="G496" s="9" t="n">
        <v>24787900000</v>
      </c>
      <c r="H496">
        <f>H495*(E496/E495)</f>
        <v/>
      </c>
    </row>
    <row r="497">
      <c r="A497" s="8" t="n">
        <v>39997</v>
      </c>
      <c r="B497" s="7" t="n">
        <v>3899.4</v>
      </c>
      <c r="C497" s="7" t="n">
        <v>3955.5</v>
      </c>
      <c r="D497" s="7" t="n">
        <v>3804.1</v>
      </c>
      <c r="E497" s="7" t="n">
        <v>3828.2</v>
      </c>
      <c r="F497" s="9" t="n">
        <v>4783200000</v>
      </c>
      <c r="G497" s="9" t="n">
        <v>19767900000</v>
      </c>
      <c r="H497">
        <f>H496*(E497/E496)</f>
        <v/>
      </c>
    </row>
    <row r="498">
      <c r="A498" s="8" t="n">
        <v>40004</v>
      </c>
      <c r="B498" s="7" t="n">
        <v>3821</v>
      </c>
      <c r="C498" s="7" t="n">
        <v>3821.4</v>
      </c>
      <c r="D498" s="7" t="n">
        <v>3709.2</v>
      </c>
      <c r="E498" s="7" t="n">
        <v>3794.1</v>
      </c>
      <c r="F498" s="9" t="n">
        <v>4234100000</v>
      </c>
      <c r="G498" s="9" t="n">
        <v>16859300000</v>
      </c>
      <c r="H498">
        <f>H497*(E498/E497)</f>
        <v/>
      </c>
    </row>
    <row r="499">
      <c r="A499" s="8" t="n">
        <v>40011</v>
      </c>
      <c r="B499" s="7" t="n">
        <v>3790.3</v>
      </c>
      <c r="C499" s="7" t="n">
        <v>4026.7</v>
      </c>
      <c r="D499" s="7" t="n">
        <v>3735.6</v>
      </c>
      <c r="E499" s="7" t="n">
        <v>4000.8</v>
      </c>
      <c r="F499" s="9" t="n">
        <v>4415700000</v>
      </c>
      <c r="G499" s="9" t="n">
        <v>19045500000</v>
      </c>
      <c r="H499">
        <f>H498*(E499/E498)</f>
        <v/>
      </c>
    </row>
    <row r="500">
      <c r="A500" s="8" t="n">
        <v>40018</v>
      </c>
      <c r="B500" s="7" t="n">
        <v>4006.8</v>
      </c>
      <c r="C500" s="7" t="n">
        <v>4122.1</v>
      </c>
      <c r="D500" s="7" t="n">
        <v>4006.8</v>
      </c>
      <c r="E500" s="7" t="n">
        <v>4089.8</v>
      </c>
      <c r="F500" s="9" t="n">
        <v>5156400000</v>
      </c>
      <c r="G500" s="9" t="n">
        <v>23390500000</v>
      </c>
      <c r="H500">
        <f>H499*(E500/E499)</f>
        <v/>
      </c>
    </row>
    <row r="501">
      <c r="A501" s="8" t="n">
        <v>40025</v>
      </c>
      <c r="B501" s="7" t="n">
        <v>4097.5</v>
      </c>
      <c r="C501" s="7" t="n">
        <v>4247.9</v>
      </c>
      <c r="D501" s="7" t="n">
        <v>4097.5</v>
      </c>
      <c r="E501" s="7" t="n">
        <v>4244</v>
      </c>
      <c r="F501" s="9" t="n">
        <v>6558200000</v>
      </c>
      <c r="G501" s="9" t="n">
        <v>28757500000</v>
      </c>
      <c r="H501">
        <f>H500*(E501/E500)</f>
        <v/>
      </c>
    </row>
    <row r="502">
      <c r="A502" s="8" t="n">
        <v>40032</v>
      </c>
      <c r="B502" s="7" t="n">
        <v>4245.9</v>
      </c>
      <c r="C502" s="7" t="n">
        <v>4340</v>
      </c>
      <c r="D502" s="7" t="n">
        <v>4244.6</v>
      </c>
      <c r="E502" s="7" t="n">
        <v>4299.4</v>
      </c>
      <c r="F502" s="9" t="n">
        <v>10620800000</v>
      </c>
      <c r="G502" s="9" t="n">
        <v>27146000000</v>
      </c>
      <c r="H502">
        <f>H501*(E502/E501)</f>
        <v/>
      </c>
    </row>
    <row r="503">
      <c r="A503" s="8" t="n">
        <v>40039</v>
      </c>
      <c r="B503" s="7" t="n">
        <v>4311.9</v>
      </c>
      <c r="C503" s="7" t="n">
        <v>4509.5</v>
      </c>
      <c r="D503" s="7" t="n">
        <v>4279</v>
      </c>
      <c r="E503" s="7" t="n">
        <v>4461</v>
      </c>
      <c r="F503" s="9" t="n">
        <v>7032000000</v>
      </c>
      <c r="G503" s="9" t="n">
        <v>26000900000</v>
      </c>
      <c r="H503">
        <f>H502*(E503/E502)</f>
        <v/>
      </c>
    </row>
    <row r="504">
      <c r="A504" s="8" t="n">
        <v>40046</v>
      </c>
      <c r="B504" s="7" t="n">
        <v>4451</v>
      </c>
      <c r="C504" s="7" t="n">
        <v>4451</v>
      </c>
      <c r="D504" s="7" t="n">
        <v>4260.7</v>
      </c>
      <c r="E504" s="7" t="n">
        <v>4290.6</v>
      </c>
      <c r="F504" s="9" t="n">
        <v>7274100000</v>
      </c>
      <c r="G504" s="9" t="n">
        <v>30266000000</v>
      </c>
      <c r="H504">
        <f>H503*(E504/E503)</f>
        <v/>
      </c>
    </row>
    <row r="505">
      <c r="A505" s="8" t="n">
        <v>40053</v>
      </c>
      <c r="B505" s="7" t="n">
        <v>4291.6</v>
      </c>
      <c r="C505" s="7" t="n">
        <v>4492.6</v>
      </c>
      <c r="D505" s="7" t="n">
        <v>4290.6</v>
      </c>
      <c r="E505" s="7" t="n">
        <v>4489.6</v>
      </c>
      <c r="F505" s="9" t="n">
        <v>7507600000</v>
      </c>
      <c r="G505" s="9" t="n">
        <v>28884300000</v>
      </c>
      <c r="H505">
        <f>H504*(E505/E504)</f>
        <v/>
      </c>
    </row>
    <row r="506">
      <c r="A506" s="8" t="n">
        <v>40060</v>
      </c>
      <c r="B506" s="7" t="n">
        <v>4485.7</v>
      </c>
      <c r="C506" s="7" t="n">
        <v>4537.2</v>
      </c>
      <c r="D506" s="7" t="n">
        <v>4410</v>
      </c>
      <c r="E506" s="7" t="n">
        <v>4435.5</v>
      </c>
      <c r="F506" s="9" t="n">
        <v>7030400000</v>
      </c>
      <c r="G506" s="9" t="n">
        <v>27990500000</v>
      </c>
      <c r="H506">
        <f>H505*(E506/E505)</f>
        <v/>
      </c>
    </row>
    <row r="507">
      <c r="A507" s="8" t="n">
        <v>40067</v>
      </c>
      <c r="B507" s="7" t="n">
        <v>4443.1</v>
      </c>
      <c r="C507" s="7" t="n">
        <v>4608.6</v>
      </c>
      <c r="D507" s="7" t="n">
        <v>4441</v>
      </c>
      <c r="E507" s="7" t="n">
        <v>4596.1</v>
      </c>
      <c r="F507" s="9" t="n">
        <v>7748400000</v>
      </c>
      <c r="G507" s="9" t="n">
        <v>28685400000</v>
      </c>
      <c r="H507">
        <f>H506*(E507/E506)</f>
        <v/>
      </c>
    </row>
    <row r="508">
      <c r="A508" s="8" t="n">
        <v>40074</v>
      </c>
      <c r="B508" s="7" t="n">
        <v>4595.7</v>
      </c>
      <c r="C508" s="7" t="n">
        <v>4749.7</v>
      </c>
      <c r="D508" s="7" t="n">
        <v>4518.8</v>
      </c>
      <c r="E508" s="7" t="n">
        <v>4693.2</v>
      </c>
      <c r="F508" s="9" t="n">
        <v>8086200000</v>
      </c>
      <c r="G508" s="9" t="n">
        <v>35245500000</v>
      </c>
      <c r="H508">
        <f>H507*(E508/E507)</f>
        <v/>
      </c>
    </row>
    <row r="509">
      <c r="A509" s="8" t="n">
        <v>40081</v>
      </c>
      <c r="B509" s="7" t="n">
        <v>4687.4</v>
      </c>
      <c r="C509" s="7" t="n">
        <v>4735.6</v>
      </c>
      <c r="D509" s="7" t="n">
        <v>4639.4</v>
      </c>
      <c r="E509" s="7" t="n">
        <v>4713.3</v>
      </c>
      <c r="F509" s="9" t="n">
        <v>6221700000</v>
      </c>
      <c r="G509" s="9" t="n">
        <v>26073300000</v>
      </c>
      <c r="H509">
        <f>H508*(E509/E508)</f>
        <v/>
      </c>
    </row>
    <row r="510">
      <c r="A510" s="8" t="n">
        <v>40088</v>
      </c>
      <c r="B510" s="7" t="n">
        <v>4703.8</v>
      </c>
      <c r="C510" s="7" t="n">
        <v>4767.9</v>
      </c>
      <c r="D510" s="7" t="n">
        <v>4601.5</v>
      </c>
      <c r="E510" s="7" t="n">
        <v>4601.7</v>
      </c>
      <c r="F510" s="9" t="n">
        <v>5470800000</v>
      </c>
      <c r="G510" s="9" t="n">
        <v>21273700000</v>
      </c>
      <c r="H510">
        <f>H509*(E510/E509)</f>
        <v/>
      </c>
    </row>
    <row r="511">
      <c r="A511" s="8" t="n">
        <v>40095</v>
      </c>
      <c r="B511" s="7" t="n">
        <v>4601.3</v>
      </c>
      <c r="C511" s="7" t="n">
        <v>4803.5</v>
      </c>
      <c r="D511" s="7" t="n">
        <v>4573.3</v>
      </c>
      <c r="E511" s="7" t="n">
        <v>4752.9</v>
      </c>
      <c r="F511" s="9" t="n">
        <v>5238700000</v>
      </c>
      <c r="G511" s="9" t="n">
        <v>23030000000</v>
      </c>
      <c r="H511">
        <f>H510*(E511/E510)</f>
        <v/>
      </c>
    </row>
    <row r="512">
      <c r="A512" s="8" t="n">
        <v>40102</v>
      </c>
      <c r="B512" s="7" t="n">
        <v>4761.2</v>
      </c>
      <c r="C512" s="7" t="n">
        <v>4895.3</v>
      </c>
      <c r="D512" s="7" t="n">
        <v>4736.9</v>
      </c>
      <c r="E512" s="7" t="n">
        <v>4836.4</v>
      </c>
      <c r="F512" s="9" t="n">
        <v>5328600000</v>
      </c>
      <c r="G512" s="9" t="n">
        <v>21914900000</v>
      </c>
      <c r="H512">
        <f>H511*(E512/E511)</f>
        <v/>
      </c>
    </row>
    <row r="513">
      <c r="A513" s="8" t="n">
        <v>40109</v>
      </c>
      <c r="B513" s="7" t="n">
        <v>4830.4</v>
      </c>
      <c r="C513" s="7" t="n">
        <v>4871.3</v>
      </c>
      <c r="D513" s="7" t="n">
        <v>4772.1</v>
      </c>
      <c r="E513" s="7" t="n">
        <v>4859.4</v>
      </c>
      <c r="F513" s="9" t="n">
        <v>6354200000</v>
      </c>
      <c r="G513" s="9" t="n">
        <v>25827300000</v>
      </c>
      <c r="H513">
        <f>H512*(E513/E512)</f>
        <v/>
      </c>
    </row>
    <row r="514">
      <c r="A514" s="8" t="n">
        <v>40116</v>
      </c>
      <c r="B514" s="7" t="n">
        <v>4845.8</v>
      </c>
      <c r="C514" s="7" t="n">
        <v>4848.8</v>
      </c>
      <c r="D514" s="7" t="n">
        <v>4562.5</v>
      </c>
      <c r="E514" s="7" t="n">
        <v>4643.2</v>
      </c>
      <c r="F514" s="9" t="n">
        <v>6735700000</v>
      </c>
      <c r="G514" s="9" t="n">
        <v>31112400000</v>
      </c>
      <c r="H514">
        <f>H513*(E514/E513)</f>
        <v/>
      </c>
    </row>
    <row r="515">
      <c r="A515" s="8" t="n">
        <v>40123</v>
      </c>
      <c r="B515" s="7" t="n">
        <v>4611</v>
      </c>
      <c r="C515" s="7" t="n">
        <v>4611.3</v>
      </c>
      <c r="D515" s="7" t="n">
        <v>4502.5</v>
      </c>
      <c r="E515" s="7" t="n">
        <v>4594</v>
      </c>
      <c r="F515" s="9" t="n">
        <v>5178100000</v>
      </c>
      <c r="G515" s="9" t="n">
        <v>20887300000</v>
      </c>
      <c r="H515">
        <f>H514*(E515/E514)</f>
        <v/>
      </c>
    </row>
    <row r="516">
      <c r="A516" s="8" t="n">
        <v>40130</v>
      </c>
      <c r="B516" s="7" t="n">
        <v>4596.8</v>
      </c>
      <c r="C516" s="7" t="n">
        <v>4796.6</v>
      </c>
      <c r="D516" s="7" t="n">
        <v>4596.5</v>
      </c>
      <c r="E516" s="7" t="n">
        <v>4706.4</v>
      </c>
      <c r="F516" s="9" t="n">
        <v>5782099000</v>
      </c>
      <c r="G516" s="9" t="n">
        <v>26373200000</v>
      </c>
      <c r="H516">
        <f>H515*(E516/E515)</f>
        <v/>
      </c>
    </row>
    <row r="517">
      <c r="A517" s="8" t="n">
        <v>40137</v>
      </c>
      <c r="B517" s="7" t="n">
        <v>4715.9</v>
      </c>
      <c r="C517" s="7" t="n">
        <v>4799</v>
      </c>
      <c r="D517" s="7" t="n">
        <v>4673.2</v>
      </c>
      <c r="E517" s="7" t="n">
        <v>4685.8</v>
      </c>
      <c r="F517" s="9" t="n">
        <v>5212300000</v>
      </c>
      <c r="G517" s="9" t="n">
        <v>22521600000</v>
      </c>
      <c r="H517">
        <f>H516*(E517/E516)</f>
        <v/>
      </c>
    </row>
    <row r="518">
      <c r="A518" s="8" t="n">
        <v>40144</v>
      </c>
      <c r="B518" s="7" t="n">
        <v>4688.8</v>
      </c>
      <c r="C518" s="7" t="n">
        <v>4763.9</v>
      </c>
      <c r="D518" s="7" t="n">
        <v>4562.7</v>
      </c>
      <c r="E518" s="7" t="n">
        <v>4572.1</v>
      </c>
      <c r="F518" s="9" t="n">
        <v>5213600000</v>
      </c>
      <c r="G518" s="9" t="n">
        <v>25062500000</v>
      </c>
      <c r="H518">
        <f>H517*(E518/E517)</f>
        <v/>
      </c>
    </row>
    <row r="519">
      <c r="A519" s="8" t="n">
        <v>40151</v>
      </c>
      <c r="B519" s="7" t="n">
        <v>4592.8</v>
      </c>
      <c r="C519" s="7" t="n">
        <v>4795.2</v>
      </c>
      <c r="D519" s="7" t="n">
        <v>4592.8</v>
      </c>
      <c r="E519" s="7" t="n">
        <v>4702.2</v>
      </c>
      <c r="F519" s="9" t="n">
        <v>5052400000</v>
      </c>
      <c r="G519" s="9" t="n">
        <v>23228200000</v>
      </c>
      <c r="H519">
        <f>H518*(E519/E518)</f>
        <v/>
      </c>
    </row>
    <row r="520">
      <c r="A520" s="8" t="n">
        <v>40158</v>
      </c>
      <c r="B520" s="7" t="n">
        <v>4707.4</v>
      </c>
      <c r="C520" s="7" t="n">
        <v>4723.1</v>
      </c>
      <c r="D520" s="7" t="n">
        <v>4596.2</v>
      </c>
      <c r="E520" s="7" t="n">
        <v>4635.2</v>
      </c>
      <c r="F520" s="9" t="n">
        <v>4942200000</v>
      </c>
      <c r="G520" s="9" t="n">
        <v>21639400000</v>
      </c>
      <c r="H520">
        <f>H519*(E520/E519)</f>
        <v/>
      </c>
    </row>
    <row r="521">
      <c r="A521" s="8" t="n">
        <v>40165</v>
      </c>
      <c r="B521" s="7" t="n">
        <v>4635.6</v>
      </c>
      <c r="C521" s="7" t="n">
        <v>4703.1</v>
      </c>
      <c r="D521" s="7" t="n">
        <v>4604.7</v>
      </c>
      <c r="E521" s="7" t="n">
        <v>4650.5</v>
      </c>
      <c r="F521" s="9" t="n">
        <v>5930500000</v>
      </c>
      <c r="G521" s="9" t="n">
        <v>29792900000</v>
      </c>
      <c r="H521">
        <f>H520*(E521/E520)</f>
        <v/>
      </c>
    </row>
    <row r="522">
      <c r="A522" s="8" t="n">
        <v>40171</v>
      </c>
      <c r="B522" s="7" t="n">
        <v>4660.4</v>
      </c>
      <c r="C522" s="7" t="n">
        <v>4790.9</v>
      </c>
      <c r="D522" s="7" t="n">
        <v>4635.1</v>
      </c>
      <c r="E522" s="7" t="n">
        <v>4790.9</v>
      </c>
      <c r="F522" s="9" t="n">
        <v>2298400000</v>
      </c>
      <c r="G522" s="9" t="n">
        <v>10975900000</v>
      </c>
      <c r="H522">
        <f>H521*(E522/E521)</f>
        <v/>
      </c>
    </row>
    <row r="523">
      <c r="A523" s="8" t="n">
        <v>40178</v>
      </c>
      <c r="B523" s="7" t="n">
        <v>4796.5</v>
      </c>
      <c r="C523" s="7" t="n">
        <v>4873.6</v>
      </c>
      <c r="D523" s="7" t="n">
        <v>4796.5</v>
      </c>
      <c r="E523" s="7" t="n">
        <v>4870.6</v>
      </c>
      <c r="F523" s="9" t="n">
        <v>1226200000</v>
      </c>
      <c r="G523" s="9" t="n">
        <v>5363200000</v>
      </c>
      <c r="H523">
        <f>H522*(E523/E522)</f>
        <v/>
      </c>
    </row>
    <row r="524">
      <c r="A524" s="8" t="n">
        <v>40186</v>
      </c>
      <c r="B524" s="7" t="n">
        <v>4864.9</v>
      </c>
      <c r="C524" s="7" t="n">
        <v>4938.5</v>
      </c>
      <c r="D524" s="7" t="n">
        <v>4862.3</v>
      </c>
      <c r="E524" s="7" t="n">
        <v>4912.1</v>
      </c>
      <c r="F524" s="9" t="n">
        <v>3709400000</v>
      </c>
      <c r="G524" s="9" t="n">
        <v>15701600000</v>
      </c>
      <c r="H524">
        <f>H523*(E524/E523)</f>
        <v/>
      </c>
    </row>
    <row r="525">
      <c r="A525" s="8" t="n">
        <v>40193</v>
      </c>
      <c r="B525" s="7" t="n">
        <v>4921.9</v>
      </c>
      <c r="C525" s="7" t="n">
        <v>4955.1</v>
      </c>
      <c r="D525" s="7" t="n">
        <v>4852.9</v>
      </c>
      <c r="E525" s="7" t="n">
        <v>4899.6</v>
      </c>
      <c r="F525" s="9" t="n">
        <v>3697600000</v>
      </c>
      <c r="G525" s="9" t="n">
        <v>19241500000</v>
      </c>
      <c r="H525">
        <f>H524*(E525/E524)</f>
        <v/>
      </c>
    </row>
    <row r="526">
      <c r="A526" s="8" t="n">
        <v>40200</v>
      </c>
      <c r="B526" s="7" t="n">
        <v>4890.6</v>
      </c>
      <c r="C526" s="7" t="n">
        <v>4930</v>
      </c>
      <c r="D526" s="7" t="n">
        <v>4716</v>
      </c>
      <c r="E526" s="7" t="n">
        <v>4750.6</v>
      </c>
      <c r="F526" s="9" t="n">
        <v>4817900000</v>
      </c>
      <c r="G526" s="9" t="n">
        <v>25630300000</v>
      </c>
      <c r="H526">
        <f>H525*(E526/E525)</f>
        <v/>
      </c>
    </row>
    <row r="527">
      <c r="A527" s="8" t="n">
        <v>40207</v>
      </c>
      <c r="B527" s="7" t="n">
        <v>4725.7</v>
      </c>
      <c r="C527" s="7" t="n">
        <v>4726.6</v>
      </c>
      <c r="D527" s="7" t="n">
        <v>4566.7</v>
      </c>
      <c r="E527" s="7" t="n">
        <v>4569.6</v>
      </c>
      <c r="F527" s="9" t="n">
        <v>4455200000</v>
      </c>
      <c r="G527" s="9" t="n">
        <v>22814800000</v>
      </c>
      <c r="H527">
        <f>H526*(E527/E526)</f>
        <v/>
      </c>
    </row>
    <row r="528">
      <c r="A528" s="8" t="n">
        <v>40214</v>
      </c>
      <c r="B528" s="7" t="n">
        <v>4569.9</v>
      </c>
      <c r="C528" s="7" t="n">
        <v>4656.9</v>
      </c>
      <c r="D528" s="7" t="n">
        <v>4488.4</v>
      </c>
      <c r="E528" s="7" t="n">
        <v>4514.1</v>
      </c>
      <c r="F528" s="9" t="n">
        <v>5625800000</v>
      </c>
      <c r="G528" s="9" t="n">
        <v>25905100000</v>
      </c>
      <c r="H528">
        <f>H527*(E528/E527)</f>
        <v/>
      </c>
    </row>
    <row r="529">
      <c r="A529" s="8" t="n">
        <v>40221</v>
      </c>
      <c r="B529" s="7" t="n">
        <v>4521.7</v>
      </c>
      <c r="C529" s="7" t="n">
        <v>4593.3</v>
      </c>
      <c r="D529" s="7" t="n">
        <v>4464.9</v>
      </c>
      <c r="E529" s="7" t="n">
        <v>4562.1</v>
      </c>
      <c r="F529" s="9" t="n">
        <v>4596700000</v>
      </c>
      <c r="G529" s="9" t="n">
        <v>22849400000</v>
      </c>
      <c r="H529">
        <f>H528*(E529/E528)</f>
        <v/>
      </c>
    </row>
    <row r="530">
      <c r="A530" s="8" t="n">
        <v>40228</v>
      </c>
      <c r="B530" s="7" t="n">
        <v>4558.5</v>
      </c>
      <c r="C530" s="7" t="n">
        <v>4673.1</v>
      </c>
      <c r="D530" s="7" t="n">
        <v>4537.9</v>
      </c>
      <c r="E530" s="7" t="n">
        <v>4635.1</v>
      </c>
      <c r="F530" s="9" t="n">
        <v>4791900000</v>
      </c>
      <c r="G530" s="9" t="n">
        <v>23992600000</v>
      </c>
      <c r="H530">
        <f>H529*(E530/E529)</f>
        <v/>
      </c>
    </row>
    <row r="531">
      <c r="A531" s="8" t="n">
        <v>40235</v>
      </c>
      <c r="B531" s="7" t="n">
        <v>4654.7</v>
      </c>
      <c r="C531" s="7" t="n">
        <v>4718.3</v>
      </c>
      <c r="D531" s="7" t="n">
        <v>4589.9</v>
      </c>
      <c r="E531" s="7" t="n">
        <v>4637.7</v>
      </c>
      <c r="F531" s="9" t="n">
        <v>5971800000</v>
      </c>
      <c r="G531" s="9" t="n">
        <v>29601500000</v>
      </c>
      <c r="H531">
        <f>H530*(E531/E530)</f>
        <v/>
      </c>
    </row>
    <row r="532">
      <c r="A532" s="8" t="n">
        <v>40242</v>
      </c>
      <c r="B532" s="7" t="n">
        <v>4633.1</v>
      </c>
      <c r="C532" s="7" t="n">
        <v>4780.4</v>
      </c>
      <c r="D532" s="7" t="n">
        <v>4633.1</v>
      </c>
      <c r="E532" s="7" t="n">
        <v>4767.2</v>
      </c>
      <c r="F532" s="9" t="n">
        <v>5701400000</v>
      </c>
      <c r="G532" s="9" t="n">
        <v>25471100000</v>
      </c>
      <c r="H532">
        <f>H531*(E532/E531)</f>
        <v/>
      </c>
    </row>
    <row r="533">
      <c r="A533" s="8" t="n">
        <v>40249</v>
      </c>
      <c r="B533" s="7" t="n">
        <v>4787.8</v>
      </c>
      <c r="C533" s="7" t="n">
        <v>4840.1</v>
      </c>
      <c r="D533" s="7" t="n">
        <v>4787.8</v>
      </c>
      <c r="E533" s="7" t="n">
        <v>4818.1</v>
      </c>
      <c r="F533" s="9" t="n">
        <v>5044600000</v>
      </c>
      <c r="G533" s="9" t="n">
        <v>24410100000</v>
      </c>
      <c r="H533">
        <f>H532*(E533/E532)</f>
        <v/>
      </c>
    </row>
    <row r="534">
      <c r="A534" s="8" t="n">
        <v>40256</v>
      </c>
      <c r="B534" s="7" t="n">
        <v>4820.6</v>
      </c>
      <c r="C534" s="7" t="n">
        <v>4875.8</v>
      </c>
      <c r="D534" s="7" t="n">
        <v>4781.1</v>
      </c>
      <c r="E534" s="7" t="n">
        <v>4872.2</v>
      </c>
      <c r="F534" s="9" t="n">
        <v>6280100000</v>
      </c>
      <c r="G534" s="9" t="n">
        <v>27607700000</v>
      </c>
      <c r="H534">
        <f>H533*(E534/E533)</f>
        <v/>
      </c>
    </row>
    <row r="535">
      <c r="A535" s="8" t="n">
        <v>40263</v>
      </c>
      <c r="B535" s="7" t="n">
        <v>4857.2</v>
      </c>
      <c r="C535" s="7" t="n">
        <v>4911.1</v>
      </c>
      <c r="D535" s="7" t="n">
        <v>4826.9</v>
      </c>
      <c r="E535" s="7" t="n">
        <v>4896.9</v>
      </c>
      <c r="F535" s="9" t="n">
        <v>5246400000</v>
      </c>
      <c r="G535" s="9" t="n">
        <v>27945300000</v>
      </c>
      <c r="H535">
        <f>H534*(E535/E534)</f>
        <v/>
      </c>
    </row>
    <row r="536">
      <c r="A536" s="8" t="n">
        <v>40269</v>
      </c>
      <c r="B536" s="7" t="n">
        <v>4902.5</v>
      </c>
      <c r="C536" s="7" t="n">
        <v>4928.9</v>
      </c>
      <c r="D536" s="7" t="n">
        <v>4875.5</v>
      </c>
      <c r="E536" s="7" t="n">
        <v>4907.7</v>
      </c>
      <c r="F536" s="9" t="n">
        <v>4458200000</v>
      </c>
      <c r="G536" s="9" t="n">
        <v>21666600000</v>
      </c>
      <c r="H536">
        <f>H535*(E536/E535)</f>
        <v/>
      </c>
    </row>
    <row r="537">
      <c r="A537" s="8" t="n">
        <v>40277</v>
      </c>
      <c r="B537" s="7" t="n">
        <v>4924.7</v>
      </c>
      <c r="C537" s="7" t="n">
        <v>4971.3</v>
      </c>
      <c r="D537" s="7" t="n">
        <v>4924.7</v>
      </c>
      <c r="E537" s="7" t="n">
        <v>4948.1</v>
      </c>
      <c r="F537" s="9" t="n">
        <v>4456500000</v>
      </c>
      <c r="G537" s="9" t="n">
        <v>19508400000</v>
      </c>
      <c r="H537">
        <f>H536*(E537/E536)</f>
        <v/>
      </c>
    </row>
    <row r="538">
      <c r="A538" s="8" t="n">
        <v>40284</v>
      </c>
      <c r="B538" s="7" t="n">
        <v>4957.5</v>
      </c>
      <c r="C538" s="7" t="n">
        <v>5025.1</v>
      </c>
      <c r="D538" s="7" t="n">
        <v>4944.5</v>
      </c>
      <c r="E538" s="7" t="n">
        <v>4984.7</v>
      </c>
      <c r="F538" s="9" t="n">
        <v>5526800000</v>
      </c>
      <c r="G538" s="9" t="n">
        <v>25765400000</v>
      </c>
      <c r="H538">
        <f>H537*(E538/E537)</f>
        <v/>
      </c>
    </row>
    <row r="539">
      <c r="A539" s="8" t="n">
        <v>40291</v>
      </c>
      <c r="B539" s="7" t="n">
        <v>4965.4</v>
      </c>
      <c r="C539" s="7" t="n">
        <v>4970.2</v>
      </c>
      <c r="D539" s="7" t="n">
        <v>4875.8</v>
      </c>
      <c r="E539" s="7" t="n">
        <v>4881.5</v>
      </c>
      <c r="F539" s="9" t="n">
        <v>4700700000</v>
      </c>
      <c r="G539" s="9" t="n">
        <v>27341300000</v>
      </c>
      <c r="H539">
        <f>H538*(E539/E538)</f>
        <v/>
      </c>
    </row>
    <row r="540">
      <c r="A540" s="8" t="n">
        <v>40298</v>
      </c>
      <c r="B540" s="7" t="n">
        <v>4886.8</v>
      </c>
      <c r="C540" s="7" t="n">
        <v>4911.9</v>
      </c>
      <c r="D540" s="7" t="n">
        <v>4779.3</v>
      </c>
      <c r="E540" s="7" t="n">
        <v>4807.4</v>
      </c>
      <c r="F540" s="9" t="n">
        <v>4555700000</v>
      </c>
      <c r="G540" s="9" t="n">
        <v>27075100000</v>
      </c>
      <c r="H540">
        <f>H539*(E540/E539)</f>
        <v/>
      </c>
    </row>
    <row r="541">
      <c r="A541" s="8" t="n">
        <v>40305</v>
      </c>
      <c r="B541" s="7" t="n">
        <v>4782.8</v>
      </c>
      <c r="C541" s="7" t="n">
        <v>4804.5</v>
      </c>
      <c r="D541" s="7" t="n">
        <v>4427.3</v>
      </c>
      <c r="E541" s="7" t="n">
        <v>4480.7</v>
      </c>
      <c r="F541" s="9" t="n">
        <v>7222000000</v>
      </c>
      <c r="G541" s="9" t="n">
        <v>37419900000</v>
      </c>
      <c r="H541">
        <f>H540*(E541/E540)</f>
        <v/>
      </c>
    </row>
    <row r="542">
      <c r="A542" s="8" t="n">
        <v>40312</v>
      </c>
      <c r="B542" s="7" t="n">
        <v>4497.2</v>
      </c>
      <c r="C542" s="7" t="n">
        <v>4652.8</v>
      </c>
      <c r="D542" s="7" t="n">
        <v>4497.2</v>
      </c>
      <c r="E542" s="7" t="n">
        <v>4611.1</v>
      </c>
      <c r="F542" s="9" t="n">
        <v>5277700000</v>
      </c>
      <c r="G542" s="9" t="n">
        <v>27908300000</v>
      </c>
      <c r="H542">
        <f>H541*(E542/E541)</f>
        <v/>
      </c>
    </row>
    <row r="543">
      <c r="A543" s="8" t="n">
        <v>40319</v>
      </c>
      <c r="B543" s="7" t="n">
        <v>4587.6</v>
      </c>
      <c r="C543" s="7" t="n">
        <v>4587.6</v>
      </c>
      <c r="D543" s="7" t="n">
        <v>4175.7</v>
      </c>
      <c r="E543" s="7" t="n">
        <v>4305.4</v>
      </c>
      <c r="F543" s="9" t="n">
        <v>6995500000</v>
      </c>
      <c r="G543" s="9" t="n">
        <v>36886700000</v>
      </c>
      <c r="H543">
        <f>H542*(E543/E542)</f>
        <v/>
      </c>
    </row>
    <row r="544">
      <c r="A544" s="8" t="n">
        <v>40326</v>
      </c>
      <c r="B544" s="7" t="n">
        <v>4319.9</v>
      </c>
      <c r="C544" s="7" t="n">
        <v>4460.8</v>
      </c>
      <c r="D544" s="7" t="n">
        <v>4265.3</v>
      </c>
      <c r="E544" s="7" t="n">
        <v>4457.5</v>
      </c>
      <c r="F544" s="9" t="n">
        <v>6622500000</v>
      </c>
      <c r="G544" s="9" t="n">
        <v>34893800000</v>
      </c>
      <c r="H544">
        <f>H543*(E544/E543)</f>
        <v/>
      </c>
    </row>
    <row r="545">
      <c r="A545" s="8" t="n">
        <v>40333</v>
      </c>
      <c r="B545" s="7" t="n">
        <v>4447.7</v>
      </c>
      <c r="C545" s="7" t="n">
        <v>4489.1</v>
      </c>
      <c r="D545" s="7" t="n">
        <v>4374.2</v>
      </c>
      <c r="E545" s="7" t="n">
        <v>4449.4</v>
      </c>
      <c r="F545" s="9" t="n">
        <v>4821900000</v>
      </c>
      <c r="G545" s="9" t="n">
        <v>23045800000</v>
      </c>
      <c r="H545">
        <f>H544*(E545/E544)</f>
        <v/>
      </c>
    </row>
    <row r="546">
      <c r="A546" s="8" t="n">
        <v>40340</v>
      </c>
      <c r="B546" s="7" t="n">
        <v>4410.4</v>
      </c>
      <c r="C546" s="7" t="n">
        <v>4506.7</v>
      </c>
      <c r="D546" s="7" t="n">
        <v>4299.8</v>
      </c>
      <c r="E546" s="7" t="n">
        <v>4505.5</v>
      </c>
      <c r="F546" s="9" t="n">
        <v>5232100000</v>
      </c>
      <c r="G546" s="9" t="n">
        <v>25475700000</v>
      </c>
      <c r="H546">
        <f>H545*(E546/E545)</f>
        <v/>
      </c>
    </row>
    <row r="547">
      <c r="A547" s="8" t="n">
        <v>40347</v>
      </c>
      <c r="B547" s="7" t="n">
        <v>4505.4</v>
      </c>
      <c r="C547" s="7" t="n">
        <v>4572.4</v>
      </c>
      <c r="D547" s="7" t="n">
        <v>4490.9</v>
      </c>
      <c r="E547" s="7" t="n">
        <v>4551.9</v>
      </c>
      <c r="F547" s="9" t="n">
        <v>4192500000</v>
      </c>
      <c r="G547" s="9" t="n">
        <v>20752100000</v>
      </c>
      <c r="H547">
        <f>H546*(E547/E546)</f>
        <v/>
      </c>
    </row>
    <row r="548">
      <c r="A548" s="8" t="n">
        <v>40354</v>
      </c>
      <c r="B548" s="7" t="n">
        <v>4568</v>
      </c>
      <c r="C548" s="7" t="n">
        <v>4622</v>
      </c>
      <c r="D548" s="7" t="n">
        <v>4409.3</v>
      </c>
      <c r="E548" s="7" t="n">
        <v>4413</v>
      </c>
      <c r="F548" s="9" t="n">
        <v>5122900000</v>
      </c>
      <c r="G548" s="9" t="n">
        <v>27597000000</v>
      </c>
      <c r="H548">
        <f>H547*(E548/E547)</f>
        <v/>
      </c>
    </row>
    <row r="549">
      <c r="A549" s="8" t="n">
        <v>40361</v>
      </c>
      <c r="B549" s="7" t="n">
        <v>4419.7</v>
      </c>
      <c r="C549" s="7" t="n">
        <v>4433.4</v>
      </c>
      <c r="D549" s="7" t="n">
        <v>4214.7</v>
      </c>
      <c r="E549" s="7" t="n">
        <v>4238.7</v>
      </c>
      <c r="F549" s="9" t="n">
        <v>4447000000</v>
      </c>
      <c r="G549" s="9" t="n">
        <v>22348100000</v>
      </c>
      <c r="H549">
        <f>H548*(E549/E548)</f>
        <v/>
      </c>
    </row>
    <row r="550">
      <c r="A550" s="8" t="n">
        <v>40368</v>
      </c>
      <c r="B550" s="7" t="n">
        <v>4239.7</v>
      </c>
      <c r="C550" s="7" t="n">
        <v>4397.5</v>
      </c>
      <c r="D550" s="7" t="n">
        <v>4182.3</v>
      </c>
      <c r="E550" s="7" t="n">
        <v>4396.3</v>
      </c>
      <c r="F550" s="9" t="n">
        <v>3957700000</v>
      </c>
      <c r="G550" s="9" t="n">
        <v>20493700000</v>
      </c>
      <c r="H550">
        <f>H549*(E550/E549)</f>
        <v/>
      </c>
    </row>
    <row r="551">
      <c r="A551" s="8" t="n">
        <v>40375</v>
      </c>
      <c r="B551" s="7" t="n">
        <v>4396.7</v>
      </c>
      <c r="C551" s="7" t="n">
        <v>4465.6</v>
      </c>
      <c r="D551" s="7" t="n">
        <v>4380.3</v>
      </c>
      <c r="E551" s="7" t="n">
        <v>4422.7</v>
      </c>
      <c r="F551" s="9" t="n">
        <v>3863300000</v>
      </c>
      <c r="G551" s="9" t="n">
        <v>17122400000</v>
      </c>
      <c r="H551">
        <f>H550*(E551/E550)</f>
        <v/>
      </c>
    </row>
    <row r="552">
      <c r="A552" s="8" t="n">
        <v>40382</v>
      </c>
      <c r="B552" s="7" t="n">
        <v>4404.2</v>
      </c>
      <c r="C552" s="7" t="n">
        <v>4472.3</v>
      </c>
      <c r="D552" s="7" t="n">
        <v>4345.2</v>
      </c>
      <c r="E552" s="7" t="n">
        <v>4458.4</v>
      </c>
      <c r="F552" s="9" t="n">
        <v>4316900000</v>
      </c>
      <c r="G552" s="9" t="n">
        <v>21031700000</v>
      </c>
      <c r="H552">
        <f>H551*(E552/E551)</f>
        <v/>
      </c>
    </row>
    <row r="553">
      <c r="A553" s="8" t="n">
        <v>40389</v>
      </c>
      <c r="B553" s="7" t="n">
        <v>4466.7</v>
      </c>
      <c r="C553" s="7" t="n">
        <v>4531.6</v>
      </c>
      <c r="D553" s="7" t="n">
        <v>4466.6</v>
      </c>
      <c r="E553" s="7" t="n">
        <v>4493.5</v>
      </c>
      <c r="F553" s="9" t="n">
        <v>4382700000</v>
      </c>
      <c r="G553" s="9" t="n">
        <v>26834800000</v>
      </c>
      <c r="H553">
        <f>H552*(E553/E552)</f>
        <v/>
      </c>
    </row>
    <row r="554">
      <c r="A554" s="8" t="n">
        <v>40396</v>
      </c>
      <c r="B554" s="7" t="n">
        <v>4495.1</v>
      </c>
      <c r="C554" s="7" t="n">
        <v>4584.1</v>
      </c>
      <c r="D554" s="7" t="n">
        <v>4494.3</v>
      </c>
      <c r="E554" s="7" t="n">
        <v>4566.1</v>
      </c>
      <c r="F554" s="9" t="n">
        <v>3827200000</v>
      </c>
      <c r="G554" s="9" t="n">
        <v>21106700000</v>
      </c>
      <c r="H554">
        <f>H553*(E554/E553)</f>
        <v/>
      </c>
    </row>
    <row r="555">
      <c r="A555" s="8" t="n">
        <v>40403</v>
      </c>
      <c r="B555" s="7" t="n">
        <v>4559.5</v>
      </c>
      <c r="C555" s="7" t="n">
        <v>4598.7</v>
      </c>
      <c r="D555" s="7" t="n">
        <v>4382.1</v>
      </c>
      <c r="E555" s="7" t="n">
        <v>4459.6</v>
      </c>
      <c r="F555" s="9" t="n">
        <v>5332000000</v>
      </c>
      <c r="G555" s="9" t="n">
        <v>29295400000</v>
      </c>
      <c r="H555">
        <f>H554*(E555/E554)</f>
        <v/>
      </c>
    </row>
    <row r="556">
      <c r="A556" s="8" t="n">
        <v>40410</v>
      </c>
      <c r="B556" s="7" t="n">
        <v>4448.7</v>
      </c>
      <c r="C556" s="7" t="n">
        <v>4494.9</v>
      </c>
      <c r="D556" s="7" t="n">
        <v>4402.6</v>
      </c>
      <c r="E556" s="7" t="n">
        <v>4430.9</v>
      </c>
      <c r="F556" s="9" t="n">
        <v>5724400000</v>
      </c>
      <c r="G556" s="9" t="n">
        <v>29201100000</v>
      </c>
      <c r="H556">
        <f>H555*(E556/E555)</f>
        <v/>
      </c>
    </row>
    <row r="557">
      <c r="A557" s="8" t="n">
        <v>40417</v>
      </c>
      <c r="B557" s="7" t="n">
        <v>4433</v>
      </c>
      <c r="C557" s="7" t="n">
        <v>4439.4</v>
      </c>
      <c r="D557" s="7" t="n">
        <v>4313.9</v>
      </c>
      <c r="E557" s="7" t="n">
        <v>4370.1</v>
      </c>
      <c r="F557" s="9" t="n">
        <v>5994800000</v>
      </c>
      <c r="G557" s="9" t="n">
        <v>30595200000</v>
      </c>
      <c r="H557">
        <f>H556*(E557/E556)</f>
        <v/>
      </c>
    </row>
    <row r="558">
      <c r="A558" s="8" t="n">
        <v>40424</v>
      </c>
      <c r="B558" s="7" t="n">
        <v>4381.2</v>
      </c>
      <c r="C558" s="7" t="n">
        <v>4558.7</v>
      </c>
      <c r="D558" s="7" t="n">
        <v>4379.5</v>
      </c>
      <c r="E558" s="7" t="n">
        <v>4541.2</v>
      </c>
      <c r="F558" s="9" t="n">
        <v>5559800000</v>
      </c>
      <c r="G558" s="9" t="n">
        <v>27675700000</v>
      </c>
      <c r="H558">
        <f>H557*(E558/E557)</f>
        <v/>
      </c>
    </row>
    <row r="559">
      <c r="A559" s="8" t="n">
        <v>40431</v>
      </c>
      <c r="B559" s="7" t="n">
        <v>4547.2</v>
      </c>
      <c r="C559" s="7" t="n">
        <v>4598.5</v>
      </c>
      <c r="D559" s="7" t="n">
        <v>4532.6</v>
      </c>
      <c r="E559" s="7" t="n">
        <v>4560.3</v>
      </c>
      <c r="F559" s="9" t="n">
        <v>5178500000</v>
      </c>
      <c r="G559" s="9" t="n">
        <v>23830900000</v>
      </c>
      <c r="H559">
        <f>H558*(E559/E558)</f>
        <v/>
      </c>
    </row>
    <row r="560">
      <c r="A560" s="8" t="n">
        <v>40438</v>
      </c>
      <c r="B560" s="7" t="n">
        <v>4575.2</v>
      </c>
      <c r="C560" s="7" t="n">
        <v>4670.1</v>
      </c>
      <c r="D560" s="7" t="n">
        <v>4574</v>
      </c>
      <c r="E560" s="7" t="n">
        <v>4638.9</v>
      </c>
      <c r="F560" s="9" t="n">
        <v>6233300000</v>
      </c>
      <c r="G560" s="9" t="n">
        <v>30730200000</v>
      </c>
      <c r="H560">
        <f>H559*(E560/E559)</f>
        <v/>
      </c>
    </row>
    <row r="561">
      <c r="A561" s="8" t="n">
        <v>40445</v>
      </c>
      <c r="B561" s="7" t="n">
        <v>4633.4</v>
      </c>
      <c r="C561" s="7" t="n">
        <v>4664.5</v>
      </c>
      <c r="D561" s="7" t="n">
        <v>4585.1</v>
      </c>
      <c r="E561" s="7" t="n">
        <v>4601.9</v>
      </c>
      <c r="F561" s="9" t="n">
        <v>4187700000</v>
      </c>
      <c r="G561" s="9" t="n">
        <v>24240500000</v>
      </c>
      <c r="H561">
        <f>H560*(E561/E560)</f>
        <v/>
      </c>
    </row>
    <row r="562">
      <c r="A562" s="8" t="n">
        <v>40452</v>
      </c>
      <c r="B562" s="7" t="n">
        <v>4620</v>
      </c>
      <c r="C562" s="7" t="n">
        <v>4698</v>
      </c>
      <c r="D562" s="7" t="n">
        <v>4559</v>
      </c>
      <c r="E562" s="7" t="n">
        <v>4579.2</v>
      </c>
      <c r="F562" s="9" t="n">
        <v>4704600000</v>
      </c>
      <c r="G562" s="9" t="n">
        <v>23293100000</v>
      </c>
      <c r="H562">
        <f>H561*(E562/E561)</f>
        <v/>
      </c>
    </row>
    <row r="563">
      <c r="A563" s="8" t="n">
        <v>40459</v>
      </c>
      <c r="B563" s="7" t="n">
        <v>4587.1</v>
      </c>
      <c r="C563" s="7" t="n">
        <v>4697.3</v>
      </c>
      <c r="D563" s="7" t="n">
        <v>4559.2</v>
      </c>
      <c r="E563" s="7" t="n">
        <v>4681.4</v>
      </c>
      <c r="F563" s="9" t="n">
        <v>4202000000</v>
      </c>
      <c r="G563" s="9" t="n">
        <v>21211400000</v>
      </c>
      <c r="H563">
        <f>H562*(E563/E562)</f>
        <v/>
      </c>
    </row>
    <row r="564">
      <c r="A564" s="8" t="n">
        <v>40466</v>
      </c>
      <c r="B564" s="7" t="n">
        <v>4686.8</v>
      </c>
      <c r="C564" s="7" t="n">
        <v>4713</v>
      </c>
      <c r="D564" s="7" t="n">
        <v>4617.4</v>
      </c>
      <c r="E564" s="7" t="n">
        <v>4689</v>
      </c>
      <c r="F564" s="9" t="n">
        <v>5095000000</v>
      </c>
      <c r="G564" s="9" t="n">
        <v>23995100000</v>
      </c>
      <c r="H564">
        <f>H563*(E564/E563)</f>
        <v/>
      </c>
    </row>
    <row r="565">
      <c r="A565" s="8" t="n">
        <v>40473</v>
      </c>
      <c r="B565" s="7" t="n">
        <v>4688.8</v>
      </c>
      <c r="C565" s="7" t="n">
        <v>4688.8</v>
      </c>
      <c r="D565" s="7" t="n">
        <v>4583</v>
      </c>
      <c r="E565" s="7" t="n">
        <v>4648.2</v>
      </c>
      <c r="F565" s="9" t="n">
        <v>5198400000</v>
      </c>
      <c r="G565" s="9" t="n">
        <v>25837300000</v>
      </c>
      <c r="H565">
        <f>H564*(E565/E564)</f>
        <v/>
      </c>
    </row>
    <row r="566">
      <c r="A566" s="8" t="n">
        <v>40480</v>
      </c>
      <c r="B566" s="7" t="n">
        <v>4644.4</v>
      </c>
      <c r="C566" s="7" t="n">
        <v>4725.9</v>
      </c>
      <c r="D566" s="7" t="n">
        <v>4641</v>
      </c>
      <c r="E566" s="7" t="n">
        <v>4661.6</v>
      </c>
      <c r="F566" s="9" t="n">
        <v>5463400000</v>
      </c>
      <c r="G566" s="9" t="n">
        <v>30666100000</v>
      </c>
      <c r="H566">
        <f>H565*(E566/E565)</f>
        <v/>
      </c>
    </row>
    <row r="567">
      <c r="A567" s="8" t="n">
        <v>40487</v>
      </c>
      <c r="B567" s="7" t="n">
        <v>4665.7</v>
      </c>
      <c r="C567" s="7" t="n">
        <v>4815</v>
      </c>
      <c r="D567" s="7" t="n">
        <v>4664.8</v>
      </c>
      <c r="E567" s="7" t="n">
        <v>4800.6</v>
      </c>
      <c r="F567" s="9" t="n">
        <v>4267500000</v>
      </c>
      <c r="G567" s="9" t="n">
        <v>23637400000</v>
      </c>
      <c r="H567">
        <f>H566*(E567/E566)</f>
        <v/>
      </c>
    </row>
    <row r="568">
      <c r="A568" s="8" t="n">
        <v>40494</v>
      </c>
      <c r="B568" s="7" t="n">
        <v>4802.3</v>
      </c>
      <c r="C568" s="7" t="n">
        <v>4810.5</v>
      </c>
      <c r="D568" s="7" t="n">
        <v>4681.6</v>
      </c>
      <c r="E568" s="7" t="n">
        <v>4692.7</v>
      </c>
      <c r="F568" s="9" t="n">
        <v>5408800000</v>
      </c>
      <c r="G568" s="9" t="n">
        <v>32624900000</v>
      </c>
      <c r="H568">
        <f>H567*(E568/E567)</f>
        <v/>
      </c>
    </row>
    <row r="569">
      <c r="A569" s="8" t="n">
        <v>40501</v>
      </c>
      <c r="B569" s="7" t="n">
        <v>4694.6</v>
      </c>
      <c r="C569" s="7" t="n">
        <v>4714.2</v>
      </c>
      <c r="D569" s="7" t="n">
        <v>4612</v>
      </c>
      <c r="E569" s="7" t="n">
        <v>4629.2</v>
      </c>
      <c r="F569" s="9" t="n">
        <v>4911100000</v>
      </c>
      <c r="G569" s="9" t="n">
        <v>25541600000</v>
      </c>
      <c r="H569">
        <f>H568*(E569/E568)</f>
        <v/>
      </c>
    </row>
    <row r="570">
      <c r="A570" s="8" t="n">
        <v>40508</v>
      </c>
      <c r="B570" s="7" t="n">
        <v>4639.2</v>
      </c>
      <c r="C570" s="7" t="n">
        <v>4672</v>
      </c>
      <c r="D570" s="7" t="n">
        <v>4551.2</v>
      </c>
      <c r="E570" s="7" t="n">
        <v>4598.3</v>
      </c>
      <c r="F570" s="9" t="n">
        <v>5729800000</v>
      </c>
      <c r="G570" s="9" t="n">
        <v>27182300000</v>
      </c>
      <c r="H570">
        <f>H569*(E570/E569)</f>
        <v/>
      </c>
    </row>
    <row r="571">
      <c r="A571" s="8" t="n">
        <v>40515</v>
      </c>
      <c r="B571" s="7" t="n">
        <v>4594.3</v>
      </c>
      <c r="C571" s="7" t="n">
        <v>4717.1</v>
      </c>
      <c r="D571" s="7" t="n">
        <v>4557</v>
      </c>
      <c r="E571" s="7" t="n">
        <v>4694.2</v>
      </c>
      <c r="F571" s="9" t="n">
        <v>4540000000</v>
      </c>
      <c r="G571" s="9" t="n">
        <v>23626900000</v>
      </c>
      <c r="H571">
        <f>H570*(E571/E570)</f>
        <v/>
      </c>
    </row>
    <row r="572">
      <c r="A572" s="8" t="n">
        <v>40522</v>
      </c>
      <c r="B572" s="7" t="n">
        <v>4696.3</v>
      </c>
      <c r="C572" s="7" t="n">
        <v>4750</v>
      </c>
      <c r="D572" s="7" t="n">
        <v>4688</v>
      </c>
      <c r="E572" s="7" t="n">
        <v>4745.9</v>
      </c>
      <c r="F572" s="9" t="n">
        <v>5144100000</v>
      </c>
      <c r="G572" s="9" t="n">
        <v>24864800000</v>
      </c>
      <c r="H572">
        <f>H571*(E572/E571)</f>
        <v/>
      </c>
    </row>
    <row r="573">
      <c r="A573" s="8" t="n">
        <v>40529</v>
      </c>
      <c r="B573" s="7" t="n">
        <v>4750.1</v>
      </c>
      <c r="C573" s="7" t="n">
        <v>4784.3</v>
      </c>
      <c r="D573" s="7" t="n">
        <v>4749.6</v>
      </c>
      <c r="E573" s="7" t="n">
        <v>4763.1</v>
      </c>
      <c r="F573" s="9" t="n">
        <v>5541599000</v>
      </c>
      <c r="G573" s="9" t="n">
        <v>24678000000</v>
      </c>
      <c r="H573">
        <f>H572*(E573/E572)</f>
        <v/>
      </c>
    </row>
    <row r="574">
      <c r="A574" s="8" t="n">
        <v>40536</v>
      </c>
      <c r="B574" s="7" t="n">
        <v>4763.6</v>
      </c>
      <c r="C574" s="7" t="n">
        <v>4811.9</v>
      </c>
      <c r="D574" s="7" t="n">
        <v>4736.6</v>
      </c>
      <c r="E574" s="7" t="n">
        <v>4777.3</v>
      </c>
      <c r="F574" s="9" t="n">
        <v>3307800000</v>
      </c>
      <c r="G574" s="9" t="n">
        <v>19165500000</v>
      </c>
      <c r="H574">
        <f>H573*(E574/E573)</f>
        <v/>
      </c>
    </row>
    <row r="575">
      <c r="A575" s="8" t="n">
        <v>40543</v>
      </c>
      <c r="B575" s="7" t="n">
        <v>4768.4</v>
      </c>
      <c r="C575" s="7" t="n">
        <v>4799.9</v>
      </c>
      <c r="D575" s="7" t="n">
        <v>4745.2</v>
      </c>
      <c r="E575" s="7" t="n">
        <v>4745.2</v>
      </c>
      <c r="F575" s="9" t="n">
        <v>1398300000</v>
      </c>
      <c r="G575" s="9" t="n">
        <v>5895300000</v>
      </c>
      <c r="H575">
        <f>H574*(E575/E574)</f>
        <v/>
      </c>
    </row>
    <row r="576">
      <c r="A576" s="8" t="n">
        <v>40550</v>
      </c>
      <c r="B576" s="7" t="n">
        <v>4758.3</v>
      </c>
      <c r="C576" s="7" t="n">
        <v>4775</v>
      </c>
      <c r="D576" s="7" t="n">
        <v>4690.3</v>
      </c>
      <c r="E576" s="7" t="n">
        <v>4705</v>
      </c>
      <c r="F576" s="9" t="n">
        <v>3284900000</v>
      </c>
      <c r="G576" s="9" t="n">
        <v>15158800000</v>
      </c>
      <c r="H576">
        <f>H575*(E576/E575)</f>
        <v/>
      </c>
    </row>
    <row r="577">
      <c r="A577" s="8" t="n">
        <v>40557</v>
      </c>
      <c r="B577" s="7" t="n">
        <v>4702.2</v>
      </c>
      <c r="C577" s="7" t="n">
        <v>4802.8</v>
      </c>
      <c r="D577" s="7" t="n">
        <v>4686.5</v>
      </c>
      <c r="E577" s="7" t="n">
        <v>4801.5</v>
      </c>
      <c r="F577" s="9" t="n">
        <v>3995400000</v>
      </c>
      <c r="G577" s="9" t="n">
        <v>18876500000</v>
      </c>
      <c r="H577">
        <f>H576*(E577/E576)</f>
        <v/>
      </c>
    </row>
    <row r="578">
      <c r="A578" s="8" t="n">
        <v>40564</v>
      </c>
      <c r="B578" s="7" t="n">
        <v>4802.7</v>
      </c>
      <c r="C578" s="7" t="n">
        <v>4839.2</v>
      </c>
      <c r="D578" s="7" t="n">
        <v>4740.5</v>
      </c>
      <c r="E578" s="7" t="n">
        <v>4755.7</v>
      </c>
      <c r="F578" s="9" t="n">
        <v>4416500000</v>
      </c>
      <c r="G578" s="9" t="n">
        <v>21967800000</v>
      </c>
      <c r="H578">
        <f>H577*(E578/E577)</f>
        <v/>
      </c>
    </row>
    <row r="579">
      <c r="A579" s="8" t="n">
        <v>40571</v>
      </c>
      <c r="B579" s="7" t="n">
        <v>4755.4</v>
      </c>
      <c r="C579" s="7" t="n">
        <v>4825.4</v>
      </c>
      <c r="D579" s="7" t="n">
        <v>4750.2</v>
      </c>
      <c r="E579" s="7" t="n">
        <v>4774.9</v>
      </c>
      <c r="F579" s="9" t="n">
        <v>3614900000</v>
      </c>
      <c r="G579" s="9" t="n">
        <v>19363600000</v>
      </c>
      <c r="H579">
        <f>H578*(E579/E578)</f>
        <v/>
      </c>
    </row>
    <row r="580">
      <c r="A580" s="8" t="n">
        <v>40578</v>
      </c>
      <c r="B580" s="7" t="n">
        <v>4757.9</v>
      </c>
      <c r="C580" s="7" t="n">
        <v>4870.2</v>
      </c>
      <c r="D580" s="7" t="n">
        <v>4717.6</v>
      </c>
      <c r="E580" s="7" t="n">
        <v>4862.7</v>
      </c>
      <c r="F580" s="9" t="n">
        <v>4773600000</v>
      </c>
      <c r="G580" s="9" t="n">
        <v>24438200000</v>
      </c>
      <c r="H580">
        <f>H579*(E580/E579)</f>
        <v/>
      </c>
    </row>
    <row r="581">
      <c r="A581" s="8" t="n">
        <v>40585</v>
      </c>
      <c r="B581" s="7" t="n">
        <v>4860.1</v>
      </c>
      <c r="C581" s="7" t="n">
        <v>4931.2</v>
      </c>
      <c r="D581" s="7" t="n">
        <v>4859.5</v>
      </c>
      <c r="E581" s="7" t="n">
        <v>4880.9</v>
      </c>
      <c r="F581" s="9" t="n">
        <v>4277300000</v>
      </c>
      <c r="G581" s="9" t="n">
        <v>23916100000</v>
      </c>
      <c r="H581">
        <f>H580*(E581/E580)</f>
        <v/>
      </c>
    </row>
    <row r="582">
      <c r="A582" s="8" t="n">
        <v>40592</v>
      </c>
      <c r="B582" s="7" t="n">
        <v>4891.6</v>
      </c>
      <c r="C582" s="7" t="n">
        <v>4944.4</v>
      </c>
      <c r="D582" s="7" t="n">
        <v>4885.1</v>
      </c>
      <c r="E582" s="7" t="n">
        <v>4936.7</v>
      </c>
      <c r="F582" s="9" t="n">
        <v>4164600000</v>
      </c>
      <c r="G582" s="9" t="n">
        <v>23412400000</v>
      </c>
      <c r="H582">
        <f>H581*(E582/E581)</f>
        <v/>
      </c>
    </row>
    <row r="583">
      <c r="A583" s="8" t="n">
        <v>40599</v>
      </c>
      <c r="B583" s="7" t="n">
        <v>4923.4</v>
      </c>
      <c r="C583" s="7" t="n">
        <v>4924.3</v>
      </c>
      <c r="D583" s="7" t="n">
        <v>4799.2</v>
      </c>
      <c r="E583" s="7" t="n">
        <v>4836.5</v>
      </c>
      <c r="F583" s="9" t="n">
        <v>4818600000</v>
      </c>
      <c r="G583" s="9" t="n">
        <v>29844900000</v>
      </c>
      <c r="H583">
        <f>H582*(E583/E582)</f>
        <v/>
      </c>
    </row>
    <row r="584">
      <c r="A584" s="8" t="n">
        <v>40606</v>
      </c>
      <c r="B584" s="7" t="n">
        <v>4839.7</v>
      </c>
      <c r="C584" s="7" t="n">
        <v>4864.3</v>
      </c>
      <c r="D584" s="7" t="n">
        <v>4779.4</v>
      </c>
      <c r="E584" s="7" t="n">
        <v>4864.3</v>
      </c>
      <c r="F584" s="9" t="n">
        <v>5351800000</v>
      </c>
      <c r="G584" s="9" t="n">
        <v>23994200000</v>
      </c>
      <c r="H584">
        <f>H583*(E584/E583)</f>
        <v/>
      </c>
    </row>
    <row r="585">
      <c r="A585" s="8" t="n">
        <v>40613</v>
      </c>
      <c r="B585" s="7" t="n">
        <v>4850.7</v>
      </c>
      <c r="C585" s="7" t="n">
        <v>4852.4</v>
      </c>
      <c r="D585" s="7" t="n">
        <v>4630.7</v>
      </c>
      <c r="E585" s="7" t="n">
        <v>4644.8</v>
      </c>
      <c r="F585" s="9" t="n">
        <v>5445900000</v>
      </c>
      <c r="G585" s="9" t="n">
        <v>27050900000</v>
      </c>
      <c r="H585">
        <f>H584*(E585/E584)</f>
        <v/>
      </c>
    </row>
    <row r="586">
      <c r="A586" s="8" t="n">
        <v>40620</v>
      </c>
      <c r="B586" s="7" t="n">
        <v>4634.8</v>
      </c>
      <c r="C586" s="7" t="n">
        <v>4634.8</v>
      </c>
      <c r="D586" s="7" t="n">
        <v>4477.4</v>
      </c>
      <c r="E586" s="7" t="n">
        <v>4626.4</v>
      </c>
      <c r="F586" s="9" t="n">
        <v>7614200000</v>
      </c>
      <c r="G586" s="9" t="n">
        <v>34577000000</v>
      </c>
      <c r="H586">
        <f>H585*(E586/E585)</f>
        <v/>
      </c>
    </row>
    <row r="587">
      <c r="A587" s="8" t="n">
        <v>40627</v>
      </c>
      <c r="B587" s="7" t="n">
        <v>4625.3</v>
      </c>
      <c r="C587" s="7" t="n">
        <v>4763</v>
      </c>
      <c r="D587" s="7" t="n">
        <v>4606.4</v>
      </c>
      <c r="E587" s="7" t="n">
        <v>4742.6</v>
      </c>
      <c r="F587" s="9" t="n">
        <v>4504900000</v>
      </c>
      <c r="G587" s="9" t="n">
        <v>25599000000</v>
      </c>
      <c r="H587">
        <f>H586*(E587/E586)</f>
        <v/>
      </c>
    </row>
    <row r="588">
      <c r="A588" s="8" t="n">
        <v>40634</v>
      </c>
      <c r="B588" s="7" t="n">
        <v>4733.4</v>
      </c>
      <c r="C588" s="7" t="n">
        <v>4878.8</v>
      </c>
      <c r="D588" s="7" t="n">
        <v>4721.5</v>
      </c>
      <c r="E588" s="7" t="n">
        <v>4861.8</v>
      </c>
      <c r="F588" s="9" t="n">
        <v>4461800000</v>
      </c>
      <c r="G588" s="9" t="n">
        <v>24442600000</v>
      </c>
      <c r="H588">
        <f>H587*(E588/E587)</f>
        <v/>
      </c>
    </row>
    <row r="589">
      <c r="A589" s="8" t="n">
        <v>40641</v>
      </c>
      <c r="B589" s="7" t="n">
        <v>4868.6</v>
      </c>
      <c r="C589" s="7" t="n">
        <v>4941.6</v>
      </c>
      <c r="D589" s="7" t="n">
        <v>4868.6</v>
      </c>
      <c r="E589" s="7" t="n">
        <v>4940.6</v>
      </c>
      <c r="F589" s="9" t="n">
        <v>4724900000</v>
      </c>
      <c r="G589" s="9" t="n">
        <v>26775600000</v>
      </c>
      <c r="H589">
        <f>H588*(E589/E588)</f>
        <v/>
      </c>
    </row>
    <row r="590">
      <c r="A590" s="8" t="n">
        <v>40648</v>
      </c>
      <c r="B590" s="7" t="n">
        <v>4943.3</v>
      </c>
      <c r="C590" s="7" t="n">
        <v>4976.4</v>
      </c>
      <c r="D590" s="7" t="n">
        <v>4852.1</v>
      </c>
      <c r="E590" s="7" t="n">
        <v>4852.1</v>
      </c>
      <c r="F590" s="9" t="n">
        <v>4819000000</v>
      </c>
      <c r="G590" s="9" t="n">
        <v>30022700000</v>
      </c>
      <c r="H590">
        <f>H589*(E590/E589)</f>
        <v/>
      </c>
    </row>
    <row r="591">
      <c r="A591" s="8" t="n">
        <v>40654</v>
      </c>
      <c r="B591" s="7" t="n">
        <v>4852.6</v>
      </c>
      <c r="C591" s="7" t="n">
        <v>4915.5</v>
      </c>
      <c r="D591" s="7" t="n">
        <v>4788.6</v>
      </c>
      <c r="E591" s="7" t="n">
        <v>4913.8</v>
      </c>
      <c r="F591" s="9" t="n">
        <v>3096100000</v>
      </c>
      <c r="G591" s="9" t="n">
        <v>18175600000</v>
      </c>
      <c r="H591">
        <f>H590*(E591/E590)</f>
        <v/>
      </c>
    </row>
    <row r="592">
      <c r="A592" s="8" t="n">
        <v>40662</v>
      </c>
      <c r="B592" s="7" t="n">
        <v>4919.3</v>
      </c>
      <c r="C592" s="7" t="n">
        <v>4930.6</v>
      </c>
      <c r="D592" s="7" t="n">
        <v>4794.8</v>
      </c>
      <c r="E592" s="7" t="n">
        <v>4823.2</v>
      </c>
      <c r="F592" s="9" t="n">
        <v>3057800000</v>
      </c>
      <c r="G592" s="9" t="n">
        <v>18652600000</v>
      </c>
      <c r="H592">
        <f>H591*(E592/E591)</f>
        <v/>
      </c>
    </row>
    <row r="593">
      <c r="A593" s="8" t="n">
        <v>40669</v>
      </c>
      <c r="B593" s="7" t="n">
        <v>4826.3</v>
      </c>
      <c r="C593" s="7" t="n">
        <v>4835.5</v>
      </c>
      <c r="D593" s="7" t="n">
        <v>4713.4</v>
      </c>
      <c r="E593" s="7" t="n">
        <v>4743</v>
      </c>
      <c r="F593" s="9" t="n">
        <v>5335200000</v>
      </c>
      <c r="G593" s="9" t="n">
        <v>27353500000</v>
      </c>
      <c r="H593">
        <f>H592*(E593/E592)</f>
        <v/>
      </c>
    </row>
    <row r="594">
      <c r="A594" s="8" t="n">
        <v>40676</v>
      </c>
      <c r="B594" s="7" t="n">
        <v>4752.9</v>
      </c>
      <c r="C594" s="7" t="n">
        <v>4795.9</v>
      </c>
      <c r="D594" s="7" t="n">
        <v>4675.4</v>
      </c>
      <c r="E594" s="7" t="n">
        <v>4711.4</v>
      </c>
      <c r="F594" s="9" t="n">
        <v>4551300000</v>
      </c>
      <c r="G594" s="9" t="n">
        <v>24665900000</v>
      </c>
      <c r="H594">
        <f>H593*(E594/E593)</f>
        <v/>
      </c>
    </row>
    <row r="595">
      <c r="A595" s="8" t="n">
        <v>40683</v>
      </c>
      <c r="B595" s="7" t="n">
        <v>4692.5</v>
      </c>
      <c r="C595" s="7" t="n">
        <v>4763.9</v>
      </c>
      <c r="D595" s="7" t="n">
        <v>4641.4</v>
      </c>
      <c r="E595" s="7" t="n">
        <v>4732.2</v>
      </c>
      <c r="F595" s="9" t="n">
        <v>4457100000</v>
      </c>
      <c r="G595" s="9" t="n">
        <v>22225000000</v>
      </c>
      <c r="H595">
        <f>H594*(E595/E594)</f>
        <v/>
      </c>
    </row>
    <row r="596">
      <c r="A596" s="8" t="n">
        <v>40690</v>
      </c>
      <c r="B596" s="7" t="n">
        <v>4720.3</v>
      </c>
      <c r="C596" s="7" t="n">
        <v>4720.3</v>
      </c>
      <c r="D596" s="7" t="n">
        <v>4582.7</v>
      </c>
      <c r="E596" s="7" t="n">
        <v>4684</v>
      </c>
      <c r="F596" s="9" t="n">
        <v>4802000000</v>
      </c>
      <c r="G596" s="9" t="n">
        <v>27069600000</v>
      </c>
      <c r="H596">
        <f>H595*(E596/E595)</f>
        <v/>
      </c>
    </row>
    <row r="597">
      <c r="A597" s="8" t="n">
        <v>40697</v>
      </c>
      <c r="B597" s="7" t="n">
        <v>4684.6</v>
      </c>
      <c r="C597" s="7" t="n">
        <v>4724.8</v>
      </c>
      <c r="D597" s="7" t="n">
        <v>4578</v>
      </c>
      <c r="E597" s="7" t="n">
        <v>4583.1</v>
      </c>
      <c r="F597" s="9" t="n">
        <v>4660900000</v>
      </c>
      <c r="G597" s="9" t="n">
        <v>23846000000</v>
      </c>
      <c r="H597">
        <f>H596*(E597/E596)</f>
        <v/>
      </c>
    </row>
    <row r="598">
      <c r="A598" s="8" t="n">
        <v>40704</v>
      </c>
      <c r="B598" s="7" t="n">
        <v>4577.3</v>
      </c>
      <c r="C598" s="7" t="n">
        <v>4589.2</v>
      </c>
      <c r="D598" s="7" t="n">
        <v>4518.1</v>
      </c>
      <c r="E598" s="7" t="n">
        <v>4562.1</v>
      </c>
      <c r="F598" s="9" t="n">
        <v>4565000000</v>
      </c>
      <c r="G598" s="9" t="n">
        <v>22454500000</v>
      </c>
      <c r="H598">
        <f>H597*(E598/E597)</f>
        <v/>
      </c>
    </row>
    <row r="599">
      <c r="A599" s="8" t="n">
        <v>40711</v>
      </c>
      <c r="B599" s="7" t="n">
        <v>4549.7</v>
      </c>
      <c r="C599" s="7" t="n">
        <v>4593.3</v>
      </c>
      <c r="D599" s="7" t="n">
        <v>4465.9</v>
      </c>
      <c r="E599" s="7" t="n">
        <v>4484.9</v>
      </c>
      <c r="F599" s="9" t="n">
        <v>4549100000</v>
      </c>
      <c r="G599" s="9" t="n">
        <v>24287700000</v>
      </c>
      <c r="H599">
        <f>H598*(E599/E598)</f>
        <v/>
      </c>
    </row>
    <row r="600">
      <c r="A600" s="8" t="n">
        <v>40718</v>
      </c>
      <c r="B600" s="7" t="n">
        <v>4487.2</v>
      </c>
      <c r="C600" s="7" t="n">
        <v>4565.9</v>
      </c>
      <c r="D600" s="7" t="n">
        <v>4451.7</v>
      </c>
      <c r="E600" s="7" t="n">
        <v>4508.1</v>
      </c>
      <c r="F600" s="9" t="n">
        <v>4968600000</v>
      </c>
      <c r="G600" s="9" t="n">
        <v>27720700000</v>
      </c>
      <c r="H600">
        <f>H599*(E600/E599)</f>
        <v/>
      </c>
    </row>
    <row r="601">
      <c r="A601" s="8" t="n">
        <v>40725</v>
      </c>
      <c r="B601" s="7" t="n">
        <v>4502.1</v>
      </c>
      <c r="C601" s="7" t="n">
        <v>4622</v>
      </c>
      <c r="D601" s="7" t="n">
        <v>4453.7</v>
      </c>
      <c r="E601" s="7" t="n">
        <v>4591.2</v>
      </c>
      <c r="F601" s="9" t="n">
        <v>4469300000</v>
      </c>
      <c r="G601" s="9" t="n">
        <v>22625600000</v>
      </c>
      <c r="H601">
        <f>H600*(E601/E600)</f>
        <v/>
      </c>
    </row>
    <row r="602">
      <c r="A602" s="8" t="n">
        <v>40732</v>
      </c>
      <c r="B602" s="7" t="n">
        <v>4602.7</v>
      </c>
      <c r="C602" s="7" t="n">
        <v>4657.4</v>
      </c>
      <c r="D602" s="7" t="n">
        <v>4582.5</v>
      </c>
      <c r="E602" s="7" t="n">
        <v>4654.7</v>
      </c>
      <c r="F602" s="9" t="n">
        <v>3768900000</v>
      </c>
      <c r="G602" s="9" t="n">
        <v>19800300000</v>
      </c>
      <c r="H602">
        <f>H601*(E602/E601)</f>
        <v/>
      </c>
    </row>
    <row r="603">
      <c r="A603" s="8" t="n">
        <v>40739</v>
      </c>
      <c r="B603" s="7" t="n">
        <v>4641.5</v>
      </c>
      <c r="C603" s="7" t="n">
        <v>4641.5</v>
      </c>
      <c r="D603" s="7" t="n">
        <v>4454.3</v>
      </c>
      <c r="E603" s="7" t="n">
        <v>4473.5</v>
      </c>
      <c r="F603" s="9" t="n">
        <v>4305900000</v>
      </c>
      <c r="G603" s="9" t="n">
        <v>24279500000</v>
      </c>
      <c r="H603">
        <f>H602*(E603/E602)</f>
        <v/>
      </c>
    </row>
    <row r="604">
      <c r="A604" s="8" t="n">
        <v>40746</v>
      </c>
      <c r="B604" s="7" t="n">
        <v>4473.1</v>
      </c>
      <c r="C604" s="7" t="n">
        <v>4612.2</v>
      </c>
      <c r="D604" s="7" t="n">
        <v>4445</v>
      </c>
      <c r="E604" s="7" t="n">
        <v>4602.9</v>
      </c>
      <c r="F604" s="9" t="n">
        <v>4596700000</v>
      </c>
      <c r="G604" s="9" t="n">
        <v>22370800000</v>
      </c>
      <c r="H604">
        <f>H603*(E604/E603)</f>
        <v/>
      </c>
    </row>
    <row r="605">
      <c r="A605" s="8" t="n">
        <v>40753</v>
      </c>
      <c r="B605" s="7" t="n">
        <v>4595.3</v>
      </c>
      <c r="C605" s="7" t="n">
        <v>4595.4</v>
      </c>
      <c r="D605" s="7" t="n">
        <v>4421.1</v>
      </c>
      <c r="E605" s="7" t="n">
        <v>4424.6</v>
      </c>
      <c r="F605" s="9" t="n">
        <v>4974400000</v>
      </c>
      <c r="G605" s="9" t="n">
        <v>27013900000</v>
      </c>
      <c r="H605">
        <f>H604*(E605/E604)</f>
        <v/>
      </c>
    </row>
    <row r="606">
      <c r="A606" s="8" t="n">
        <v>40760</v>
      </c>
      <c r="B606" s="7" t="n">
        <v>4440.9</v>
      </c>
      <c r="C606" s="7" t="n">
        <v>4517.4</v>
      </c>
      <c r="D606" s="7" t="n">
        <v>4087.7</v>
      </c>
      <c r="E606" s="7" t="n">
        <v>4105.4</v>
      </c>
      <c r="F606" s="9" t="n">
        <v>5556800000</v>
      </c>
      <c r="G606" s="9" t="n">
        <v>30252000000</v>
      </c>
      <c r="H606">
        <f>H605*(E606/E605)</f>
        <v/>
      </c>
    </row>
    <row r="607">
      <c r="A607" s="8" t="n">
        <v>40767</v>
      </c>
      <c r="B607" s="7" t="n">
        <v>4078.6</v>
      </c>
      <c r="C607" s="7" t="n">
        <v>4216.1</v>
      </c>
      <c r="D607" s="7" t="n">
        <v>3765.9</v>
      </c>
      <c r="E607" s="7" t="n">
        <v>4172.6</v>
      </c>
      <c r="F607" s="9" t="n">
        <v>7537400000</v>
      </c>
      <c r="G607" s="9" t="n">
        <v>39356800000</v>
      </c>
      <c r="H607">
        <f>H606*(E607/E606)</f>
        <v/>
      </c>
    </row>
    <row r="608">
      <c r="A608" s="8" t="n">
        <v>40774</v>
      </c>
      <c r="B608" s="7" t="n">
        <v>4193.5</v>
      </c>
      <c r="C608" s="7" t="n">
        <v>4324.7</v>
      </c>
      <c r="D608" s="7" t="n">
        <v>4099.4</v>
      </c>
      <c r="E608" s="7" t="n">
        <v>4101.9</v>
      </c>
      <c r="F608" s="9" t="n">
        <v>5162800000</v>
      </c>
      <c r="G608" s="9" t="n">
        <v>28498800000</v>
      </c>
      <c r="H608">
        <f>H607*(E608/E607)</f>
        <v/>
      </c>
    </row>
    <row r="609">
      <c r="A609" s="8" t="n">
        <v>40781</v>
      </c>
      <c r="B609" s="7" t="n">
        <v>4099</v>
      </c>
      <c r="C609" s="7" t="n">
        <v>4238.6</v>
      </c>
      <c r="D609" s="7" t="n">
        <v>4075.1</v>
      </c>
      <c r="E609" s="7" t="n">
        <v>4200</v>
      </c>
      <c r="F609" s="9" t="n">
        <v>5459600000</v>
      </c>
      <c r="G609" s="9" t="n">
        <v>28965800000</v>
      </c>
      <c r="H609">
        <f>H608*(E609/E608)</f>
        <v/>
      </c>
    </row>
    <row r="610">
      <c r="A610" s="8" t="n">
        <v>40788</v>
      </c>
      <c r="B610" s="7" t="n">
        <v>4209.5</v>
      </c>
      <c r="C610" s="7" t="n">
        <v>4354.6</v>
      </c>
      <c r="D610" s="7" t="n">
        <v>4209.5</v>
      </c>
      <c r="E610" s="7" t="n">
        <v>4242.9</v>
      </c>
      <c r="F610" s="9" t="n">
        <v>4892800000</v>
      </c>
      <c r="G610" s="9" t="n">
        <v>24981000000</v>
      </c>
      <c r="H610">
        <f>H609*(E610/E609)</f>
        <v/>
      </c>
    </row>
    <row r="611">
      <c r="A611" s="8" t="n">
        <v>40795</v>
      </c>
      <c r="B611" s="7" t="n">
        <v>4221.2</v>
      </c>
      <c r="C611" s="7" t="n">
        <v>4232</v>
      </c>
      <c r="D611" s="7" t="n">
        <v>4072.7</v>
      </c>
      <c r="E611" s="7" t="n">
        <v>4194.7</v>
      </c>
      <c r="F611" s="9" t="n">
        <v>4534900000</v>
      </c>
      <c r="G611" s="9" t="n">
        <v>24196800000</v>
      </c>
      <c r="H611">
        <f>H610*(E611/E610)</f>
        <v/>
      </c>
    </row>
    <row r="612">
      <c r="A612" s="8" t="n">
        <v>40802</v>
      </c>
      <c r="B612" s="7" t="n">
        <v>4169.3</v>
      </c>
      <c r="C612" s="7" t="n">
        <v>4170</v>
      </c>
      <c r="D612" s="7" t="n">
        <v>3997.6</v>
      </c>
      <c r="E612" s="7" t="n">
        <v>4149.4</v>
      </c>
      <c r="F612" s="9" t="n">
        <v>5373000000</v>
      </c>
      <c r="G612" s="9" t="n">
        <v>26581900000</v>
      </c>
      <c r="H612">
        <f>H611*(E612/E611)</f>
        <v/>
      </c>
    </row>
    <row r="613">
      <c r="A613" s="8" t="n">
        <v>40809</v>
      </c>
      <c r="B613" s="7" t="n">
        <v>4140.1</v>
      </c>
      <c r="C613" s="7" t="n">
        <v>4141.4</v>
      </c>
      <c r="D613" s="7" t="n">
        <v>3882.2</v>
      </c>
      <c r="E613" s="7" t="n">
        <v>3903.2</v>
      </c>
      <c r="F613" s="9" t="n">
        <v>5120400000</v>
      </c>
      <c r="G613" s="9" t="n">
        <v>26697400000</v>
      </c>
      <c r="H613">
        <f>H612*(E613/E612)</f>
        <v/>
      </c>
    </row>
    <row r="614">
      <c r="A614" s="8" t="n">
        <v>40816</v>
      </c>
      <c r="B614" s="7" t="n">
        <v>3917.8</v>
      </c>
      <c r="C614" s="7" t="n">
        <v>4053.8</v>
      </c>
      <c r="D614" s="7" t="n">
        <v>3862.4</v>
      </c>
      <c r="E614" s="7" t="n">
        <v>4008.6</v>
      </c>
      <c r="F614" s="9" t="n">
        <v>6422100000</v>
      </c>
      <c r="G614" s="9" t="n">
        <v>29736900000</v>
      </c>
      <c r="H614">
        <f>H613*(E614/E613)</f>
        <v/>
      </c>
    </row>
    <row r="615">
      <c r="A615" s="8" t="n">
        <v>40823</v>
      </c>
      <c r="B615" s="7" t="n">
        <v>3990.6</v>
      </c>
      <c r="C615" s="7" t="n">
        <v>4182</v>
      </c>
      <c r="D615" s="7" t="n">
        <v>3840.2</v>
      </c>
      <c r="E615" s="7" t="n">
        <v>4162.9</v>
      </c>
      <c r="F615" s="9" t="n">
        <v>5623200000</v>
      </c>
      <c r="G615" s="9" t="n">
        <v>25575900000</v>
      </c>
      <c r="H615">
        <f>H614*(E615/E614)</f>
        <v/>
      </c>
    </row>
    <row r="616">
      <c r="A616" s="8" t="n">
        <v>40830</v>
      </c>
      <c r="B616" s="7" t="n">
        <v>4157.6</v>
      </c>
      <c r="C616" s="7" t="n">
        <v>4256.1</v>
      </c>
      <c r="D616" s="7" t="n">
        <v>4146.9</v>
      </c>
      <c r="E616" s="7" t="n">
        <v>4205.6</v>
      </c>
      <c r="F616" s="9" t="n">
        <v>4143800000</v>
      </c>
      <c r="G616" s="9" t="n">
        <v>21934800000</v>
      </c>
      <c r="H616">
        <f>H615*(E616/E615)</f>
        <v/>
      </c>
    </row>
    <row r="617">
      <c r="A617" s="8" t="n">
        <v>40837</v>
      </c>
      <c r="B617" s="7" t="n">
        <v>4221.7</v>
      </c>
      <c r="C617" s="7" t="n">
        <v>4287.7</v>
      </c>
      <c r="D617" s="7" t="n">
        <v>4131.9</v>
      </c>
      <c r="E617" s="7" t="n">
        <v>4141.9</v>
      </c>
      <c r="F617" s="9" t="n">
        <v>3620800000</v>
      </c>
      <c r="G617" s="9" t="n">
        <v>20411900000</v>
      </c>
      <c r="H617">
        <f>H616*(E617/E616)</f>
        <v/>
      </c>
    </row>
    <row r="618">
      <c r="A618" s="8" t="n">
        <v>40844</v>
      </c>
      <c r="B618" s="7" t="n">
        <v>4155.2</v>
      </c>
      <c r="C618" s="7" t="n">
        <v>4417.6</v>
      </c>
      <c r="D618" s="7" t="n">
        <v>4155</v>
      </c>
      <c r="E618" s="7" t="n">
        <v>4353.3</v>
      </c>
      <c r="F618" s="9" t="n">
        <v>4002000000</v>
      </c>
      <c r="G618" s="9" t="n">
        <v>24837000000</v>
      </c>
      <c r="H618">
        <f>H617*(E618/E617)</f>
        <v/>
      </c>
    </row>
    <row r="619">
      <c r="A619" s="8" t="n">
        <v>40851</v>
      </c>
      <c r="B619" s="7" t="n">
        <v>4348.9</v>
      </c>
      <c r="C619" s="7" t="n">
        <v>4358.2</v>
      </c>
      <c r="D619" s="7" t="n">
        <v>4141.3</v>
      </c>
      <c r="E619" s="7" t="n">
        <v>4281.1</v>
      </c>
      <c r="F619" s="9" t="n">
        <v>3761000000</v>
      </c>
      <c r="G619" s="9" t="n">
        <v>20363800000</v>
      </c>
      <c r="H619">
        <f>H618*(E619/E618)</f>
        <v/>
      </c>
    </row>
    <row r="620">
      <c r="A620" s="8" t="n">
        <v>40858</v>
      </c>
      <c r="B620" s="7" t="n">
        <v>4281.9</v>
      </c>
      <c r="C620" s="7" t="n">
        <v>4365</v>
      </c>
      <c r="D620" s="7" t="n">
        <v>4205</v>
      </c>
      <c r="E620" s="7" t="n">
        <v>4296.5</v>
      </c>
      <c r="F620" s="9" t="n">
        <v>3706600000</v>
      </c>
      <c r="G620" s="9" t="n">
        <v>20511900000</v>
      </c>
      <c r="H620">
        <f>H619*(E620/E619)</f>
        <v/>
      </c>
    </row>
    <row r="621">
      <c r="A621" s="8" t="n">
        <v>40865</v>
      </c>
      <c r="B621" s="7" t="n">
        <v>4310.5</v>
      </c>
      <c r="C621" s="7" t="n">
        <v>4363.1</v>
      </c>
      <c r="D621" s="7" t="n">
        <v>4172.6</v>
      </c>
      <c r="E621" s="7" t="n">
        <v>4177</v>
      </c>
      <c r="F621" s="9" t="n">
        <v>3291400000</v>
      </c>
      <c r="G621" s="9" t="n">
        <v>19060500000</v>
      </c>
      <c r="H621">
        <f>H620*(E621/E620)</f>
        <v/>
      </c>
    </row>
    <row r="622">
      <c r="A622" s="8" t="n">
        <v>40872</v>
      </c>
      <c r="B622" s="7" t="n">
        <v>4174.2</v>
      </c>
      <c r="C622" s="7" t="n">
        <v>4181.4</v>
      </c>
      <c r="D622" s="7" t="n">
        <v>3973.8</v>
      </c>
      <c r="E622" s="7" t="n">
        <v>3984.3</v>
      </c>
      <c r="F622" s="9" t="n">
        <v>4355600000</v>
      </c>
      <c r="G622" s="9" t="n">
        <v>23605700000</v>
      </c>
      <c r="H622">
        <f>H621*(E622/E621)</f>
        <v/>
      </c>
    </row>
    <row r="623">
      <c r="A623" s="8" t="n">
        <v>40879</v>
      </c>
      <c r="B623" s="7" t="n">
        <v>3984.3</v>
      </c>
      <c r="C623" s="7" t="n">
        <v>4288</v>
      </c>
      <c r="D623" s="7" t="n">
        <v>3984.3</v>
      </c>
      <c r="E623" s="7" t="n">
        <v>4288</v>
      </c>
      <c r="F623" s="9" t="n">
        <v>4650100000</v>
      </c>
      <c r="G623" s="9" t="n">
        <v>23875600000</v>
      </c>
      <c r="H623">
        <f>H622*(E623/E622)</f>
        <v/>
      </c>
    </row>
    <row r="624">
      <c r="A624" s="8" t="n">
        <v>40886</v>
      </c>
      <c r="B624" s="7" t="n">
        <v>4292.6</v>
      </c>
      <c r="C624" s="7" t="n">
        <v>4335.2</v>
      </c>
      <c r="D624" s="7" t="n">
        <v>4186.1</v>
      </c>
      <c r="E624" s="7" t="n">
        <v>4203</v>
      </c>
      <c r="F624" s="9" t="n">
        <v>3870400000</v>
      </c>
      <c r="G624" s="9" t="n">
        <v>20083600000</v>
      </c>
      <c r="H624">
        <f>H623*(E624/E623)</f>
        <v/>
      </c>
    </row>
    <row r="625">
      <c r="A625" s="8" t="n">
        <v>40893</v>
      </c>
      <c r="B625" s="7" t="n">
        <v>4222</v>
      </c>
      <c r="C625" s="7" t="n">
        <v>4271.9</v>
      </c>
      <c r="D625" s="7" t="n">
        <v>4115.2</v>
      </c>
      <c r="E625" s="7" t="n">
        <v>4159.2</v>
      </c>
      <c r="F625" s="9" t="n">
        <v>4207200000</v>
      </c>
      <c r="G625" s="9" t="n">
        <v>21745300000</v>
      </c>
      <c r="H625">
        <f>H624*(E625/E624)</f>
        <v/>
      </c>
    </row>
    <row r="626">
      <c r="A626" s="8" t="n">
        <v>40900</v>
      </c>
      <c r="B626" s="7" t="n">
        <v>4147.8</v>
      </c>
      <c r="C626" s="7" t="n">
        <v>4148.2</v>
      </c>
      <c r="D626" s="7" t="n">
        <v>4050.3</v>
      </c>
      <c r="E626" s="7" t="n">
        <v>4140.4</v>
      </c>
      <c r="F626" s="9" t="n">
        <v>3264200000</v>
      </c>
      <c r="G626" s="9" t="n">
        <v>18874800000</v>
      </c>
      <c r="H626">
        <f>H625*(E626/E625)</f>
        <v/>
      </c>
    </row>
    <row r="627">
      <c r="A627" s="8" t="n">
        <v>40907</v>
      </c>
      <c r="B627" s="7" t="n">
        <v>4140.1</v>
      </c>
      <c r="C627" s="7" t="n">
        <v>4142.6</v>
      </c>
      <c r="D627" s="7" t="n">
        <v>4038.1</v>
      </c>
      <c r="E627" s="7" t="n">
        <v>4056.6</v>
      </c>
      <c r="F627" s="9" t="n">
        <v>1018200000</v>
      </c>
      <c r="G627" s="9" t="n">
        <v>4660900000</v>
      </c>
      <c r="H627">
        <f>H626*(E627/E626)</f>
        <v/>
      </c>
    </row>
    <row r="628">
      <c r="A628" s="8" t="n">
        <v>40914</v>
      </c>
      <c r="B628" s="7" t="n">
        <v>4069.3</v>
      </c>
      <c r="C628" s="7" t="n">
        <v>4202.4</v>
      </c>
      <c r="D628" s="7" t="n">
        <v>4069.1</v>
      </c>
      <c r="E628" s="7" t="n">
        <v>4108.5</v>
      </c>
      <c r="F628" s="9" t="n">
        <v>2059500000</v>
      </c>
      <c r="G628" s="9" t="n">
        <v>10776100000</v>
      </c>
      <c r="H628">
        <f>H627*(E628/E627)</f>
        <v/>
      </c>
    </row>
    <row r="629">
      <c r="A629" s="8" t="n">
        <v>40921</v>
      </c>
      <c r="B629" s="7" t="n">
        <v>4118.1</v>
      </c>
      <c r="C629" s="7" t="n">
        <v>4203.6</v>
      </c>
      <c r="D629" s="7" t="n">
        <v>4088.7</v>
      </c>
      <c r="E629" s="7" t="n">
        <v>4195.9</v>
      </c>
      <c r="F629" s="9" t="n">
        <v>3053500000</v>
      </c>
      <c r="G629" s="9" t="n">
        <v>16088300000</v>
      </c>
      <c r="H629">
        <f>H628*(E629/E628)</f>
        <v/>
      </c>
    </row>
    <row r="630">
      <c r="A630" s="8" t="n">
        <v>40928</v>
      </c>
      <c r="B630" s="7" t="n">
        <v>4191.3</v>
      </c>
      <c r="C630" s="7" t="n">
        <v>4258.4</v>
      </c>
      <c r="D630" s="7" t="n">
        <v>4138.5</v>
      </c>
      <c r="E630" s="7" t="n">
        <v>4239.6</v>
      </c>
      <c r="F630" s="9" t="n">
        <v>3698200000</v>
      </c>
      <c r="G630" s="9" t="n">
        <v>18815300000</v>
      </c>
      <c r="H630">
        <f>H629*(E630/E629)</f>
        <v/>
      </c>
    </row>
    <row r="631">
      <c r="A631" s="8" t="n">
        <v>40935</v>
      </c>
      <c r="B631" s="7" t="n">
        <v>4239.6</v>
      </c>
      <c r="C631" s="7" t="n">
        <v>4315.6</v>
      </c>
      <c r="D631" s="7" t="n">
        <v>4218.4</v>
      </c>
      <c r="E631" s="7" t="n">
        <v>4288.4</v>
      </c>
      <c r="F631" s="9" t="n">
        <v>2571000000</v>
      </c>
      <c r="G631" s="9" t="n">
        <v>16328100000</v>
      </c>
      <c r="H631">
        <f>H630*(E631/E630)</f>
        <v/>
      </c>
    </row>
    <row r="632">
      <c r="A632" s="8" t="n">
        <v>40942</v>
      </c>
      <c r="B632" s="7" t="n">
        <v>4288.4</v>
      </c>
      <c r="C632" s="7" t="n">
        <v>4294.7</v>
      </c>
      <c r="D632" s="7" t="n">
        <v>4225.7</v>
      </c>
      <c r="E632" s="7" t="n">
        <v>4251.2</v>
      </c>
      <c r="F632" s="9" t="n">
        <v>3881600000</v>
      </c>
      <c r="G632" s="9" t="n">
        <v>20258400000</v>
      </c>
      <c r="H632">
        <f>H631*(E632/E631)</f>
        <v/>
      </c>
    </row>
    <row r="633">
      <c r="A633" s="8" t="n">
        <v>40949</v>
      </c>
      <c r="B633" s="7" t="n">
        <v>4266</v>
      </c>
      <c r="C633" s="7" t="n">
        <v>4312</v>
      </c>
      <c r="D633" s="7" t="n">
        <v>4244.9</v>
      </c>
      <c r="E633" s="7" t="n">
        <v>4245.3</v>
      </c>
      <c r="F633" s="9" t="n">
        <v>3986100000</v>
      </c>
      <c r="G633" s="9" t="n">
        <v>22520300000</v>
      </c>
      <c r="H633">
        <f>H632*(E633/E632)</f>
        <v/>
      </c>
    </row>
    <row r="634">
      <c r="A634" s="8" t="n">
        <v>40956</v>
      </c>
      <c r="B634" s="7" t="n">
        <v>4245.3</v>
      </c>
      <c r="C634" s="7" t="n">
        <v>4289.7</v>
      </c>
      <c r="D634" s="7" t="n">
        <v>4170.2</v>
      </c>
      <c r="E634" s="7" t="n">
        <v>4195.9</v>
      </c>
      <c r="F634" s="9" t="n">
        <v>4153000000</v>
      </c>
      <c r="G634" s="9" t="n">
        <v>21792500000</v>
      </c>
      <c r="H634">
        <f>H633*(E634/E633)</f>
        <v/>
      </c>
    </row>
    <row r="635">
      <c r="A635" s="8" t="n">
        <v>40963</v>
      </c>
      <c r="B635" s="7" t="n">
        <v>4195.9</v>
      </c>
      <c r="C635" s="7" t="n">
        <v>4307.5</v>
      </c>
      <c r="D635" s="7" t="n">
        <v>4195.9</v>
      </c>
      <c r="E635" s="7" t="n">
        <v>4306.8</v>
      </c>
      <c r="F635" s="9" t="n">
        <v>4515100000</v>
      </c>
      <c r="G635" s="9" t="n">
        <v>23569700000</v>
      </c>
      <c r="H635">
        <f>H634*(E635/E634)</f>
        <v/>
      </c>
    </row>
    <row r="636">
      <c r="A636" s="8" t="n">
        <v>40970</v>
      </c>
      <c r="B636" s="7" t="n">
        <v>4306.8</v>
      </c>
      <c r="C636" s="7" t="n">
        <v>4318.8</v>
      </c>
      <c r="D636" s="7" t="n">
        <v>4248</v>
      </c>
      <c r="E636" s="7" t="n">
        <v>4273.1</v>
      </c>
      <c r="F636" s="9" t="n">
        <v>4454000000</v>
      </c>
      <c r="G636" s="9" t="n">
        <v>22156100000</v>
      </c>
      <c r="H636">
        <f>H635*(E636/E635)</f>
        <v/>
      </c>
    </row>
    <row r="637">
      <c r="A637" s="8" t="n">
        <v>40977</v>
      </c>
      <c r="B637" s="7" t="n">
        <v>4269</v>
      </c>
      <c r="C637" s="7" t="n">
        <v>4273.6</v>
      </c>
      <c r="D637" s="7" t="n">
        <v>4143.7</v>
      </c>
      <c r="E637" s="7" t="n">
        <v>4212</v>
      </c>
      <c r="F637" s="9" t="n">
        <v>4401900000</v>
      </c>
      <c r="G637" s="9" t="n">
        <v>22698600000</v>
      </c>
      <c r="H637">
        <f>H636*(E637/E636)</f>
        <v/>
      </c>
    </row>
    <row r="638">
      <c r="A638" s="8" t="n">
        <v>40984</v>
      </c>
      <c r="B638" s="7" t="n">
        <v>4215.1</v>
      </c>
      <c r="C638" s="7" t="n">
        <v>4294.9</v>
      </c>
      <c r="D638" s="7" t="n">
        <v>4193.9</v>
      </c>
      <c r="E638" s="7" t="n">
        <v>4276.2</v>
      </c>
      <c r="F638" s="9" t="n">
        <v>4942600000</v>
      </c>
      <c r="G638" s="9" t="n">
        <v>23888500000</v>
      </c>
      <c r="H638">
        <f>H637*(E638/E637)</f>
        <v/>
      </c>
    </row>
    <row r="639">
      <c r="A639" s="8" t="n">
        <v>40991</v>
      </c>
      <c r="B639" s="7" t="n">
        <v>4282.7</v>
      </c>
      <c r="C639" s="7" t="n">
        <v>4309</v>
      </c>
      <c r="D639" s="7" t="n">
        <v>4238.4</v>
      </c>
      <c r="E639" s="7" t="n">
        <v>4270.4</v>
      </c>
      <c r="F639" s="9" t="n">
        <v>3972500000</v>
      </c>
      <c r="G639" s="9" t="n">
        <v>20749300000</v>
      </c>
      <c r="H639">
        <f>H638*(E639/E638)</f>
        <v/>
      </c>
    </row>
    <row r="640">
      <c r="A640" s="8" t="n">
        <v>40998</v>
      </c>
      <c r="B640" s="7" t="n">
        <v>4270.3</v>
      </c>
      <c r="C640" s="7" t="n">
        <v>4361.1</v>
      </c>
      <c r="D640" s="7" t="n">
        <v>4262.8</v>
      </c>
      <c r="E640" s="7" t="n">
        <v>4335.2</v>
      </c>
      <c r="F640" s="9" t="n">
        <v>4349500000</v>
      </c>
      <c r="G640" s="9" t="n">
        <v>25116500000</v>
      </c>
      <c r="H640">
        <f>H639*(E640/E639)</f>
        <v/>
      </c>
    </row>
    <row r="641">
      <c r="A641" s="8" t="n">
        <v>41004</v>
      </c>
      <c r="B641" s="7" t="n">
        <v>4348.8</v>
      </c>
      <c r="C641" s="7" t="n">
        <v>4377.5</v>
      </c>
      <c r="D641" s="7" t="n">
        <v>4286.3</v>
      </c>
      <c r="E641" s="7" t="n">
        <v>4319.8</v>
      </c>
      <c r="F641" s="9" t="n">
        <v>3179400000</v>
      </c>
      <c r="G641" s="9" t="n">
        <v>16980400000</v>
      </c>
      <c r="H641">
        <f>H640*(E641/E640)</f>
        <v/>
      </c>
    </row>
    <row r="642">
      <c r="A642" s="8" t="n">
        <v>41012</v>
      </c>
      <c r="B642" s="7" t="n">
        <v>4308.9</v>
      </c>
      <c r="C642" s="7" t="n">
        <v>4330.5</v>
      </c>
      <c r="D642" s="7" t="n">
        <v>4246.1</v>
      </c>
      <c r="E642" s="7" t="n">
        <v>4323.3</v>
      </c>
      <c r="F642" s="9" t="n">
        <v>2743400000</v>
      </c>
      <c r="G642" s="9" t="n">
        <v>14741100000</v>
      </c>
      <c r="H642">
        <f>H641*(E642/E641)</f>
        <v/>
      </c>
    </row>
    <row r="643">
      <c r="A643" s="8" t="n">
        <v>41019</v>
      </c>
      <c r="B643" s="7" t="n">
        <v>4323.3</v>
      </c>
      <c r="C643" s="7" t="n">
        <v>4377.1</v>
      </c>
      <c r="D643" s="7" t="n">
        <v>4286.4</v>
      </c>
      <c r="E643" s="7" t="n">
        <v>4366.5</v>
      </c>
      <c r="F643" s="9" t="n">
        <v>3427800000</v>
      </c>
      <c r="G643" s="9" t="n">
        <v>19156400000</v>
      </c>
      <c r="H643">
        <f>H642*(E643/E642)</f>
        <v/>
      </c>
    </row>
    <row r="644">
      <c r="A644" s="8" t="n">
        <v>41026</v>
      </c>
      <c r="B644" s="7" t="n">
        <v>4366.5</v>
      </c>
      <c r="C644" s="7" t="n">
        <v>4393.8</v>
      </c>
      <c r="D644" s="7" t="n">
        <v>4337.7</v>
      </c>
      <c r="E644" s="7" t="n">
        <v>4362.1</v>
      </c>
      <c r="F644" s="9" t="n">
        <v>2857500000</v>
      </c>
      <c r="G644" s="9" t="n">
        <v>16593800000</v>
      </c>
      <c r="H644">
        <f>H643*(E644/E643)</f>
        <v/>
      </c>
    </row>
    <row r="645">
      <c r="A645" s="8" t="n">
        <v>41033</v>
      </c>
      <c r="B645" s="7" t="n">
        <v>4373.1</v>
      </c>
      <c r="C645" s="7" t="n">
        <v>4448.5</v>
      </c>
      <c r="D645" s="7" t="n">
        <v>4373</v>
      </c>
      <c r="E645" s="7" t="n">
        <v>4396</v>
      </c>
      <c r="F645" s="9" t="n">
        <v>3944900000</v>
      </c>
      <c r="G645" s="9" t="n">
        <v>20500300000</v>
      </c>
      <c r="H645">
        <f>H644*(E645/E644)</f>
        <v/>
      </c>
    </row>
    <row r="646">
      <c r="A646" s="8" t="n">
        <v>41040</v>
      </c>
      <c r="B646" s="7" t="n">
        <v>4396</v>
      </c>
      <c r="C646" s="7" t="n">
        <v>4396</v>
      </c>
      <c r="D646" s="7" t="n">
        <v>4257.9</v>
      </c>
      <c r="E646" s="7" t="n">
        <v>4285.1</v>
      </c>
      <c r="F646" s="9" t="n">
        <v>4443200000</v>
      </c>
      <c r="G646" s="9" t="n">
        <v>23651500000</v>
      </c>
      <c r="H646">
        <f>H645*(E646/E645)</f>
        <v/>
      </c>
    </row>
    <row r="647">
      <c r="A647" s="8" t="n">
        <v>41047</v>
      </c>
      <c r="B647" s="7" t="n">
        <v>4285.1</v>
      </c>
      <c r="C647" s="7" t="n">
        <v>4304.4</v>
      </c>
      <c r="D647" s="7" t="n">
        <v>4026.5</v>
      </c>
      <c r="E647" s="7" t="n">
        <v>4046.5</v>
      </c>
      <c r="F647" s="9" t="n">
        <v>4812100000</v>
      </c>
      <c r="G647" s="9" t="n">
        <v>24421200000</v>
      </c>
      <c r="H647">
        <f>H646*(E647/E646)</f>
        <v/>
      </c>
    </row>
    <row r="648">
      <c r="A648" s="8" t="n">
        <v>41054</v>
      </c>
      <c r="B648" s="7" t="n">
        <v>4051.7</v>
      </c>
      <c r="C648" s="7" t="n">
        <v>4122.6</v>
      </c>
      <c r="D648" s="7" t="n">
        <v>4024.8</v>
      </c>
      <c r="E648" s="7" t="n">
        <v>4029.2</v>
      </c>
      <c r="F648" s="9" t="n">
        <v>4025200000</v>
      </c>
      <c r="G648" s="9" t="n">
        <v>21550900000</v>
      </c>
      <c r="H648">
        <f>H647*(E648/E647)</f>
        <v/>
      </c>
    </row>
    <row r="649">
      <c r="A649" s="8" t="n">
        <v>41061</v>
      </c>
      <c r="B649" s="7" t="n">
        <v>4029.2</v>
      </c>
      <c r="C649" s="7" t="n">
        <v>4118</v>
      </c>
      <c r="D649" s="7" t="n">
        <v>4029.2</v>
      </c>
      <c r="E649" s="7" t="n">
        <v>4063.9</v>
      </c>
      <c r="F649" s="9" t="n">
        <v>4019400000</v>
      </c>
      <c r="G649" s="9" t="n">
        <v>20225300000</v>
      </c>
      <c r="H649">
        <f>H648*(E649/E648)</f>
        <v/>
      </c>
    </row>
    <row r="650">
      <c r="A650" s="8" t="n">
        <v>41068</v>
      </c>
      <c r="B650" s="7" t="n">
        <v>4063.9</v>
      </c>
      <c r="C650" s="7" t="n">
        <v>4121.4</v>
      </c>
      <c r="D650" s="7" t="n">
        <v>3985</v>
      </c>
      <c r="E650" s="7" t="n">
        <v>4063.7</v>
      </c>
      <c r="F650" s="9" t="n">
        <v>4424100000</v>
      </c>
      <c r="G650" s="9" t="n">
        <v>20795500000</v>
      </c>
      <c r="H650">
        <f>H649*(E650/E649)</f>
        <v/>
      </c>
    </row>
    <row r="651">
      <c r="A651" s="8" t="n">
        <v>41075</v>
      </c>
      <c r="B651" s="7" t="n">
        <v>4062.3</v>
      </c>
      <c r="C651" s="7" t="n">
        <v>4087.8</v>
      </c>
      <c r="D651" s="7" t="n">
        <v>4026.5</v>
      </c>
      <c r="E651" s="7" t="n">
        <v>4057.3</v>
      </c>
      <c r="F651" s="9" t="n">
        <v>3362700000</v>
      </c>
      <c r="G651" s="9" t="n">
        <v>13902200000</v>
      </c>
      <c r="H651">
        <f>H650*(E651/E650)</f>
        <v/>
      </c>
    </row>
    <row r="652">
      <c r="A652" s="8" t="n">
        <v>41082</v>
      </c>
      <c r="B652" s="7" t="n">
        <v>4057.3</v>
      </c>
      <c r="C652" s="7" t="n">
        <v>4159.3</v>
      </c>
      <c r="D652" s="7" t="n">
        <v>4038.6</v>
      </c>
      <c r="E652" s="7" t="n">
        <v>4048.2</v>
      </c>
      <c r="F652" s="9" t="n">
        <v>4431800000</v>
      </c>
      <c r="G652" s="9" t="n">
        <v>21883200000</v>
      </c>
      <c r="H652">
        <f>H651*(E652/E651)</f>
        <v/>
      </c>
    </row>
    <row r="653">
      <c r="A653" s="8" t="n">
        <v>41089</v>
      </c>
      <c r="B653" s="7" t="n">
        <v>4048.2</v>
      </c>
      <c r="C653" s="7" t="n">
        <v>4117</v>
      </c>
      <c r="D653" s="7" t="n">
        <v>3993.8</v>
      </c>
      <c r="E653" s="7" t="n">
        <v>4094.6</v>
      </c>
      <c r="F653" s="9" t="n">
        <v>4081700000</v>
      </c>
      <c r="G653" s="9" t="n">
        <v>20994800000</v>
      </c>
      <c r="H653">
        <f>H652*(E653/E652)</f>
        <v/>
      </c>
    </row>
    <row r="654">
      <c r="A654" s="8" t="n">
        <v>41096</v>
      </c>
      <c r="B654" s="7" t="n">
        <v>4098</v>
      </c>
      <c r="C654" s="7" t="n">
        <v>4175.8</v>
      </c>
      <c r="D654" s="7" t="n">
        <v>4098</v>
      </c>
      <c r="E654" s="7" t="n">
        <v>4157.8</v>
      </c>
      <c r="F654" s="9" t="n">
        <v>3086800000</v>
      </c>
      <c r="G654" s="9" t="n">
        <v>15569300000</v>
      </c>
      <c r="H654">
        <f>H653*(E654/E653)</f>
        <v/>
      </c>
    </row>
    <row r="655">
      <c r="A655" s="8" t="n">
        <v>41103</v>
      </c>
      <c r="B655" s="7" t="n">
        <v>4148.4</v>
      </c>
      <c r="C655" s="7" t="n">
        <v>4148.4</v>
      </c>
      <c r="D655" s="7" t="n">
        <v>4062.3</v>
      </c>
      <c r="E655" s="7" t="n">
        <v>4082.2</v>
      </c>
      <c r="F655" s="9" t="n">
        <v>3119700000</v>
      </c>
      <c r="G655" s="9" t="n">
        <v>15882500000</v>
      </c>
      <c r="H655">
        <f>H654*(E655/E654)</f>
        <v/>
      </c>
    </row>
    <row r="656">
      <c r="A656" s="8" t="n">
        <v>41110</v>
      </c>
      <c r="B656" s="7" t="n">
        <v>4082.2</v>
      </c>
      <c r="C656" s="7" t="n">
        <v>4215.6</v>
      </c>
      <c r="D656" s="7" t="n">
        <v>4082.2</v>
      </c>
      <c r="E656" s="7" t="n">
        <v>4199.1</v>
      </c>
      <c r="F656" s="9" t="n">
        <v>3395300000</v>
      </c>
      <c r="G656" s="9" t="n">
        <v>17449400000</v>
      </c>
      <c r="H656">
        <f>H655*(E656/E655)</f>
        <v/>
      </c>
    </row>
    <row r="657">
      <c r="A657" s="8" t="n">
        <v>41117</v>
      </c>
      <c r="B657" s="7" t="n">
        <v>4199.1</v>
      </c>
      <c r="C657" s="7" t="n">
        <v>4209.8</v>
      </c>
      <c r="D657" s="7" t="n">
        <v>4084.4</v>
      </c>
      <c r="E657" s="7" t="n">
        <v>4209.8</v>
      </c>
      <c r="F657" s="9" t="n">
        <v>3342800000</v>
      </c>
      <c r="G657" s="9" t="n">
        <v>18333100000</v>
      </c>
      <c r="H657">
        <f>H656*(E657/E656)</f>
        <v/>
      </c>
    </row>
    <row r="658">
      <c r="A658" s="8" t="n">
        <v>41124</v>
      </c>
      <c r="B658" s="7" t="n">
        <v>4219.4</v>
      </c>
      <c r="C658" s="7" t="n">
        <v>4288.1</v>
      </c>
      <c r="D658" s="7" t="n">
        <v>4212.7</v>
      </c>
      <c r="E658" s="7" t="n">
        <v>4221.5</v>
      </c>
      <c r="F658" s="9" t="n">
        <v>3530300000</v>
      </c>
      <c r="G658" s="9" t="n">
        <v>18046100000</v>
      </c>
      <c r="H658">
        <f>H657*(E658/E657)</f>
        <v/>
      </c>
    </row>
    <row r="659">
      <c r="A659" s="8" t="n">
        <v>41131</v>
      </c>
      <c r="B659" s="7" t="n">
        <v>4221.5</v>
      </c>
      <c r="C659" s="7" t="n">
        <v>4330.4</v>
      </c>
      <c r="D659" s="7" t="n">
        <v>4221.5</v>
      </c>
      <c r="E659" s="7" t="n">
        <v>4277.3</v>
      </c>
      <c r="F659" s="9" t="n">
        <v>3490200000</v>
      </c>
      <c r="G659" s="9" t="n">
        <v>17311100000</v>
      </c>
      <c r="H659">
        <f>H658*(E659/E658)</f>
        <v/>
      </c>
    </row>
    <row r="660">
      <c r="A660" s="8" t="n">
        <v>41138</v>
      </c>
      <c r="B660" s="7" t="n">
        <v>4284.4</v>
      </c>
      <c r="C660" s="7" t="n">
        <v>4370.1</v>
      </c>
      <c r="D660" s="7" t="n">
        <v>4267.1</v>
      </c>
      <c r="E660" s="7" t="n">
        <v>4370.1</v>
      </c>
      <c r="F660" s="9" t="n">
        <v>4028100000</v>
      </c>
      <c r="G660" s="9" t="n">
        <v>18493000000</v>
      </c>
      <c r="H660">
        <f>H659*(E660/E659)</f>
        <v/>
      </c>
    </row>
    <row r="661">
      <c r="A661" s="8" t="n">
        <v>41145</v>
      </c>
      <c r="B661" s="7" t="n">
        <v>4372.5</v>
      </c>
      <c r="C661" s="7" t="n">
        <v>4403.9</v>
      </c>
      <c r="D661" s="7" t="n">
        <v>4339.1</v>
      </c>
      <c r="E661" s="7" t="n">
        <v>4349</v>
      </c>
      <c r="F661" s="9" t="n">
        <v>3944800000</v>
      </c>
      <c r="G661" s="9" t="n">
        <v>20967300000</v>
      </c>
      <c r="H661">
        <f>H660*(E661/E660)</f>
        <v/>
      </c>
    </row>
    <row r="662">
      <c r="A662" s="8" t="n">
        <v>41152</v>
      </c>
      <c r="B662" s="7" t="n">
        <v>4351.4</v>
      </c>
      <c r="C662" s="7" t="n">
        <v>4375.8</v>
      </c>
      <c r="D662" s="7" t="n">
        <v>4302.5</v>
      </c>
      <c r="E662" s="7" t="n">
        <v>4316.1</v>
      </c>
      <c r="F662" s="9" t="n">
        <v>4111600000</v>
      </c>
      <c r="G662" s="9" t="n">
        <v>21075000000</v>
      </c>
      <c r="H662">
        <f>H661*(E662/E661)</f>
        <v/>
      </c>
    </row>
    <row r="663">
      <c r="A663" s="8" t="n">
        <v>41159</v>
      </c>
      <c r="B663" s="7" t="n">
        <v>4310</v>
      </c>
      <c r="C663" s="7" t="n">
        <v>4358.3</v>
      </c>
      <c r="D663" s="7" t="n">
        <v>4261.2</v>
      </c>
      <c r="E663" s="7" t="n">
        <v>4325.8</v>
      </c>
      <c r="F663" s="9" t="n">
        <v>4532900000</v>
      </c>
      <c r="G663" s="9" t="n">
        <v>20948200000</v>
      </c>
      <c r="H663">
        <f>H662*(E663/E662)</f>
        <v/>
      </c>
    </row>
    <row r="664">
      <c r="A664" s="8" t="n">
        <v>41166</v>
      </c>
      <c r="B664" s="7" t="n">
        <v>4325.8</v>
      </c>
      <c r="C664" s="7" t="n">
        <v>4398.3</v>
      </c>
      <c r="D664" s="7" t="n">
        <v>4316.7</v>
      </c>
      <c r="E664" s="7" t="n">
        <v>4390</v>
      </c>
      <c r="F664" s="9" t="n">
        <v>3645900000</v>
      </c>
      <c r="G664" s="9" t="n">
        <v>18221900000</v>
      </c>
      <c r="H664">
        <f>H663*(E664/E663)</f>
        <v/>
      </c>
    </row>
    <row r="665">
      <c r="A665" s="8" t="n">
        <v>41173</v>
      </c>
      <c r="B665" s="7" t="n">
        <v>4404.2</v>
      </c>
      <c r="C665" s="7" t="n">
        <v>4421</v>
      </c>
      <c r="D665" s="7" t="n">
        <v>4383.3</v>
      </c>
      <c r="E665" s="7" t="n">
        <v>4408.3</v>
      </c>
      <c r="F665" s="9" t="n">
        <v>4845500000</v>
      </c>
      <c r="G665" s="9" t="n">
        <v>23914500000</v>
      </c>
      <c r="H665">
        <f>H664*(E665/E664)</f>
        <v/>
      </c>
    </row>
    <row r="666">
      <c r="A666" s="8" t="n">
        <v>41180</v>
      </c>
      <c r="B666" s="7" t="n">
        <v>4408.3</v>
      </c>
      <c r="C666" s="7" t="n">
        <v>4408.3</v>
      </c>
      <c r="D666" s="7" t="n">
        <v>4336.9</v>
      </c>
      <c r="E666" s="7" t="n">
        <v>4387</v>
      </c>
      <c r="F666" s="9" t="n">
        <v>3500800000</v>
      </c>
      <c r="G666" s="9" t="n">
        <v>20707700000</v>
      </c>
      <c r="H666">
        <f>H665*(E666/E665)</f>
        <v/>
      </c>
    </row>
    <row r="667">
      <c r="A667" s="8" t="n">
        <v>41187</v>
      </c>
      <c r="B667" s="7" t="n">
        <v>4387</v>
      </c>
      <c r="C667" s="7" t="n">
        <v>4495.8</v>
      </c>
      <c r="D667" s="7" t="n">
        <v>4375</v>
      </c>
      <c r="E667" s="7" t="n">
        <v>4494.4</v>
      </c>
      <c r="F667" s="9" t="n">
        <v>2948500000</v>
      </c>
      <c r="G667" s="9" t="n">
        <v>14100800000</v>
      </c>
      <c r="H667">
        <f>H666*(E667/E666)</f>
        <v/>
      </c>
    </row>
    <row r="668">
      <c r="A668" s="8" t="n">
        <v>41194</v>
      </c>
      <c r="B668" s="7" t="n">
        <v>4494.4</v>
      </c>
      <c r="C668" s="7" t="n">
        <v>4512.8</v>
      </c>
      <c r="D668" s="7" t="n">
        <v>4460.4</v>
      </c>
      <c r="E668" s="7" t="n">
        <v>4486.6</v>
      </c>
      <c r="F668" s="9" t="n">
        <v>3014900000</v>
      </c>
      <c r="G668" s="9" t="n">
        <v>14982700000</v>
      </c>
      <c r="H668">
        <f>H667*(E668/E667)</f>
        <v/>
      </c>
    </row>
    <row r="669">
      <c r="A669" s="8" t="n">
        <v>41201</v>
      </c>
      <c r="B669" s="7" t="n">
        <v>4486.6</v>
      </c>
      <c r="C669" s="7" t="n">
        <v>4581.8</v>
      </c>
      <c r="D669" s="7" t="n">
        <v>4479.2</v>
      </c>
      <c r="E669" s="7" t="n">
        <v>4571.1</v>
      </c>
      <c r="F669" s="9" t="n">
        <v>3650500000</v>
      </c>
      <c r="G669" s="9" t="n">
        <v>19463600000</v>
      </c>
      <c r="H669">
        <f>H668*(E669/E668)</f>
        <v/>
      </c>
    </row>
    <row r="670">
      <c r="A670" s="8" t="n">
        <v>41208</v>
      </c>
      <c r="B670" s="7" t="n">
        <v>4558.5</v>
      </c>
      <c r="C670" s="7" t="n">
        <v>4565</v>
      </c>
      <c r="D670" s="7" t="n">
        <v>4472.1</v>
      </c>
      <c r="E670" s="7" t="n">
        <v>4472.4</v>
      </c>
      <c r="F670" s="9" t="n">
        <v>3655100000</v>
      </c>
      <c r="G670" s="9" t="n">
        <v>20260600000</v>
      </c>
      <c r="H670">
        <f>H669*(E670/E669)</f>
        <v/>
      </c>
    </row>
    <row r="671">
      <c r="A671" s="8" t="n">
        <v>41215</v>
      </c>
      <c r="B671" s="7" t="n">
        <v>4475.4</v>
      </c>
      <c r="C671" s="7" t="n">
        <v>4524.8</v>
      </c>
      <c r="D671" s="7" t="n">
        <v>4457.3</v>
      </c>
      <c r="E671" s="7" t="n">
        <v>4460.1</v>
      </c>
      <c r="F671" s="9" t="n">
        <v>3674300000</v>
      </c>
      <c r="G671" s="9" t="n">
        <v>18085700000</v>
      </c>
      <c r="H671">
        <f>H670*(E671/E670)</f>
        <v/>
      </c>
    </row>
    <row r="672">
      <c r="A672" s="8" t="n">
        <v>41222</v>
      </c>
      <c r="B672" s="7" t="n">
        <v>4457.4</v>
      </c>
      <c r="C672" s="7" t="n">
        <v>4519.3</v>
      </c>
      <c r="D672" s="7" t="n">
        <v>4436.2</v>
      </c>
      <c r="E672" s="7" t="n">
        <v>4462</v>
      </c>
      <c r="F672" s="9" t="n">
        <v>3130800000</v>
      </c>
      <c r="G672" s="9" t="n">
        <v>19048300000</v>
      </c>
      <c r="H672">
        <f>H671*(E672/E671)</f>
        <v/>
      </c>
    </row>
    <row r="673">
      <c r="A673" s="8" t="n">
        <v>41229</v>
      </c>
      <c r="B673" s="7" t="n">
        <v>4458.5</v>
      </c>
      <c r="C673" s="7" t="n">
        <v>4465.2</v>
      </c>
      <c r="D673" s="7" t="n">
        <v>4334.3</v>
      </c>
      <c r="E673" s="7" t="n">
        <v>4336.8</v>
      </c>
      <c r="F673" s="9" t="n">
        <v>3653600000</v>
      </c>
      <c r="G673" s="9" t="n">
        <v>18486700000</v>
      </c>
      <c r="H673">
        <f>H672*(E673/E672)</f>
        <v/>
      </c>
    </row>
    <row r="674">
      <c r="A674" s="8" t="n">
        <v>41236</v>
      </c>
      <c r="B674" s="7" t="n">
        <v>4345.1</v>
      </c>
      <c r="C674" s="7" t="n">
        <v>4428.6</v>
      </c>
      <c r="D674" s="7" t="n">
        <v>4340</v>
      </c>
      <c r="E674" s="7" t="n">
        <v>4413</v>
      </c>
      <c r="F674" s="9" t="n">
        <v>3157200000</v>
      </c>
      <c r="G674" s="9" t="n">
        <v>14589800000</v>
      </c>
      <c r="H674">
        <f>H673*(E674/E673)</f>
        <v/>
      </c>
    </row>
    <row r="675">
      <c r="A675" s="8" t="n">
        <v>41243</v>
      </c>
      <c r="B675" s="7" t="n">
        <v>4413</v>
      </c>
      <c r="C675" s="7" t="n">
        <v>4514.2</v>
      </c>
      <c r="D675" s="7" t="n">
        <v>4413</v>
      </c>
      <c r="E675" s="7" t="n">
        <v>4506</v>
      </c>
      <c r="F675" s="9" t="n">
        <v>4297900000</v>
      </c>
      <c r="G675" s="9" t="n">
        <v>20407300000</v>
      </c>
      <c r="H675">
        <f>H674*(E675/E674)</f>
        <v/>
      </c>
    </row>
    <row r="676">
      <c r="A676" s="8" t="n">
        <v>41250</v>
      </c>
      <c r="B676" s="7" t="n">
        <v>4506</v>
      </c>
      <c r="C676" s="7" t="n">
        <v>4554.1</v>
      </c>
      <c r="D676" s="7" t="n">
        <v>4500.2</v>
      </c>
      <c r="E676" s="7" t="n">
        <v>4551.8</v>
      </c>
      <c r="F676" s="9" t="n">
        <v>3284600000</v>
      </c>
      <c r="G676" s="9" t="n">
        <v>16367200000</v>
      </c>
      <c r="H676">
        <f>H675*(E676/E675)</f>
        <v/>
      </c>
    </row>
    <row r="677">
      <c r="A677" s="8" t="n">
        <v>41257</v>
      </c>
      <c r="B677" s="7" t="n">
        <v>4552.2</v>
      </c>
      <c r="C677" s="7" t="n">
        <v>4603.5</v>
      </c>
      <c r="D677" s="7" t="n">
        <v>4552.2</v>
      </c>
      <c r="E677" s="7" t="n">
        <v>4583.1</v>
      </c>
      <c r="F677" s="9" t="n">
        <v>3725500000</v>
      </c>
      <c r="G677" s="9" t="n">
        <v>18370300000</v>
      </c>
      <c r="H677">
        <f>H676*(E677/E676)</f>
        <v/>
      </c>
    </row>
    <row r="678">
      <c r="A678" s="8" t="n">
        <v>41264</v>
      </c>
      <c r="B678" s="7" t="n">
        <v>4583.1</v>
      </c>
      <c r="C678" s="7" t="n">
        <v>4658.7</v>
      </c>
      <c r="D678" s="7" t="n">
        <v>4569.4</v>
      </c>
      <c r="E678" s="7" t="n">
        <v>4623.6</v>
      </c>
      <c r="F678" s="9" t="n">
        <v>4665600000</v>
      </c>
      <c r="G678" s="9" t="n">
        <v>25589600000</v>
      </c>
      <c r="H678">
        <f>H677*(E678/E677)</f>
        <v/>
      </c>
    </row>
    <row r="679">
      <c r="A679" s="8" t="n">
        <v>41271</v>
      </c>
      <c r="B679" s="7" t="n">
        <v>4625.7</v>
      </c>
      <c r="C679" s="7" t="n">
        <v>4688.6</v>
      </c>
      <c r="D679" s="7" t="n">
        <v>4625.7</v>
      </c>
      <c r="E679" s="7" t="n">
        <v>4671.3</v>
      </c>
      <c r="F679" s="9" t="n">
        <v>663900000</v>
      </c>
      <c r="G679" s="9" t="n">
        <v>3378900000</v>
      </c>
      <c r="H679">
        <f>H678*(E679/E678)</f>
        <v/>
      </c>
    </row>
    <row r="680">
      <c r="A680" s="8" t="n">
        <v>41278</v>
      </c>
      <c r="B680" s="7" t="n">
        <v>4666</v>
      </c>
      <c r="C680" s="7" t="n">
        <v>4743.4</v>
      </c>
      <c r="D680" s="7" t="n">
        <v>4644.8</v>
      </c>
      <c r="E680" s="7" t="n">
        <v>4723.8</v>
      </c>
      <c r="F680" s="9" t="n">
        <v>1663300000</v>
      </c>
      <c r="G680" s="9" t="n">
        <v>8076200000</v>
      </c>
      <c r="H680">
        <f>H679*(E680/E679)</f>
        <v/>
      </c>
    </row>
    <row r="681">
      <c r="A681" s="8" t="n">
        <v>41285</v>
      </c>
      <c r="B681" s="7" t="n">
        <v>4726.8</v>
      </c>
      <c r="C681" s="7" t="n">
        <v>4750.7</v>
      </c>
      <c r="D681" s="7" t="n">
        <v>4689.8</v>
      </c>
      <c r="E681" s="7" t="n">
        <v>4709.5</v>
      </c>
      <c r="F681" s="9" t="n">
        <v>2846400000</v>
      </c>
      <c r="G681" s="9" t="n">
        <v>16229900000</v>
      </c>
      <c r="H681">
        <f>H680*(E681/E680)</f>
        <v/>
      </c>
    </row>
    <row r="682">
      <c r="A682" s="8" t="n">
        <v>41292</v>
      </c>
      <c r="B682" s="7" t="n">
        <v>4709.5</v>
      </c>
      <c r="C682" s="7" t="n">
        <v>4787.2</v>
      </c>
      <c r="D682" s="7" t="n">
        <v>4706.4</v>
      </c>
      <c r="E682" s="7" t="n">
        <v>4771.2</v>
      </c>
      <c r="F682" s="9" t="n">
        <v>3174300000</v>
      </c>
      <c r="G682" s="9" t="n">
        <v>17212900000</v>
      </c>
      <c r="H682">
        <f>H681*(E682/E681)</f>
        <v/>
      </c>
    </row>
    <row r="683">
      <c r="A683" s="8" t="n">
        <v>41299</v>
      </c>
      <c r="B683" s="7" t="n">
        <v>4773.3</v>
      </c>
      <c r="C683" s="7" t="n">
        <v>4835.2</v>
      </c>
      <c r="D683" s="7" t="n">
        <v>4762.6</v>
      </c>
      <c r="E683" s="7" t="n">
        <v>4835.2</v>
      </c>
      <c r="F683" s="9" t="n">
        <v>3219000000</v>
      </c>
      <c r="G683" s="9" t="n">
        <v>19899100000</v>
      </c>
      <c r="H683">
        <f>H682*(E683/E682)</f>
        <v/>
      </c>
    </row>
    <row r="684">
      <c r="A684" s="8" t="n">
        <v>41306</v>
      </c>
      <c r="B684" s="7" t="n">
        <v>4842.4</v>
      </c>
      <c r="C684" s="7" t="n">
        <v>4922.6</v>
      </c>
      <c r="D684" s="7" t="n">
        <v>4841.6</v>
      </c>
      <c r="E684" s="7" t="n">
        <v>4921.1</v>
      </c>
      <c r="F684" s="9" t="n">
        <v>2864400000</v>
      </c>
      <c r="G684" s="9" t="n">
        <v>16443800000</v>
      </c>
      <c r="H684">
        <f>H683*(E684/E683)</f>
        <v/>
      </c>
    </row>
    <row r="685">
      <c r="A685" s="8" t="n">
        <v>41313</v>
      </c>
      <c r="B685" s="7" t="n">
        <v>4921.1</v>
      </c>
      <c r="C685" s="7" t="n">
        <v>4971.3</v>
      </c>
      <c r="D685" s="7" t="n">
        <v>4869.5</v>
      </c>
      <c r="E685" s="7" t="n">
        <v>4971.3</v>
      </c>
      <c r="F685" s="9" t="n">
        <v>3379000000</v>
      </c>
      <c r="G685" s="9" t="n">
        <v>19482100000</v>
      </c>
      <c r="H685">
        <f>H684*(E685/E684)</f>
        <v/>
      </c>
    </row>
    <row r="686">
      <c r="A686" s="8" t="n">
        <v>41320</v>
      </c>
      <c r="B686" s="7" t="n">
        <v>4971.3</v>
      </c>
      <c r="C686" s="7" t="n">
        <v>5045.4</v>
      </c>
      <c r="D686" s="7" t="n">
        <v>4959</v>
      </c>
      <c r="E686" s="7" t="n">
        <v>5033.9</v>
      </c>
      <c r="F686" s="9" t="n">
        <v>3425900000</v>
      </c>
      <c r="G686" s="9" t="n">
        <v>20141200000</v>
      </c>
      <c r="H686">
        <f>H685*(E686/E685)</f>
        <v/>
      </c>
    </row>
    <row r="687">
      <c r="A687" s="8" t="n">
        <v>41327</v>
      </c>
      <c r="B687" s="7" t="n">
        <v>5041.2</v>
      </c>
      <c r="C687" s="7" t="n">
        <v>5106.6</v>
      </c>
      <c r="D687" s="7" t="n">
        <v>4975.9</v>
      </c>
      <c r="E687" s="7" t="n">
        <v>5018.1</v>
      </c>
      <c r="F687" s="9" t="n">
        <v>4429400000</v>
      </c>
      <c r="G687" s="9" t="n">
        <v>31018000000</v>
      </c>
      <c r="H687">
        <f>H686*(E687/E686)</f>
        <v/>
      </c>
    </row>
    <row r="688">
      <c r="A688" s="8" t="n">
        <v>41334</v>
      </c>
      <c r="B688" s="7" t="n">
        <v>5016.8</v>
      </c>
      <c r="C688" s="7" t="n">
        <v>5112.5</v>
      </c>
      <c r="D688" s="7" t="n">
        <v>4978.4</v>
      </c>
      <c r="E688" s="7" t="n">
        <v>5086.1</v>
      </c>
      <c r="F688" s="9" t="n">
        <v>4263600000</v>
      </c>
      <c r="G688" s="9" t="n">
        <v>23978200000</v>
      </c>
      <c r="H688">
        <f>H687*(E688/E687)</f>
        <v/>
      </c>
    </row>
    <row r="689">
      <c r="A689" s="8" t="n">
        <v>41341</v>
      </c>
      <c r="B689" s="7" t="n">
        <v>5086.1</v>
      </c>
      <c r="C689" s="7" t="n">
        <v>5135.7</v>
      </c>
      <c r="D689" s="7" t="n">
        <v>5009.6</v>
      </c>
      <c r="E689" s="7" t="n">
        <v>5123.4</v>
      </c>
      <c r="F689" s="9" t="n">
        <v>3776800000</v>
      </c>
      <c r="G689" s="9" t="n">
        <v>23121500000</v>
      </c>
      <c r="H689">
        <f>H688*(E689/E688)</f>
        <v/>
      </c>
    </row>
    <row r="690">
      <c r="A690" s="8" t="n">
        <v>41348</v>
      </c>
      <c r="B690" s="7" t="n">
        <v>5120.8</v>
      </c>
      <c r="C690" s="7" t="n">
        <v>5163.5</v>
      </c>
      <c r="D690" s="7" t="n">
        <v>5032.2</v>
      </c>
      <c r="E690" s="7" t="n">
        <v>5120.2</v>
      </c>
      <c r="F690" s="9" t="n">
        <v>4155600000</v>
      </c>
      <c r="G690" s="9" t="n">
        <v>24195900000</v>
      </c>
      <c r="H690">
        <f>H689*(E690/E689)</f>
        <v/>
      </c>
    </row>
    <row r="691">
      <c r="A691" s="8" t="n">
        <v>41355</v>
      </c>
      <c r="B691" s="7" t="n">
        <v>5101.7</v>
      </c>
      <c r="C691" s="7" t="n">
        <v>5101.7</v>
      </c>
      <c r="D691" s="7" t="n">
        <v>4927.9</v>
      </c>
      <c r="E691" s="7" t="n">
        <v>4967.3</v>
      </c>
      <c r="F691" s="9" t="n">
        <v>3874400000</v>
      </c>
      <c r="G691" s="9" t="n">
        <v>25138400000</v>
      </c>
      <c r="H691">
        <f>H690*(E691/E690)</f>
        <v/>
      </c>
    </row>
    <row r="692">
      <c r="A692" s="8" t="n">
        <v>41361</v>
      </c>
      <c r="B692" s="7" t="n">
        <v>4968.8</v>
      </c>
      <c r="C692" s="7" t="n">
        <v>5023.2</v>
      </c>
      <c r="D692" s="7" t="n">
        <v>4942.5</v>
      </c>
      <c r="E692" s="7" t="n">
        <v>4966.5</v>
      </c>
      <c r="F692" s="9" t="n">
        <v>2548300000</v>
      </c>
      <c r="G692" s="9" t="n">
        <v>18393200000</v>
      </c>
      <c r="H692">
        <f>H691*(E692/E691)</f>
        <v/>
      </c>
    </row>
    <row r="693">
      <c r="A693" s="8" t="n">
        <v>41369</v>
      </c>
      <c r="B693" s="7" t="n">
        <v>4966.5</v>
      </c>
      <c r="C693" s="7" t="n">
        <v>5011.9</v>
      </c>
      <c r="D693" s="7" t="n">
        <v>4883.7</v>
      </c>
      <c r="E693" s="7" t="n">
        <v>4891.4</v>
      </c>
      <c r="F693" s="9" t="n">
        <v>2815100000</v>
      </c>
      <c r="G693" s="9" t="n">
        <v>17068700000</v>
      </c>
      <c r="H693">
        <f>H692*(E693/E692)</f>
        <v/>
      </c>
    </row>
    <row r="694">
      <c r="A694" s="8" t="n">
        <v>41376</v>
      </c>
      <c r="B694" s="7" t="n">
        <v>4891.4</v>
      </c>
      <c r="C694" s="7" t="n">
        <v>5023</v>
      </c>
      <c r="D694" s="7" t="n">
        <v>4889.6</v>
      </c>
      <c r="E694" s="7" t="n">
        <v>5013.5</v>
      </c>
      <c r="F694" s="9" t="n">
        <v>3937400000</v>
      </c>
      <c r="G694" s="9" t="n">
        <v>20374400000</v>
      </c>
      <c r="H694">
        <f>H693*(E694/E693)</f>
        <v/>
      </c>
    </row>
    <row r="695">
      <c r="A695" s="8" t="n">
        <v>41383</v>
      </c>
      <c r="B695" s="7" t="n">
        <v>5005.3</v>
      </c>
      <c r="C695" s="7" t="n">
        <v>5006.1</v>
      </c>
      <c r="D695" s="7" t="n">
        <v>4914</v>
      </c>
      <c r="E695" s="7" t="n">
        <v>4931.9</v>
      </c>
      <c r="F695" s="9" t="n">
        <v>4004200000</v>
      </c>
      <c r="G695" s="9" t="n">
        <v>21694700000</v>
      </c>
      <c r="H695">
        <f>H694*(E695/E694)</f>
        <v/>
      </c>
    </row>
    <row r="696">
      <c r="A696" s="8" t="n">
        <v>41390</v>
      </c>
      <c r="B696" s="7" t="n">
        <v>4931.9</v>
      </c>
      <c r="C696" s="7" t="n">
        <v>5135</v>
      </c>
      <c r="D696" s="7" t="n">
        <v>4931.9</v>
      </c>
      <c r="E696" s="7" t="n">
        <v>5097.5</v>
      </c>
      <c r="F696" s="9" t="n">
        <v>2742100000</v>
      </c>
      <c r="G696" s="9" t="n">
        <v>17828700000</v>
      </c>
      <c r="H696">
        <f>H695*(E696/E695)</f>
        <v/>
      </c>
    </row>
    <row r="697">
      <c r="A697" s="8" t="n">
        <v>41397</v>
      </c>
      <c r="B697" s="7" t="n">
        <v>5097.5</v>
      </c>
      <c r="C697" s="7" t="n">
        <v>5195.1</v>
      </c>
      <c r="D697" s="7" t="n">
        <v>5097.5</v>
      </c>
      <c r="E697" s="7" t="n">
        <v>5129.5</v>
      </c>
      <c r="F697" s="9" t="n">
        <v>2713400000</v>
      </c>
      <c r="G697" s="9" t="n">
        <v>17174200000</v>
      </c>
      <c r="H697">
        <f>H696*(E697/E696)</f>
        <v/>
      </c>
    </row>
    <row r="698">
      <c r="A698" s="8" t="n">
        <v>41404</v>
      </c>
      <c r="B698" s="7" t="n">
        <v>5146.7</v>
      </c>
      <c r="C698" s="7" t="n">
        <v>5242.5</v>
      </c>
      <c r="D698" s="7" t="n">
        <v>5118.9</v>
      </c>
      <c r="E698" s="7" t="n">
        <v>5206.1</v>
      </c>
      <c r="F698" s="9" t="n">
        <v>3398900000</v>
      </c>
      <c r="G698" s="9" t="n">
        <v>21836900000</v>
      </c>
      <c r="H698">
        <f>H697*(E698/E697)</f>
        <v/>
      </c>
    </row>
    <row r="699">
      <c r="A699" s="8" t="n">
        <v>41411</v>
      </c>
      <c r="B699" s="7" t="n">
        <v>5203.5</v>
      </c>
      <c r="C699" s="7" t="n">
        <v>5249.6</v>
      </c>
      <c r="D699" s="7" t="n">
        <v>5156.8</v>
      </c>
      <c r="E699" s="7" t="n">
        <v>5180.8</v>
      </c>
      <c r="F699" s="9" t="n">
        <v>3470300000</v>
      </c>
      <c r="G699" s="9" t="n">
        <v>22071100000</v>
      </c>
      <c r="H699">
        <f>H698*(E699/E698)</f>
        <v/>
      </c>
    </row>
    <row r="700">
      <c r="A700" s="8" t="n">
        <v>41418</v>
      </c>
      <c r="B700" s="7" t="n">
        <v>5187.2</v>
      </c>
      <c r="C700" s="7" t="n">
        <v>5246.9</v>
      </c>
      <c r="D700" s="7" t="n">
        <v>4954.9</v>
      </c>
      <c r="E700" s="7" t="n">
        <v>4983.5</v>
      </c>
      <c r="F700" s="9" t="n">
        <v>4605000000</v>
      </c>
      <c r="G700" s="9" t="n">
        <v>24408400000</v>
      </c>
      <c r="H700">
        <f>H699*(E700/E699)</f>
        <v/>
      </c>
    </row>
    <row r="701">
      <c r="A701" s="8" t="n">
        <v>41425</v>
      </c>
      <c r="B701" s="7" t="n">
        <v>4983.8</v>
      </c>
      <c r="C701" s="7" t="n">
        <v>4993.2</v>
      </c>
      <c r="D701" s="7" t="n">
        <v>4897.9</v>
      </c>
      <c r="E701" s="7" t="n">
        <v>4926.6</v>
      </c>
      <c r="F701" s="9" t="n">
        <v>4095800000</v>
      </c>
      <c r="G701" s="9" t="n">
        <v>26624500000</v>
      </c>
      <c r="H701">
        <f>H700*(E701/E700)</f>
        <v/>
      </c>
    </row>
    <row r="702">
      <c r="A702" s="8" t="n">
        <v>41432</v>
      </c>
      <c r="B702" s="7" t="n">
        <v>4926.6</v>
      </c>
      <c r="C702" s="7" t="n">
        <v>4933.3</v>
      </c>
      <c r="D702" s="7" t="n">
        <v>4732.3</v>
      </c>
      <c r="E702" s="7" t="n">
        <v>4737.7</v>
      </c>
      <c r="F702" s="9" t="n">
        <v>3632500000</v>
      </c>
      <c r="G702" s="9" t="n">
        <v>21134000000</v>
      </c>
      <c r="H702">
        <f>H701*(E702/E701)</f>
        <v/>
      </c>
    </row>
    <row r="703">
      <c r="A703" s="8" t="n">
        <v>41439</v>
      </c>
      <c r="B703" s="7" t="n">
        <v>4737.7</v>
      </c>
      <c r="C703" s="7" t="n">
        <v>4792.6</v>
      </c>
      <c r="D703" s="7" t="n">
        <v>4658.6</v>
      </c>
      <c r="E703" s="7" t="n">
        <v>4791.8</v>
      </c>
      <c r="F703" s="9" t="n">
        <v>2981300000</v>
      </c>
      <c r="G703" s="9" t="n">
        <v>18304900000</v>
      </c>
      <c r="H703">
        <f>H702*(E703/E702)</f>
        <v/>
      </c>
    </row>
    <row r="704">
      <c r="A704" s="8" t="n">
        <v>41446</v>
      </c>
      <c r="B704" s="7" t="n">
        <v>4791.8</v>
      </c>
      <c r="C704" s="7" t="n">
        <v>4861.4</v>
      </c>
      <c r="D704" s="7" t="n">
        <v>4683.3</v>
      </c>
      <c r="E704" s="7" t="n">
        <v>4738.8</v>
      </c>
      <c r="F704" s="9" t="n">
        <v>4442800000</v>
      </c>
      <c r="G704" s="9" t="n">
        <v>25219500000</v>
      </c>
      <c r="H704">
        <f>H703*(E704/E703)</f>
        <v/>
      </c>
    </row>
    <row r="705">
      <c r="A705" s="8" t="n">
        <v>41453</v>
      </c>
      <c r="B705" s="7" t="n">
        <v>4738.8</v>
      </c>
      <c r="C705" s="7" t="n">
        <v>4833.4</v>
      </c>
      <c r="D705" s="7" t="n">
        <v>4632.3</v>
      </c>
      <c r="E705" s="7" t="n">
        <v>4802.6</v>
      </c>
      <c r="F705" s="9" t="n">
        <v>4122600000</v>
      </c>
      <c r="G705" s="9" t="n">
        <v>24905300000</v>
      </c>
      <c r="H705">
        <f>H704*(E705/E704)</f>
        <v/>
      </c>
    </row>
    <row r="706">
      <c r="A706" s="8" t="n">
        <v>41460</v>
      </c>
      <c r="B706" s="7" t="n">
        <v>4802.6</v>
      </c>
      <c r="C706" s="7" t="n">
        <v>4853.4</v>
      </c>
      <c r="D706" s="7" t="n">
        <v>4702.7</v>
      </c>
      <c r="E706" s="7" t="n">
        <v>4841.7</v>
      </c>
      <c r="F706" s="9" t="n">
        <v>3043000000</v>
      </c>
      <c r="G706" s="9" t="n">
        <v>17361200000</v>
      </c>
      <c r="H706">
        <f>H705*(E706/E705)</f>
        <v/>
      </c>
    </row>
    <row r="707">
      <c r="A707" s="8" t="n">
        <v>41467</v>
      </c>
      <c r="B707" s="7" t="n">
        <v>4841.7</v>
      </c>
      <c r="C707" s="7" t="n">
        <v>5012.5</v>
      </c>
      <c r="D707" s="7" t="n">
        <v>4786.1</v>
      </c>
      <c r="E707" s="7" t="n">
        <v>4973.9</v>
      </c>
      <c r="F707" s="9" t="n">
        <v>3119800000</v>
      </c>
      <c r="G707" s="9" t="n">
        <v>17717000000</v>
      </c>
      <c r="H707">
        <f>H706*(E707/E706)</f>
        <v/>
      </c>
    </row>
    <row r="708">
      <c r="A708" s="8" t="n">
        <v>41474</v>
      </c>
      <c r="B708" s="7" t="n">
        <v>4973.9</v>
      </c>
      <c r="C708" s="7" t="n">
        <v>5010.1</v>
      </c>
      <c r="D708" s="7" t="n">
        <v>4960.1</v>
      </c>
      <c r="E708" s="7" t="n">
        <v>4972.1</v>
      </c>
      <c r="F708" s="9" t="n">
        <v>3038800000</v>
      </c>
      <c r="G708" s="9" t="n">
        <v>16428700000</v>
      </c>
      <c r="H708">
        <f>H707*(E708/E707)</f>
        <v/>
      </c>
    </row>
    <row r="709">
      <c r="A709" s="8" t="n">
        <v>41481</v>
      </c>
      <c r="B709" s="7" t="n">
        <v>4974.9</v>
      </c>
      <c r="C709" s="7" t="n">
        <v>5062.6</v>
      </c>
      <c r="D709" s="7" t="n">
        <v>4974.9</v>
      </c>
      <c r="E709" s="7" t="n">
        <v>5042</v>
      </c>
      <c r="F709" s="9" t="n">
        <v>3406700000</v>
      </c>
      <c r="G709" s="9" t="n">
        <v>20918600000</v>
      </c>
      <c r="H709">
        <f>H708*(E709/E708)</f>
        <v/>
      </c>
    </row>
    <row r="710">
      <c r="A710" s="8" t="n">
        <v>41488</v>
      </c>
      <c r="B710" s="7" t="n">
        <v>5042</v>
      </c>
      <c r="C710" s="7" t="n">
        <v>5116.8</v>
      </c>
      <c r="D710" s="7" t="n">
        <v>5025.6</v>
      </c>
      <c r="E710" s="7" t="n">
        <v>5116.8</v>
      </c>
      <c r="F710" s="9" t="n">
        <v>3063100000</v>
      </c>
      <c r="G710" s="9" t="n">
        <v>18328900000</v>
      </c>
      <c r="H710">
        <f>H709*(E710/E709)</f>
        <v/>
      </c>
    </row>
    <row r="711">
      <c r="A711" s="8" t="n">
        <v>41495</v>
      </c>
      <c r="B711" s="7" t="n">
        <v>5116.8</v>
      </c>
      <c r="C711" s="7" t="n">
        <v>5117.7</v>
      </c>
      <c r="D711" s="7" t="n">
        <v>5007.9</v>
      </c>
      <c r="E711" s="7" t="n">
        <v>5055.2</v>
      </c>
      <c r="F711" s="9" t="n">
        <v>3020900000</v>
      </c>
      <c r="G711" s="9" t="n">
        <v>17171600000</v>
      </c>
      <c r="H711">
        <f>H710*(E711/E710)</f>
        <v/>
      </c>
    </row>
    <row r="712">
      <c r="A712" s="8" t="n">
        <v>41502</v>
      </c>
      <c r="B712" s="7" t="n">
        <v>5055.2</v>
      </c>
      <c r="C712" s="7" t="n">
        <v>5168.2</v>
      </c>
      <c r="D712" s="7" t="n">
        <v>5048.1</v>
      </c>
      <c r="E712" s="7" t="n">
        <v>5113.9</v>
      </c>
      <c r="F712" s="9" t="n">
        <v>3402600000</v>
      </c>
      <c r="G712" s="9" t="n">
        <v>20946000000</v>
      </c>
      <c r="H712">
        <f>H711*(E712/E711)</f>
        <v/>
      </c>
    </row>
    <row r="713">
      <c r="A713" s="8" t="n">
        <v>41509</v>
      </c>
      <c r="B713" s="7" t="n">
        <v>5113.9</v>
      </c>
      <c r="C713" s="7" t="n">
        <v>5142.1</v>
      </c>
      <c r="D713" s="7" t="n">
        <v>5028</v>
      </c>
      <c r="E713" s="7" t="n">
        <v>5123.4</v>
      </c>
      <c r="F713" s="9" t="n">
        <v>3625700000</v>
      </c>
      <c r="G713" s="9" t="n">
        <v>21670000000</v>
      </c>
      <c r="H713">
        <f>H712*(E713/E712)</f>
        <v/>
      </c>
    </row>
    <row r="714">
      <c r="A714" s="8" t="n">
        <v>41516</v>
      </c>
      <c r="B714" s="7" t="n">
        <v>5123.4</v>
      </c>
      <c r="C714" s="7" t="n">
        <v>5157.1</v>
      </c>
      <c r="D714" s="7" t="n">
        <v>5064.1</v>
      </c>
      <c r="E714" s="7" t="n">
        <v>5135</v>
      </c>
      <c r="F714" s="9" t="n">
        <v>3594900000</v>
      </c>
      <c r="G714" s="9" t="n">
        <v>22450300000</v>
      </c>
      <c r="H714">
        <f>H713*(E714/E713)</f>
        <v/>
      </c>
    </row>
    <row r="715">
      <c r="A715" s="8" t="n">
        <v>41523</v>
      </c>
      <c r="B715" s="7" t="n">
        <v>5135</v>
      </c>
      <c r="C715" s="7" t="n">
        <v>5207.7</v>
      </c>
      <c r="D715" s="7" t="n">
        <v>5115.1</v>
      </c>
      <c r="E715" s="7" t="n">
        <v>5145</v>
      </c>
      <c r="F715" s="9" t="n">
        <v>3351600000</v>
      </c>
      <c r="G715" s="9" t="n">
        <v>19247100000</v>
      </c>
      <c r="H715">
        <f>H714*(E715/E714)</f>
        <v/>
      </c>
    </row>
    <row r="716">
      <c r="A716" s="8" t="n">
        <v>41530</v>
      </c>
      <c r="B716" s="7" t="n">
        <v>5145</v>
      </c>
      <c r="C716" s="7" t="n">
        <v>5252.1</v>
      </c>
      <c r="D716" s="7" t="n">
        <v>5145</v>
      </c>
      <c r="E716" s="7" t="n">
        <v>5219.6</v>
      </c>
      <c r="F716" s="9" t="n">
        <v>3189300000</v>
      </c>
      <c r="G716" s="9" t="n">
        <v>19121900000</v>
      </c>
      <c r="H716">
        <f>H715*(E716/E715)</f>
        <v/>
      </c>
    </row>
    <row r="717">
      <c r="A717" s="8" t="n">
        <v>41537</v>
      </c>
      <c r="B717" s="7" t="n">
        <v>5219.6</v>
      </c>
      <c r="C717" s="7" t="n">
        <v>5300.1</v>
      </c>
      <c r="D717" s="7" t="n">
        <v>5219.6</v>
      </c>
      <c r="E717" s="7" t="n">
        <v>5276.7</v>
      </c>
      <c r="F717" s="9" t="n">
        <v>4067400000</v>
      </c>
      <c r="G717" s="9" t="n">
        <v>23162300000</v>
      </c>
      <c r="H717">
        <f>H716*(E717/E716)</f>
        <v/>
      </c>
    </row>
    <row r="718">
      <c r="A718" s="8" t="n">
        <v>41544</v>
      </c>
      <c r="B718" s="7" t="n">
        <v>5276.7</v>
      </c>
      <c r="C718" s="7" t="n">
        <v>5314.3</v>
      </c>
      <c r="D718" s="7" t="n">
        <v>5217.9</v>
      </c>
      <c r="E718" s="7" t="n">
        <v>5307.1</v>
      </c>
      <c r="F718" s="9" t="n">
        <v>2551600000</v>
      </c>
      <c r="G718" s="9" t="n">
        <v>18757900000</v>
      </c>
      <c r="H718">
        <f>H717*(E718/E717)</f>
        <v/>
      </c>
    </row>
    <row r="719">
      <c r="A719" s="8" t="n">
        <v>41551</v>
      </c>
      <c r="B719" s="7" t="n">
        <v>5307.1</v>
      </c>
      <c r="C719" s="7" t="n">
        <v>5307.1</v>
      </c>
      <c r="D719" s="7" t="n">
        <v>5197.7</v>
      </c>
      <c r="E719" s="7" t="n">
        <v>5208</v>
      </c>
      <c r="F719" s="9" t="n">
        <v>2446600000</v>
      </c>
      <c r="G719" s="9" t="n">
        <v>15350900000</v>
      </c>
      <c r="H719">
        <f>H718*(E719/E718)</f>
        <v/>
      </c>
    </row>
    <row r="720">
      <c r="A720" s="8" t="n">
        <v>41558</v>
      </c>
      <c r="B720" s="7" t="n">
        <v>5208</v>
      </c>
      <c r="C720" s="7" t="n">
        <v>5239.6</v>
      </c>
      <c r="D720" s="7" t="n">
        <v>5118.9</v>
      </c>
      <c r="E720" s="7" t="n">
        <v>5230.9</v>
      </c>
      <c r="F720" s="9" t="n">
        <v>2488800000</v>
      </c>
      <c r="G720" s="9" t="n">
        <v>15258300000</v>
      </c>
      <c r="H720">
        <f>H719*(E720/E719)</f>
        <v/>
      </c>
    </row>
    <row r="721">
      <c r="A721" s="8" t="n">
        <v>41565</v>
      </c>
      <c r="B721" s="7" t="n">
        <v>5230.9</v>
      </c>
      <c r="C721" s="7" t="n">
        <v>5326.5</v>
      </c>
      <c r="D721" s="7" t="n">
        <v>5186.8</v>
      </c>
      <c r="E721" s="7" t="n">
        <v>5321.5</v>
      </c>
      <c r="F721" s="9" t="n">
        <v>2878300000</v>
      </c>
      <c r="G721" s="9" t="n">
        <v>16950100000</v>
      </c>
      <c r="H721">
        <f>H720*(E721/E720)</f>
        <v/>
      </c>
    </row>
    <row r="722">
      <c r="A722" s="8" t="n">
        <v>41572</v>
      </c>
      <c r="B722" s="7" t="n">
        <v>5321.5</v>
      </c>
      <c r="C722" s="7" t="n">
        <v>5402.4</v>
      </c>
      <c r="D722" s="7" t="n">
        <v>5321.5</v>
      </c>
      <c r="E722" s="7" t="n">
        <v>5386.3</v>
      </c>
      <c r="F722" s="9" t="n">
        <v>3131900000</v>
      </c>
      <c r="G722" s="9" t="n">
        <v>19399300000</v>
      </c>
      <c r="H722">
        <f>H721*(E722/E721)</f>
        <v/>
      </c>
    </row>
    <row r="723">
      <c r="A723" s="8" t="n">
        <v>41579</v>
      </c>
      <c r="B723" s="7" t="n">
        <v>5386.3</v>
      </c>
      <c r="C723" s="7" t="n">
        <v>5457.3</v>
      </c>
      <c r="D723" s="7" t="n">
        <v>5386.3</v>
      </c>
      <c r="E723" s="7" t="n">
        <v>5411.1</v>
      </c>
      <c r="F723" s="9" t="n">
        <v>3162900000</v>
      </c>
      <c r="G723" s="9" t="n">
        <v>20934100000</v>
      </c>
      <c r="H723">
        <f>H722*(E723/E722)</f>
        <v/>
      </c>
    </row>
    <row r="724">
      <c r="A724" s="8" t="n">
        <v>41586</v>
      </c>
      <c r="B724" s="7" t="n">
        <v>5411.1</v>
      </c>
      <c r="C724" s="7" t="n">
        <v>5438.4</v>
      </c>
      <c r="D724" s="7" t="n">
        <v>5379.9</v>
      </c>
      <c r="E724" s="7" t="n">
        <v>5400.7</v>
      </c>
      <c r="F724" s="9" t="n">
        <v>2738000000</v>
      </c>
      <c r="G724" s="9" t="n">
        <v>18765100000</v>
      </c>
      <c r="H724">
        <f>H723*(E724/E723)</f>
        <v/>
      </c>
    </row>
    <row r="725">
      <c r="A725" s="8" t="n">
        <v>41593</v>
      </c>
      <c r="B725" s="7" t="n">
        <v>5400.7</v>
      </c>
      <c r="C725" s="7" t="n">
        <v>5439.2</v>
      </c>
      <c r="D725" s="7" t="n">
        <v>5308.5</v>
      </c>
      <c r="E725" s="7" t="n">
        <v>5401.7</v>
      </c>
      <c r="F725" s="9" t="n">
        <v>3100300000</v>
      </c>
      <c r="G725" s="9" t="n">
        <v>18290500000</v>
      </c>
      <c r="H725">
        <f>H724*(E725/E724)</f>
        <v/>
      </c>
    </row>
    <row r="726">
      <c r="A726" s="8" t="n">
        <v>41600</v>
      </c>
      <c r="B726" s="7" t="n">
        <v>5401.7</v>
      </c>
      <c r="C726" s="7" t="n">
        <v>5404</v>
      </c>
      <c r="D726" s="7" t="n">
        <v>5284.9</v>
      </c>
      <c r="E726" s="7" t="n">
        <v>5335.9</v>
      </c>
      <c r="F726" s="9" t="n">
        <v>2880900000</v>
      </c>
      <c r="G726" s="9" t="n">
        <v>16631200000</v>
      </c>
      <c r="H726">
        <f>H725*(E726/E725)</f>
        <v/>
      </c>
    </row>
    <row r="727">
      <c r="A727" s="8" t="n">
        <v>41607</v>
      </c>
      <c r="B727" s="7" t="n">
        <v>5335.9</v>
      </c>
      <c r="C727" s="7" t="n">
        <v>5375.1</v>
      </c>
      <c r="D727" s="7" t="n">
        <v>5308.1</v>
      </c>
      <c r="E727" s="7" t="n">
        <v>5320</v>
      </c>
      <c r="F727" s="9" t="n">
        <v>3290800000</v>
      </c>
      <c r="G727" s="9" t="n">
        <v>21616300000</v>
      </c>
      <c r="H727">
        <f>H726*(E727/E726)</f>
        <v/>
      </c>
    </row>
    <row r="728">
      <c r="A728" s="8" t="n">
        <v>41614</v>
      </c>
      <c r="B728" s="7" t="n">
        <v>5320</v>
      </c>
      <c r="C728" s="7" t="n">
        <v>5332.7</v>
      </c>
      <c r="D728" s="7" t="n">
        <v>5154.6</v>
      </c>
      <c r="E728" s="7" t="n">
        <v>5186</v>
      </c>
      <c r="F728" s="9" t="n">
        <v>3396600000</v>
      </c>
      <c r="G728" s="9" t="n">
        <v>19361900000</v>
      </c>
      <c r="H728">
        <f>H727*(E728/E727)</f>
        <v/>
      </c>
    </row>
    <row r="729">
      <c r="A729" s="8" t="n">
        <v>41621</v>
      </c>
      <c r="B729" s="7" t="n">
        <v>5186</v>
      </c>
      <c r="C729" s="7" t="n">
        <v>5207.6</v>
      </c>
      <c r="D729" s="7" t="n">
        <v>5028.2</v>
      </c>
      <c r="E729" s="7" t="n">
        <v>5098.4</v>
      </c>
      <c r="F729" s="9" t="n">
        <v>3547500000</v>
      </c>
      <c r="G729" s="9" t="n">
        <v>21871300000</v>
      </c>
      <c r="H729">
        <f>H728*(E729/E728)</f>
        <v/>
      </c>
    </row>
    <row r="730">
      <c r="A730" s="8" t="n">
        <v>41628</v>
      </c>
      <c r="B730" s="7" t="n">
        <v>5098.4</v>
      </c>
      <c r="C730" s="7" t="n">
        <v>5265.2</v>
      </c>
      <c r="D730" s="7" t="n">
        <v>5059.7</v>
      </c>
      <c r="E730" s="7" t="n">
        <v>5265.2</v>
      </c>
      <c r="F730" s="9" t="n">
        <v>3968300000</v>
      </c>
      <c r="G730" s="9" t="n">
        <v>25906300000</v>
      </c>
      <c r="H730">
        <f>H729*(E730/E729)</f>
        <v/>
      </c>
    </row>
    <row r="731">
      <c r="A731" s="8" t="n">
        <v>41635</v>
      </c>
      <c r="B731" s="7" t="n">
        <v>5265.2</v>
      </c>
      <c r="C731" s="7" t="n">
        <v>5365.3</v>
      </c>
      <c r="D731" s="7" t="n">
        <v>5257.4</v>
      </c>
      <c r="E731" s="7" t="n">
        <v>5324.1</v>
      </c>
      <c r="F731" s="9" t="n">
        <v>956100000</v>
      </c>
      <c r="G731" s="9" t="n">
        <v>5817100000</v>
      </c>
      <c r="H731">
        <f>H730*(E731/E730)</f>
        <v/>
      </c>
    </row>
    <row r="732">
      <c r="A732" s="8" t="n">
        <v>41642</v>
      </c>
      <c r="B732" s="7" t="n">
        <v>5324.1</v>
      </c>
      <c r="C732" s="7" t="n">
        <v>5383.4</v>
      </c>
      <c r="D732" s="7" t="n">
        <v>5324.1</v>
      </c>
      <c r="E732" s="7" t="n">
        <v>5350.1</v>
      </c>
      <c r="F732" s="9" t="n">
        <v>1173000000</v>
      </c>
      <c r="G732" s="9" t="n">
        <v>6485400000</v>
      </c>
      <c r="H732">
        <f>H731*(E732/E731)</f>
        <v/>
      </c>
    </row>
    <row r="733">
      <c r="A733" s="8" t="n">
        <v>41649</v>
      </c>
      <c r="B733" s="7" t="n">
        <v>5350.1</v>
      </c>
      <c r="C733" s="7" t="n">
        <v>5362</v>
      </c>
      <c r="D733" s="7" t="n">
        <v>5295.4</v>
      </c>
      <c r="E733" s="7" t="n">
        <v>5312.4</v>
      </c>
      <c r="F733" s="9" t="n">
        <v>2288700000</v>
      </c>
      <c r="G733" s="9" t="n">
        <v>12486400000</v>
      </c>
      <c r="H733">
        <f>H732*(E733/E732)</f>
        <v/>
      </c>
    </row>
    <row r="734">
      <c r="A734" s="8" t="n">
        <v>41656</v>
      </c>
      <c r="B734" s="7" t="n">
        <v>5312.4</v>
      </c>
      <c r="C734" s="7" t="n">
        <v>5319.3</v>
      </c>
      <c r="D734" s="7" t="n">
        <v>5207.5</v>
      </c>
      <c r="E734" s="7" t="n">
        <v>5305.9</v>
      </c>
      <c r="F734" s="9" t="n">
        <v>2709700000</v>
      </c>
      <c r="G734" s="9" t="n">
        <v>16394800000</v>
      </c>
      <c r="H734">
        <f>H733*(E734/E733)</f>
        <v/>
      </c>
    </row>
    <row r="735">
      <c r="A735" s="8" t="n">
        <v>41663</v>
      </c>
      <c r="B735" s="7" t="n">
        <v>5305.9</v>
      </c>
      <c r="C735" s="7" t="n">
        <v>5331.5</v>
      </c>
      <c r="D735" s="7" t="n">
        <v>5240.9</v>
      </c>
      <c r="E735" s="7" t="n">
        <v>5240.9</v>
      </c>
      <c r="F735" s="9" t="n">
        <v>2676100000</v>
      </c>
      <c r="G735" s="9" t="n">
        <v>16092200000</v>
      </c>
      <c r="H735">
        <f>H734*(E735/E734)</f>
        <v/>
      </c>
    </row>
    <row r="736">
      <c r="A736" s="8" t="n">
        <v>41670</v>
      </c>
      <c r="B736" s="7" t="n">
        <v>5240.9</v>
      </c>
      <c r="C736" s="7" t="n">
        <v>5240.9</v>
      </c>
      <c r="D736" s="7" t="n">
        <v>5158.9</v>
      </c>
      <c r="E736" s="7" t="n">
        <v>5190</v>
      </c>
      <c r="F736" s="9" t="n">
        <v>2587500000</v>
      </c>
      <c r="G736" s="9" t="n">
        <v>18246200000</v>
      </c>
      <c r="H736">
        <f>H735*(E736/E735)</f>
        <v/>
      </c>
    </row>
    <row r="737">
      <c r="A737" s="8" t="n">
        <v>41677</v>
      </c>
      <c r="B737" s="7" t="n">
        <v>5190</v>
      </c>
      <c r="C737" s="7" t="n">
        <v>5198.3</v>
      </c>
      <c r="D737" s="7" t="n">
        <v>5052.2</v>
      </c>
      <c r="E737" s="7" t="n">
        <v>5166.5</v>
      </c>
      <c r="F737" s="9" t="n">
        <v>3142000000</v>
      </c>
      <c r="G737" s="9" t="n">
        <v>20833000000</v>
      </c>
      <c r="H737">
        <f>H736*(E737/E736)</f>
        <v/>
      </c>
    </row>
    <row r="738">
      <c r="A738" s="8" t="n">
        <v>41684</v>
      </c>
      <c r="B738" s="7" t="n">
        <v>5166.5</v>
      </c>
      <c r="C738" s="7" t="n">
        <v>5356.3</v>
      </c>
      <c r="D738" s="7" t="n">
        <v>5166.5</v>
      </c>
      <c r="E738" s="7" t="n">
        <v>5356.3</v>
      </c>
      <c r="F738" s="9" t="n">
        <v>2980000000</v>
      </c>
      <c r="G738" s="9" t="n">
        <v>19727300000</v>
      </c>
      <c r="H738">
        <f>H737*(E738/E737)</f>
        <v/>
      </c>
    </row>
    <row r="739">
      <c r="A739" s="8" t="n">
        <v>41691</v>
      </c>
      <c r="B739" s="7" t="n">
        <v>5359.9</v>
      </c>
      <c r="C739" s="7" t="n">
        <v>5452.4</v>
      </c>
      <c r="D739" s="7" t="n">
        <v>5355.4</v>
      </c>
      <c r="E739" s="7" t="n">
        <v>5438.7</v>
      </c>
      <c r="F739" s="9" t="n">
        <v>3722400000</v>
      </c>
      <c r="G739" s="9" t="n">
        <v>23922600000</v>
      </c>
      <c r="H739">
        <f>H738*(E739/E738)</f>
        <v/>
      </c>
    </row>
    <row r="740">
      <c r="A740" s="8" t="n">
        <v>41698</v>
      </c>
      <c r="B740" s="7" t="n">
        <v>5438.7</v>
      </c>
      <c r="C740" s="7" t="n">
        <v>5461.7</v>
      </c>
      <c r="D740" s="7" t="n">
        <v>5401.6</v>
      </c>
      <c r="E740" s="7" t="n">
        <v>5404.8</v>
      </c>
      <c r="F740" s="9" t="n">
        <v>3833600000</v>
      </c>
      <c r="G740" s="9" t="n">
        <v>25211600000</v>
      </c>
      <c r="H740">
        <f>H739*(E740/E739)</f>
        <v/>
      </c>
    </row>
    <row r="741">
      <c r="A741" s="8" t="n">
        <v>41705</v>
      </c>
      <c r="B741" s="7" t="n">
        <v>5404.8</v>
      </c>
      <c r="C741" s="7" t="n">
        <v>5462.3</v>
      </c>
      <c r="D741" s="7" t="n">
        <v>5340.3</v>
      </c>
      <c r="E741" s="7" t="n">
        <v>5462.3</v>
      </c>
      <c r="F741" s="9" t="n">
        <v>3413900000</v>
      </c>
      <c r="G741" s="9" t="n">
        <v>20763800000</v>
      </c>
      <c r="H741">
        <f>H740*(E741/E740)</f>
        <v/>
      </c>
    </row>
    <row r="742">
      <c r="A742" s="8" t="n">
        <v>41712</v>
      </c>
      <c r="B742" s="7" t="n">
        <v>5462.3</v>
      </c>
      <c r="C742" s="7" t="n">
        <v>5462.3</v>
      </c>
      <c r="D742" s="7" t="n">
        <v>5329.4</v>
      </c>
      <c r="E742" s="7" t="n">
        <v>5329.4</v>
      </c>
      <c r="F742" s="9" t="n">
        <v>3370500000</v>
      </c>
      <c r="G742" s="9" t="n">
        <v>20196600000</v>
      </c>
      <c r="H742">
        <f>H741*(E742/E741)</f>
        <v/>
      </c>
    </row>
    <row r="743">
      <c r="A743" s="8" t="n">
        <v>41719</v>
      </c>
      <c r="B743" s="7" t="n">
        <v>5329.4</v>
      </c>
      <c r="C743" s="7" t="n">
        <v>5362.2</v>
      </c>
      <c r="D743" s="7" t="n">
        <v>5288.5</v>
      </c>
      <c r="E743" s="7" t="n">
        <v>5338.1</v>
      </c>
      <c r="F743" s="9" t="n">
        <v>4353200000</v>
      </c>
      <c r="G743" s="9" t="n">
        <v>24876700000</v>
      </c>
      <c r="H743">
        <f>H742*(E743/E742)</f>
        <v/>
      </c>
    </row>
    <row r="744">
      <c r="A744" s="8" t="n">
        <v>41726</v>
      </c>
      <c r="B744" s="7" t="n">
        <v>5338.1</v>
      </c>
      <c r="C744" s="7" t="n">
        <v>5394.2</v>
      </c>
      <c r="D744" s="7" t="n">
        <v>5301.4</v>
      </c>
      <c r="E744" s="7" t="n">
        <v>5366.9</v>
      </c>
      <c r="F744" s="9" t="n">
        <v>3230700000</v>
      </c>
      <c r="G744" s="9" t="n">
        <v>21567300000</v>
      </c>
      <c r="H744">
        <f>H743*(E744/E743)</f>
        <v/>
      </c>
    </row>
    <row r="745">
      <c r="A745" s="8" t="n">
        <v>41733</v>
      </c>
      <c r="B745" s="7" t="n">
        <v>5366.9</v>
      </c>
      <c r="C745" s="7" t="n">
        <v>5422.8</v>
      </c>
      <c r="D745" s="7" t="n">
        <v>5350.5</v>
      </c>
      <c r="E745" s="7" t="n">
        <v>5422.8</v>
      </c>
      <c r="F745" s="9" t="n">
        <v>2858400000</v>
      </c>
      <c r="G745" s="9" t="n">
        <v>17295600000</v>
      </c>
      <c r="H745">
        <f>H744*(E745/E744)</f>
        <v/>
      </c>
    </row>
    <row r="746">
      <c r="A746" s="8" t="n">
        <v>41740</v>
      </c>
      <c r="B746" s="7" t="n">
        <v>5422.8</v>
      </c>
      <c r="C746" s="7" t="n">
        <v>5503.5</v>
      </c>
      <c r="D746" s="7" t="n">
        <v>5391.3</v>
      </c>
      <c r="E746" s="7" t="n">
        <v>5428.6</v>
      </c>
      <c r="F746" s="9" t="n">
        <v>2819200000</v>
      </c>
      <c r="G746" s="9" t="n">
        <v>17113200000</v>
      </c>
      <c r="H746">
        <f>H745*(E746/E745)</f>
        <v/>
      </c>
    </row>
    <row r="747">
      <c r="A747" s="8" t="n">
        <v>41746</v>
      </c>
      <c r="B747" s="7" t="n">
        <v>5428.6</v>
      </c>
      <c r="C747" s="7" t="n">
        <v>5459.4</v>
      </c>
      <c r="D747" s="7" t="n">
        <v>5358.9</v>
      </c>
      <c r="E747" s="7" t="n">
        <v>5454.2</v>
      </c>
      <c r="F747" s="9" t="n">
        <v>2083900000</v>
      </c>
      <c r="G747" s="9" t="n">
        <v>12996900000</v>
      </c>
      <c r="H747">
        <f>H746*(E747/E746)</f>
        <v/>
      </c>
    </row>
    <row r="748">
      <c r="A748" s="8" t="n">
        <v>41753</v>
      </c>
      <c r="B748" s="7" t="n">
        <v>5454.2</v>
      </c>
      <c r="C748" s="7" t="n">
        <v>5537.8</v>
      </c>
      <c r="D748" s="7" t="n">
        <v>5452.4</v>
      </c>
      <c r="E748" s="7" t="n">
        <v>5531</v>
      </c>
      <c r="F748" s="9" t="n">
        <v>1518000000</v>
      </c>
      <c r="G748" s="9" t="n">
        <v>12143600000</v>
      </c>
      <c r="H748">
        <f>H747*(E748/E747)</f>
        <v/>
      </c>
    </row>
    <row r="749">
      <c r="A749" s="8" t="n">
        <v>41761</v>
      </c>
      <c r="B749" s="7" t="n">
        <v>5531</v>
      </c>
      <c r="C749" s="7" t="n">
        <v>5554.5</v>
      </c>
      <c r="D749" s="7" t="n">
        <v>5430.4</v>
      </c>
      <c r="E749" s="7" t="n">
        <v>5458.1</v>
      </c>
      <c r="F749" s="9" t="n">
        <v>2948800000</v>
      </c>
      <c r="G749" s="9" t="n">
        <v>19817300000</v>
      </c>
      <c r="H749">
        <f>H748*(E749/E748)</f>
        <v/>
      </c>
    </row>
    <row r="750">
      <c r="A750" s="8" t="n">
        <v>41768</v>
      </c>
      <c r="B750" s="7" t="n">
        <v>5464.1</v>
      </c>
      <c r="C750" s="7" t="n">
        <v>5493</v>
      </c>
      <c r="D750" s="7" t="n">
        <v>5417.4</v>
      </c>
      <c r="E750" s="7" t="n">
        <v>5460.8</v>
      </c>
      <c r="F750" s="9" t="n">
        <v>2507800000</v>
      </c>
      <c r="G750" s="9" t="n">
        <v>15875100000</v>
      </c>
      <c r="H750">
        <f>H749*(E750/E749)</f>
        <v/>
      </c>
    </row>
    <row r="751">
      <c r="A751" s="8" t="n">
        <v>41775</v>
      </c>
      <c r="B751" s="7" t="n">
        <v>5460.8</v>
      </c>
      <c r="C751" s="7" t="n">
        <v>5510.8</v>
      </c>
      <c r="D751" s="7" t="n">
        <v>5432</v>
      </c>
      <c r="E751" s="7" t="n">
        <v>5479</v>
      </c>
      <c r="F751" s="9" t="n">
        <v>2820200000</v>
      </c>
      <c r="G751" s="9" t="n">
        <v>17460700000</v>
      </c>
      <c r="H751">
        <f>H750*(E751/E750)</f>
        <v/>
      </c>
    </row>
    <row r="752">
      <c r="A752" s="8" t="n">
        <v>41782</v>
      </c>
      <c r="B752" s="7" t="n">
        <v>5479</v>
      </c>
      <c r="C752" s="7" t="n">
        <v>5507.4</v>
      </c>
      <c r="D752" s="7" t="n">
        <v>5372.1</v>
      </c>
      <c r="E752" s="7" t="n">
        <v>5492.8</v>
      </c>
      <c r="F752" s="9" t="n">
        <v>3045800000</v>
      </c>
      <c r="G752" s="9" t="n">
        <v>18227500000</v>
      </c>
      <c r="H752">
        <f>H751*(E752/E751)</f>
        <v/>
      </c>
    </row>
    <row r="753">
      <c r="A753" s="8" t="n">
        <v>41789</v>
      </c>
      <c r="B753" s="7" t="n">
        <v>5492.8</v>
      </c>
      <c r="C753" s="7" t="n">
        <v>5541.7</v>
      </c>
      <c r="D753" s="7" t="n">
        <v>5492.5</v>
      </c>
      <c r="E753" s="7" t="n">
        <v>5492.5</v>
      </c>
      <c r="F753" s="9" t="n">
        <v>2950300000</v>
      </c>
      <c r="G753" s="9" t="n">
        <v>18305500000</v>
      </c>
      <c r="H753">
        <f>H752*(E753/E752)</f>
        <v/>
      </c>
    </row>
    <row r="754">
      <c r="A754" s="8" t="n">
        <v>41796</v>
      </c>
      <c r="B754" s="7" t="n">
        <v>5484.1</v>
      </c>
      <c r="C754" s="7" t="n">
        <v>5526</v>
      </c>
      <c r="D754" s="7" t="n">
        <v>5416.8</v>
      </c>
      <c r="E754" s="7" t="n">
        <v>5464</v>
      </c>
      <c r="F754" s="9" t="n">
        <v>2904700000</v>
      </c>
      <c r="G754" s="9" t="n">
        <v>18032100000</v>
      </c>
      <c r="H754">
        <f>H753*(E754/E753)</f>
        <v/>
      </c>
    </row>
    <row r="755">
      <c r="A755" s="8" t="n">
        <v>41803</v>
      </c>
      <c r="B755" s="7" t="n">
        <v>5464</v>
      </c>
      <c r="C755" s="7" t="n">
        <v>5496.3</v>
      </c>
      <c r="D755" s="7" t="n">
        <v>5373.6</v>
      </c>
      <c r="E755" s="7" t="n">
        <v>5405.1</v>
      </c>
      <c r="F755" s="9" t="n">
        <v>2200800000</v>
      </c>
      <c r="G755" s="9" t="n">
        <v>13900500000</v>
      </c>
      <c r="H755">
        <f>H754*(E755/E754)</f>
        <v/>
      </c>
    </row>
    <row r="756">
      <c r="A756" s="8" t="n">
        <v>41810</v>
      </c>
      <c r="B756" s="7" t="n">
        <v>5405.1</v>
      </c>
      <c r="C756" s="7" t="n">
        <v>5468.2</v>
      </c>
      <c r="D756" s="7" t="n">
        <v>5380.3</v>
      </c>
      <c r="E756" s="7" t="n">
        <v>5419.5</v>
      </c>
      <c r="F756" s="9" t="n">
        <v>3649100000</v>
      </c>
      <c r="G756" s="9" t="n">
        <v>23828200000</v>
      </c>
      <c r="H756">
        <f>H755*(E756/E755)</f>
        <v/>
      </c>
    </row>
    <row r="757">
      <c r="A757" s="8" t="n">
        <v>41817</v>
      </c>
      <c r="B757" s="7" t="n">
        <v>5419.5</v>
      </c>
      <c r="C757" s="7" t="n">
        <v>5480.1</v>
      </c>
      <c r="D757" s="7" t="n">
        <v>5378.8</v>
      </c>
      <c r="E757" s="7" t="n">
        <v>5445.1</v>
      </c>
      <c r="F757" s="9" t="n">
        <v>3146400000</v>
      </c>
      <c r="G757" s="9" t="n">
        <v>21717300000</v>
      </c>
      <c r="H757">
        <f>H756*(E757/E756)</f>
        <v/>
      </c>
    </row>
    <row r="758">
      <c r="A758" s="8" t="n">
        <v>41824</v>
      </c>
      <c r="B758" s="7" t="n">
        <v>5444.8</v>
      </c>
      <c r="C758" s="7" t="n">
        <v>5531.7</v>
      </c>
      <c r="D758" s="7" t="n">
        <v>5370.9</v>
      </c>
      <c r="E758" s="7" t="n">
        <v>5525</v>
      </c>
      <c r="F758" s="9" t="n">
        <v>2832700000</v>
      </c>
      <c r="G758" s="9" t="n">
        <v>18136700000</v>
      </c>
      <c r="H758">
        <f>H757*(E758/E757)</f>
        <v/>
      </c>
    </row>
    <row r="759">
      <c r="A759" s="8" t="n">
        <v>41831</v>
      </c>
      <c r="B759" s="7" t="n">
        <v>5525</v>
      </c>
      <c r="C759" s="7" t="n">
        <v>5535.9</v>
      </c>
      <c r="D759" s="7" t="n">
        <v>5439.5</v>
      </c>
      <c r="E759" s="7" t="n">
        <v>5486.8</v>
      </c>
      <c r="F759" s="9" t="n">
        <v>2398500000</v>
      </c>
      <c r="G759" s="9" t="n">
        <v>14911600000</v>
      </c>
      <c r="H759">
        <f>H758*(E759/E758)</f>
        <v/>
      </c>
    </row>
    <row r="760">
      <c r="A760" s="8" t="n">
        <v>41838</v>
      </c>
      <c r="B760" s="7" t="n">
        <v>5486.8</v>
      </c>
      <c r="C760" s="7" t="n">
        <v>5561.1</v>
      </c>
      <c r="D760" s="7" t="n">
        <v>5484.1</v>
      </c>
      <c r="E760" s="7" t="n">
        <v>5531.7</v>
      </c>
      <c r="F760" s="9" t="n">
        <v>2663000000</v>
      </c>
      <c r="G760" s="9" t="n">
        <v>16444900000</v>
      </c>
      <c r="H760">
        <f>H759*(E760/E759)</f>
        <v/>
      </c>
    </row>
    <row r="761">
      <c r="A761" s="8" t="n">
        <v>41845</v>
      </c>
      <c r="B761" s="7" t="n">
        <v>5531.7</v>
      </c>
      <c r="C761" s="7" t="n">
        <v>5598.2</v>
      </c>
      <c r="D761" s="7" t="n">
        <v>5530.1</v>
      </c>
      <c r="E761" s="7" t="n">
        <v>5583.5</v>
      </c>
      <c r="F761" s="9" t="n">
        <v>2626600000</v>
      </c>
      <c r="G761" s="9" t="n">
        <v>18083300000</v>
      </c>
      <c r="H761">
        <f>H760*(E761/E760)</f>
        <v/>
      </c>
    </row>
    <row r="762">
      <c r="A762" s="8" t="n">
        <v>41852</v>
      </c>
      <c r="B762" s="7" t="n">
        <v>5583.5</v>
      </c>
      <c r="C762" s="7" t="n">
        <v>5644.2</v>
      </c>
      <c r="D762" s="7" t="n">
        <v>5544</v>
      </c>
      <c r="E762" s="7" t="n">
        <v>5556.4</v>
      </c>
      <c r="F762" s="9" t="n">
        <v>2733400000</v>
      </c>
      <c r="G762" s="9" t="n">
        <v>17474300000</v>
      </c>
      <c r="H762">
        <f>H761*(E762/E761)</f>
        <v/>
      </c>
    </row>
    <row r="763">
      <c r="A763" s="8" t="n">
        <v>41859</v>
      </c>
      <c r="B763" s="7" t="n">
        <v>5556.4</v>
      </c>
      <c r="C763" s="7" t="n">
        <v>5556.4</v>
      </c>
      <c r="D763" s="7" t="n">
        <v>5425.2</v>
      </c>
      <c r="E763" s="7" t="n">
        <v>5435.3</v>
      </c>
      <c r="F763" s="9" t="n">
        <v>2760900000</v>
      </c>
      <c r="G763" s="9" t="n">
        <v>17906000000</v>
      </c>
      <c r="H763">
        <f>H762*(E763/E762)</f>
        <v/>
      </c>
    </row>
    <row r="764">
      <c r="A764" s="8" t="n">
        <v>41866</v>
      </c>
      <c r="B764" s="7" t="n">
        <v>5435.3</v>
      </c>
      <c r="C764" s="7" t="n">
        <v>5578.5</v>
      </c>
      <c r="D764" s="7" t="n">
        <v>5435.3</v>
      </c>
      <c r="E764" s="7" t="n">
        <v>5566.5</v>
      </c>
      <c r="F764" s="9" t="n">
        <v>2675800000</v>
      </c>
      <c r="G764" s="9" t="n">
        <v>19465500000</v>
      </c>
      <c r="H764">
        <f>H763*(E764/E763)</f>
        <v/>
      </c>
    </row>
    <row r="765">
      <c r="A765" s="8" t="n">
        <v>41873</v>
      </c>
      <c r="B765" s="7" t="n">
        <v>5566.5</v>
      </c>
      <c r="C765" s="7" t="n">
        <v>5679.5</v>
      </c>
      <c r="D765" s="7" t="n">
        <v>5566.5</v>
      </c>
      <c r="E765" s="7" t="n">
        <v>5645.6</v>
      </c>
      <c r="F765" s="9" t="n">
        <v>2989400000</v>
      </c>
      <c r="G765" s="9" t="n">
        <v>21437500000</v>
      </c>
      <c r="H765">
        <f>H764*(E765/E764)</f>
        <v/>
      </c>
    </row>
    <row r="766">
      <c r="A766" s="8" t="n">
        <v>41880</v>
      </c>
      <c r="B766" s="7" t="n">
        <v>5645.6</v>
      </c>
      <c r="C766" s="7" t="n">
        <v>5652.3</v>
      </c>
      <c r="D766" s="7" t="n">
        <v>5614.3</v>
      </c>
      <c r="E766" s="7" t="n">
        <v>5625.9</v>
      </c>
      <c r="F766" s="9" t="n">
        <v>3599600000</v>
      </c>
      <c r="G766" s="9" t="n">
        <v>23522400000</v>
      </c>
      <c r="H766">
        <f>H765*(E766/E765)</f>
        <v/>
      </c>
    </row>
    <row r="767">
      <c r="A767" s="8" t="n">
        <v>41887</v>
      </c>
      <c r="B767" s="7" t="n">
        <v>5625.9</v>
      </c>
      <c r="C767" s="7" t="n">
        <v>5672.7</v>
      </c>
      <c r="D767" s="7" t="n">
        <v>5592.9</v>
      </c>
      <c r="E767" s="7" t="n">
        <v>5598.7</v>
      </c>
      <c r="F767" s="9" t="n">
        <v>2573900000</v>
      </c>
      <c r="G767" s="9" t="n">
        <v>15913800000</v>
      </c>
      <c r="H767">
        <f>H766*(E767/E766)</f>
        <v/>
      </c>
    </row>
    <row r="768">
      <c r="A768" s="8" t="n">
        <v>41894</v>
      </c>
      <c r="B768" s="7" t="n">
        <v>5598.7</v>
      </c>
      <c r="C768" s="7" t="n">
        <v>5607.9</v>
      </c>
      <c r="D768" s="7" t="n">
        <v>5509.8</v>
      </c>
      <c r="E768" s="7" t="n">
        <v>5531.1</v>
      </c>
      <c r="F768" s="9" t="n">
        <v>2557700000</v>
      </c>
      <c r="G768" s="9" t="n">
        <v>17087900000</v>
      </c>
      <c r="H768">
        <f>H767*(E768/E767)</f>
        <v/>
      </c>
    </row>
    <row r="769">
      <c r="A769" s="8" t="n">
        <v>41901</v>
      </c>
      <c r="B769" s="7" t="n">
        <v>5531.1</v>
      </c>
      <c r="C769" s="7" t="n">
        <v>5531.1</v>
      </c>
      <c r="D769" s="7" t="n">
        <v>5373.4</v>
      </c>
      <c r="E769" s="7" t="n">
        <v>5433.1</v>
      </c>
      <c r="F769" s="9" t="n">
        <v>3769400000</v>
      </c>
      <c r="G769" s="9" t="n">
        <v>22942100000</v>
      </c>
      <c r="H769">
        <f>H768*(E769/E768)</f>
        <v/>
      </c>
    </row>
    <row r="770">
      <c r="A770" s="8" t="n">
        <v>41908</v>
      </c>
      <c r="B770" s="7" t="n">
        <v>5433.2</v>
      </c>
      <c r="C770" s="7" t="n">
        <v>5434</v>
      </c>
      <c r="D770" s="7" t="n">
        <v>5309.8</v>
      </c>
      <c r="E770" s="7" t="n">
        <v>5313.4</v>
      </c>
      <c r="F770" s="9" t="n">
        <v>3019900000</v>
      </c>
      <c r="G770" s="9" t="n">
        <v>21373900000</v>
      </c>
      <c r="H770">
        <f>H769*(E770/E769)</f>
        <v/>
      </c>
    </row>
    <row r="771">
      <c r="A771" s="8" t="n">
        <v>41915</v>
      </c>
      <c r="B771" s="7" t="n">
        <v>5313.4</v>
      </c>
      <c r="C771" s="7" t="n">
        <v>5337.2</v>
      </c>
      <c r="D771" s="7" t="n">
        <v>5244</v>
      </c>
      <c r="E771" s="7" t="n">
        <v>5318.2</v>
      </c>
      <c r="F771" s="9" t="n">
        <v>2871700000</v>
      </c>
      <c r="G771" s="9" t="n">
        <v>17521000000</v>
      </c>
      <c r="H771">
        <f>H770*(E771/E770)</f>
        <v/>
      </c>
    </row>
    <row r="772">
      <c r="A772" s="8" t="n">
        <v>41922</v>
      </c>
      <c r="B772" s="7" t="n">
        <v>5318.2</v>
      </c>
      <c r="C772" s="7" t="n">
        <v>5324.6</v>
      </c>
      <c r="D772" s="7" t="n">
        <v>5187.6</v>
      </c>
      <c r="E772" s="7" t="n">
        <v>5188.3</v>
      </c>
      <c r="F772" s="9" t="n">
        <v>2933100000</v>
      </c>
      <c r="G772" s="9" t="n">
        <v>18618100000</v>
      </c>
      <c r="H772">
        <f>H771*(E772/E771)</f>
        <v/>
      </c>
    </row>
    <row r="773">
      <c r="A773" s="8" t="n">
        <v>41929</v>
      </c>
      <c r="B773" s="7" t="n">
        <v>5188.3</v>
      </c>
      <c r="C773" s="7" t="n">
        <v>5308.5</v>
      </c>
      <c r="D773" s="7" t="n">
        <v>5122</v>
      </c>
      <c r="E773" s="7" t="n">
        <v>5271.7</v>
      </c>
      <c r="F773" s="9" t="n">
        <v>3715900000</v>
      </c>
      <c r="G773" s="9" t="n">
        <v>22610600000</v>
      </c>
      <c r="H773">
        <f>H772*(E773/E772)</f>
        <v/>
      </c>
    </row>
    <row r="774">
      <c r="A774" s="8" t="n">
        <v>41936</v>
      </c>
      <c r="B774" s="7" t="n">
        <v>5271.7</v>
      </c>
      <c r="C774" s="7" t="n">
        <v>5425.7</v>
      </c>
      <c r="D774" s="7" t="n">
        <v>5271.7</v>
      </c>
      <c r="E774" s="7" t="n">
        <v>5412.2</v>
      </c>
      <c r="F774" s="9" t="n">
        <v>3003400000</v>
      </c>
      <c r="G774" s="9" t="n">
        <v>17082200000</v>
      </c>
      <c r="H774">
        <f>H773*(E774/E773)</f>
        <v/>
      </c>
    </row>
    <row r="775">
      <c r="A775" s="8" t="n">
        <v>41943</v>
      </c>
      <c r="B775" s="7" t="n">
        <v>5412.2</v>
      </c>
      <c r="C775" s="7" t="n">
        <v>5526.6</v>
      </c>
      <c r="D775" s="7" t="n">
        <v>5412.2</v>
      </c>
      <c r="E775" s="7" t="n">
        <v>5526.6</v>
      </c>
      <c r="F775" s="9" t="n">
        <v>3279400000</v>
      </c>
      <c r="G775" s="9" t="n">
        <v>21962300000</v>
      </c>
      <c r="H775">
        <f>H774*(E775/E774)</f>
        <v/>
      </c>
    </row>
    <row r="776">
      <c r="A776" s="8" t="n">
        <v>41950</v>
      </c>
      <c r="B776" s="7" t="n">
        <v>5526.6</v>
      </c>
      <c r="C776" s="7" t="n">
        <v>5549.1</v>
      </c>
      <c r="D776" s="7" t="n">
        <v>5481</v>
      </c>
      <c r="E776" s="7" t="n">
        <v>5549.1</v>
      </c>
      <c r="F776" s="9" t="n">
        <v>2907000000</v>
      </c>
      <c r="G776" s="9" t="n">
        <v>19280800000</v>
      </c>
      <c r="H776">
        <f>H775*(E776/E775)</f>
        <v/>
      </c>
    </row>
    <row r="777">
      <c r="A777" s="8" t="n">
        <v>41957</v>
      </c>
      <c r="B777" s="7" t="n">
        <v>5549.1</v>
      </c>
      <c r="C777" s="7" t="n">
        <v>5550.3</v>
      </c>
      <c r="D777" s="7" t="n">
        <v>5419.3</v>
      </c>
      <c r="E777" s="7" t="n">
        <v>5454.3</v>
      </c>
      <c r="F777" s="9" t="n">
        <v>2778700000</v>
      </c>
      <c r="G777" s="9" t="n">
        <v>18393500000</v>
      </c>
      <c r="H777">
        <f>H776*(E777/E776)</f>
        <v/>
      </c>
    </row>
    <row r="778">
      <c r="A778" s="8" t="n">
        <v>41964</v>
      </c>
      <c r="B778" s="7" t="n">
        <v>5454.3</v>
      </c>
      <c r="C778" s="7" t="n">
        <v>5460.3</v>
      </c>
      <c r="D778" s="7" t="n">
        <v>5292.9</v>
      </c>
      <c r="E778" s="7" t="n">
        <v>5304.3</v>
      </c>
      <c r="F778" s="9" t="n">
        <v>2728900000</v>
      </c>
      <c r="G778" s="9" t="n">
        <v>16853200000</v>
      </c>
      <c r="H778">
        <f>H777*(E778/E777)</f>
        <v/>
      </c>
    </row>
    <row r="779">
      <c r="A779" s="8" t="n">
        <v>41971</v>
      </c>
      <c r="B779" s="7" t="n">
        <v>5304.3</v>
      </c>
      <c r="C779" s="7" t="n">
        <v>5411.9</v>
      </c>
      <c r="D779" s="7" t="n">
        <v>5296.8</v>
      </c>
      <c r="E779" s="7" t="n">
        <v>5313</v>
      </c>
      <c r="F779" s="9" t="n">
        <v>3131700000</v>
      </c>
      <c r="G779" s="9" t="n">
        <v>20824600000</v>
      </c>
      <c r="H779">
        <f>H778*(E779/E778)</f>
        <v/>
      </c>
    </row>
    <row r="780">
      <c r="A780" s="8" t="n">
        <v>41978</v>
      </c>
      <c r="B780" s="7" t="n">
        <v>5313</v>
      </c>
      <c r="C780" s="7" t="n">
        <v>5389.4</v>
      </c>
      <c r="D780" s="7" t="n">
        <v>5207.7</v>
      </c>
      <c r="E780" s="7" t="n">
        <v>5335.3</v>
      </c>
      <c r="F780" s="9" t="n">
        <v>3360400000</v>
      </c>
      <c r="G780" s="9" t="n">
        <v>20297000000</v>
      </c>
      <c r="H780">
        <f>H779*(E780/E779)</f>
        <v/>
      </c>
    </row>
    <row r="781">
      <c r="A781" s="8" t="n">
        <v>41985</v>
      </c>
      <c r="B781" s="7" t="n">
        <v>5335.3</v>
      </c>
      <c r="C781" s="7" t="n">
        <v>5404.1</v>
      </c>
      <c r="D781" s="7" t="n">
        <v>5188</v>
      </c>
      <c r="E781" s="7" t="n">
        <v>5219.6</v>
      </c>
      <c r="F781" s="9" t="n">
        <v>3427700000</v>
      </c>
      <c r="G781" s="9" t="n">
        <v>21267800000</v>
      </c>
      <c r="H781">
        <f>H780*(E781/E780)</f>
        <v/>
      </c>
    </row>
    <row r="782">
      <c r="A782" s="8" t="n">
        <v>41992</v>
      </c>
      <c r="B782" s="7" t="n">
        <v>5219.6</v>
      </c>
      <c r="C782" s="7" t="n">
        <v>5343.1</v>
      </c>
      <c r="D782" s="7" t="n">
        <v>5142.8</v>
      </c>
      <c r="E782" s="7" t="n">
        <v>5338.6</v>
      </c>
      <c r="F782" s="9" t="n">
        <v>4091200000</v>
      </c>
      <c r="G782" s="9" t="n">
        <v>26696500000</v>
      </c>
      <c r="H782">
        <f>H781*(E782/E781)</f>
        <v/>
      </c>
    </row>
    <row r="783">
      <c r="A783" s="8" t="n">
        <v>41997</v>
      </c>
      <c r="B783" s="7" t="n">
        <v>5338.6</v>
      </c>
      <c r="C783" s="7" t="n">
        <v>5442</v>
      </c>
      <c r="D783" s="7" t="n">
        <v>5338.6</v>
      </c>
      <c r="E783" s="7" t="n">
        <v>5394.5</v>
      </c>
      <c r="F783" s="9" t="n">
        <v>1376600000</v>
      </c>
      <c r="G783" s="9" t="n">
        <v>8214300000</v>
      </c>
      <c r="H783">
        <f>H782*(E783/E782)</f>
        <v/>
      </c>
    </row>
    <row r="784">
      <c r="A784" s="8" t="n">
        <v>42006</v>
      </c>
      <c r="B784" s="7" t="n">
        <v>5394.5</v>
      </c>
      <c r="C784" s="7" t="n">
        <v>5486.7</v>
      </c>
      <c r="D784" s="7" t="n">
        <v>5387</v>
      </c>
      <c r="E784" s="7" t="n">
        <v>5435.9</v>
      </c>
      <c r="F784" s="9" t="n">
        <v>1228700000</v>
      </c>
      <c r="G784" s="9" t="n">
        <v>7028199000</v>
      </c>
      <c r="H784">
        <f>H783*(E784/E783)</f>
        <v/>
      </c>
    </row>
    <row r="785">
      <c r="A785" s="8" t="n">
        <v>42013</v>
      </c>
      <c r="B785" s="7" t="n">
        <v>5435.9</v>
      </c>
      <c r="C785" s="7" t="n">
        <v>5470.4</v>
      </c>
      <c r="D785" s="7" t="n">
        <v>5318.7</v>
      </c>
      <c r="E785" s="7" t="n">
        <v>5465.6</v>
      </c>
      <c r="F785" s="9" t="n">
        <v>2725900000</v>
      </c>
      <c r="G785" s="9" t="n">
        <v>16028500000</v>
      </c>
      <c r="H785">
        <f>H784*(E785/E784)</f>
        <v/>
      </c>
    </row>
    <row r="786">
      <c r="A786" s="8" t="n">
        <v>42020</v>
      </c>
      <c r="B786" s="7" t="n">
        <v>5465.6</v>
      </c>
      <c r="C786" s="7" t="n">
        <v>5465.6</v>
      </c>
      <c r="D786" s="7" t="n">
        <v>5267.4</v>
      </c>
      <c r="E786" s="7" t="n">
        <v>5299.2</v>
      </c>
      <c r="F786" s="9" t="n">
        <v>2819400000</v>
      </c>
      <c r="G786" s="9" t="n">
        <v>17768000000</v>
      </c>
      <c r="H786">
        <f>H785*(E786/E785)</f>
        <v/>
      </c>
    </row>
    <row r="787">
      <c r="A787" s="8" t="n">
        <v>42027</v>
      </c>
      <c r="B787" s="7" t="n">
        <v>5299.2</v>
      </c>
      <c r="C787" s="7" t="n">
        <v>5501.8</v>
      </c>
      <c r="D787" s="7" t="n">
        <v>5282.4</v>
      </c>
      <c r="E787" s="7" t="n">
        <v>5501.8</v>
      </c>
      <c r="F787" s="9" t="n">
        <v>2982200000</v>
      </c>
      <c r="G787" s="9" t="n">
        <v>18970800000</v>
      </c>
      <c r="H787">
        <f>H786*(E787/E786)</f>
        <v/>
      </c>
    </row>
    <row r="788">
      <c r="A788" s="8" t="n">
        <v>42034</v>
      </c>
      <c r="B788" s="7" t="n">
        <v>5501.8</v>
      </c>
      <c r="C788" s="7" t="n">
        <v>5619.5</v>
      </c>
      <c r="D788" s="7" t="n">
        <v>5497.3</v>
      </c>
      <c r="E788" s="7" t="n">
        <v>5588.3</v>
      </c>
      <c r="F788" s="9" t="n">
        <v>2892100000</v>
      </c>
      <c r="G788" s="9" t="n">
        <v>20728000000</v>
      </c>
      <c r="H788">
        <f>H787*(E788/E787)</f>
        <v/>
      </c>
    </row>
    <row r="789">
      <c r="A789" s="8" t="n">
        <v>42041</v>
      </c>
      <c r="B789" s="7" t="n">
        <v>5588.3</v>
      </c>
      <c r="C789" s="7" t="n">
        <v>5850.9</v>
      </c>
      <c r="D789" s="7" t="n">
        <v>5588.3</v>
      </c>
      <c r="E789" s="7" t="n">
        <v>5820.2</v>
      </c>
      <c r="F789" s="9" t="n">
        <v>3548500000</v>
      </c>
      <c r="G789" s="9" t="n">
        <v>23546600000</v>
      </c>
      <c r="H789">
        <f>H788*(E789/E788)</f>
        <v/>
      </c>
    </row>
    <row r="790">
      <c r="A790" s="8" t="n">
        <v>42048</v>
      </c>
      <c r="B790" s="7" t="n">
        <v>5820.2</v>
      </c>
      <c r="C790" s="7" t="n">
        <v>5893.5</v>
      </c>
      <c r="D790" s="7" t="n">
        <v>5739.8</v>
      </c>
      <c r="E790" s="7" t="n">
        <v>5877.5</v>
      </c>
      <c r="F790" s="9" t="n">
        <v>3632100000</v>
      </c>
      <c r="G790" s="9" t="n">
        <v>23373900000</v>
      </c>
      <c r="H790">
        <f>H789*(E790/E789)</f>
        <v/>
      </c>
    </row>
    <row r="791">
      <c r="A791" s="8" t="n">
        <v>42055</v>
      </c>
      <c r="B791" s="7" t="n">
        <v>5877.5</v>
      </c>
      <c r="C791" s="7" t="n">
        <v>5946.8</v>
      </c>
      <c r="D791" s="7" t="n">
        <v>5841.9</v>
      </c>
      <c r="E791" s="7" t="n">
        <v>5881.5</v>
      </c>
      <c r="F791" s="9" t="n">
        <v>3298000000</v>
      </c>
      <c r="G791" s="9" t="n">
        <v>22603700000</v>
      </c>
      <c r="H791">
        <f>H790*(E791/E790)</f>
        <v/>
      </c>
    </row>
    <row r="792">
      <c r="A792" s="8" t="n">
        <v>42062</v>
      </c>
      <c r="B792" s="7" t="n">
        <v>5881.5</v>
      </c>
      <c r="C792" s="7" t="n">
        <v>5955.5</v>
      </c>
      <c r="D792" s="7" t="n">
        <v>5869.2</v>
      </c>
      <c r="E792" s="7" t="n">
        <v>5928.8</v>
      </c>
      <c r="F792" s="9" t="n">
        <v>4054900000</v>
      </c>
      <c r="G792" s="9" t="n">
        <v>27356100000</v>
      </c>
      <c r="H792">
        <f>H791*(E792/E791)</f>
        <v/>
      </c>
    </row>
    <row r="793">
      <c r="A793" s="8" t="n">
        <v>42069</v>
      </c>
      <c r="B793" s="7" t="n">
        <v>5928.8</v>
      </c>
      <c r="C793" s="7" t="n">
        <v>5996.9</v>
      </c>
      <c r="D793" s="7" t="n">
        <v>5869.2</v>
      </c>
      <c r="E793" s="7" t="n">
        <v>5898.9</v>
      </c>
      <c r="F793" s="9" t="n">
        <v>3263000000</v>
      </c>
      <c r="G793" s="9" t="n">
        <v>22823000000</v>
      </c>
      <c r="H793">
        <f>H792*(E793/E792)</f>
        <v/>
      </c>
    </row>
    <row r="794">
      <c r="A794" s="8" t="n">
        <v>42076</v>
      </c>
      <c r="B794" s="7" t="n">
        <v>5898.9</v>
      </c>
      <c r="C794" s="7" t="n">
        <v>5898.9</v>
      </c>
      <c r="D794" s="7" t="n">
        <v>5748.7</v>
      </c>
      <c r="E794" s="7" t="n">
        <v>5814.5</v>
      </c>
      <c r="F794" s="9" t="n">
        <v>3222200000</v>
      </c>
      <c r="G794" s="9" t="n">
        <v>19859600000</v>
      </c>
      <c r="H794">
        <f>H793*(E794/E793)</f>
        <v/>
      </c>
    </row>
    <row r="795">
      <c r="A795" s="8" t="n">
        <v>42083</v>
      </c>
      <c r="B795" s="7" t="n">
        <v>5814.5</v>
      </c>
      <c r="C795" s="7" t="n">
        <v>5979.8</v>
      </c>
      <c r="D795" s="7" t="n">
        <v>5761.6</v>
      </c>
      <c r="E795" s="7" t="n">
        <v>5975.5</v>
      </c>
      <c r="F795" s="9" t="n">
        <v>4278405000</v>
      </c>
      <c r="G795" s="9" t="n">
        <v>25815400000</v>
      </c>
      <c r="H795">
        <f>H794*(E795/E794)</f>
        <v/>
      </c>
    </row>
    <row r="796">
      <c r="A796" s="8" t="n">
        <v>42090</v>
      </c>
      <c r="B796" s="7" t="n">
        <v>5975.5</v>
      </c>
      <c r="C796" s="7" t="n">
        <v>5995</v>
      </c>
      <c r="D796" s="7" t="n">
        <v>5877.1</v>
      </c>
      <c r="E796" s="7" t="n">
        <v>5919.9</v>
      </c>
      <c r="F796" s="9" t="n">
        <v>2853280000</v>
      </c>
      <c r="G796" s="9" t="n">
        <v>22217450000</v>
      </c>
      <c r="H796">
        <f>H795*(E796/E795)</f>
        <v/>
      </c>
    </row>
    <row r="797">
      <c r="A797" s="8" t="n">
        <v>42096</v>
      </c>
      <c r="B797" s="7" t="n">
        <v>5919.9</v>
      </c>
      <c r="C797" s="7" t="n">
        <v>5931.5</v>
      </c>
      <c r="D797" s="7" t="n">
        <v>5828.1</v>
      </c>
      <c r="E797" s="7" t="n">
        <v>5898.6</v>
      </c>
      <c r="F797" s="9" t="n">
        <v>2656092000</v>
      </c>
      <c r="G797" s="9" t="n">
        <v>23090620000</v>
      </c>
      <c r="H797">
        <f>H796*(E797/E796)</f>
        <v/>
      </c>
    </row>
    <row r="798">
      <c r="A798" s="8" t="n">
        <v>42104</v>
      </c>
      <c r="B798" s="7" t="n">
        <v>5898.6</v>
      </c>
      <c r="C798" s="7" t="n">
        <v>5981.7</v>
      </c>
      <c r="D798" s="7" t="n">
        <v>5898.6</v>
      </c>
      <c r="E798" s="7" t="n">
        <v>5968.4</v>
      </c>
      <c r="F798" s="9" t="n">
        <v>1942460000</v>
      </c>
      <c r="G798" s="9" t="n">
        <v>14788490000</v>
      </c>
      <c r="H798">
        <f>H797*(E798/E797)</f>
        <v/>
      </c>
    </row>
    <row r="799">
      <c r="A799" s="8" t="n">
        <v>42111</v>
      </c>
      <c r="B799" s="7" t="n">
        <v>5968.4</v>
      </c>
      <c r="C799" s="7" t="n">
        <v>5996.4</v>
      </c>
      <c r="D799" s="7" t="n">
        <v>5869.5</v>
      </c>
      <c r="E799" s="7" t="n">
        <v>5877.9</v>
      </c>
      <c r="F799" s="9" t="n">
        <v>2684244000</v>
      </c>
      <c r="G799" s="9" t="n">
        <v>19445630000</v>
      </c>
      <c r="H799">
        <f>H798*(E799/E798)</f>
        <v/>
      </c>
    </row>
    <row r="800">
      <c r="A800" s="8" t="n">
        <v>42118</v>
      </c>
      <c r="B800" s="7" t="n">
        <v>5877.9</v>
      </c>
      <c r="C800" s="7" t="n">
        <v>5935</v>
      </c>
      <c r="D800" s="7" t="n">
        <v>5807.8</v>
      </c>
      <c r="E800" s="7" t="n">
        <v>5933.3</v>
      </c>
      <c r="F800" s="9" t="n">
        <v>2844536000</v>
      </c>
      <c r="G800" s="9" t="n">
        <v>21457770000</v>
      </c>
      <c r="H800">
        <f>H799*(E800/E799)</f>
        <v/>
      </c>
    </row>
    <row r="801">
      <c r="A801" s="8" t="n">
        <v>42125</v>
      </c>
      <c r="B801" s="7" t="n">
        <v>5933.3</v>
      </c>
      <c r="C801" s="7" t="n">
        <v>5985.6</v>
      </c>
      <c r="D801" s="7" t="n">
        <v>5749.9</v>
      </c>
      <c r="E801" s="7" t="n">
        <v>5814.4</v>
      </c>
      <c r="F801" s="9" t="n">
        <v>3009897000</v>
      </c>
      <c r="G801" s="9" t="n">
        <v>23225660000</v>
      </c>
      <c r="H801">
        <f>H800*(E801/E800)</f>
        <v/>
      </c>
    </row>
    <row r="802">
      <c r="A802" s="8" t="n">
        <v>42132</v>
      </c>
      <c r="B802" s="7" t="n">
        <v>5814.4</v>
      </c>
      <c r="C802" s="7" t="n">
        <v>5901.8</v>
      </c>
      <c r="D802" s="7" t="n">
        <v>5606.7</v>
      </c>
      <c r="E802" s="7" t="n">
        <v>5634.6</v>
      </c>
      <c r="F802" s="9" t="n">
        <v>3126331000</v>
      </c>
      <c r="G802" s="9" t="n">
        <v>25243850000</v>
      </c>
      <c r="H802">
        <f>H801*(E802/E801)</f>
        <v/>
      </c>
    </row>
    <row r="803">
      <c r="A803" s="8" t="n">
        <v>42139</v>
      </c>
      <c r="B803" s="7" t="n">
        <v>5634.6</v>
      </c>
      <c r="C803" s="7" t="n">
        <v>5747</v>
      </c>
      <c r="D803" s="7" t="n">
        <v>5616</v>
      </c>
      <c r="E803" s="7" t="n">
        <v>5735.5</v>
      </c>
      <c r="F803" s="9" t="n">
        <v>3251495000</v>
      </c>
      <c r="G803" s="9" t="n">
        <v>24159530000</v>
      </c>
      <c r="H803">
        <f>H802*(E803/E802)</f>
        <v/>
      </c>
    </row>
    <row r="804">
      <c r="A804" s="8" t="n">
        <v>42146</v>
      </c>
      <c r="B804" s="7" t="n">
        <v>5735.5</v>
      </c>
      <c r="C804" s="7" t="n">
        <v>5735.5</v>
      </c>
      <c r="D804" s="7" t="n">
        <v>5574.6</v>
      </c>
      <c r="E804" s="7" t="n">
        <v>5664.7</v>
      </c>
      <c r="F804" s="9" t="n">
        <v>3376377000</v>
      </c>
      <c r="G804" s="9" t="n">
        <v>23117180000</v>
      </c>
      <c r="H804">
        <f>H803*(E804/E803)</f>
        <v/>
      </c>
    </row>
    <row r="805">
      <c r="A805" s="8" t="n">
        <v>42153</v>
      </c>
      <c r="B805" s="7" t="n">
        <v>5664.7</v>
      </c>
      <c r="C805" s="7" t="n">
        <v>5803</v>
      </c>
      <c r="D805" s="7" t="n">
        <v>5664.7</v>
      </c>
      <c r="E805" s="7" t="n">
        <v>5777.2</v>
      </c>
      <c r="F805" s="9" t="n">
        <v>3310058000</v>
      </c>
      <c r="G805" s="9" t="n">
        <v>24422390000</v>
      </c>
      <c r="H805">
        <f>H804*(E805/E804)</f>
        <v/>
      </c>
    </row>
    <row r="806">
      <c r="A806" s="8" t="n">
        <v>42160</v>
      </c>
      <c r="B806" s="7" t="n">
        <v>5777.2</v>
      </c>
      <c r="C806" s="7" t="n">
        <v>5777.2</v>
      </c>
      <c r="D806" s="7" t="n">
        <v>5470</v>
      </c>
      <c r="E806" s="7" t="n">
        <v>5498.5</v>
      </c>
      <c r="F806" s="9" t="n">
        <v>2984498000</v>
      </c>
      <c r="G806" s="9" t="n">
        <v>21324940000</v>
      </c>
      <c r="H806">
        <f>H805*(E806/E805)</f>
        <v/>
      </c>
    </row>
    <row r="807">
      <c r="A807" s="8" t="n">
        <v>42167</v>
      </c>
      <c r="B807" s="7" t="n">
        <v>5498.5</v>
      </c>
      <c r="C807" s="7" t="n">
        <v>5556.7</v>
      </c>
      <c r="D807" s="7" t="n">
        <v>5453.1</v>
      </c>
      <c r="E807" s="7" t="n">
        <v>5545.3</v>
      </c>
      <c r="F807" s="9" t="n">
        <v>2260442000</v>
      </c>
      <c r="G807" s="9" t="n">
        <v>14955940000</v>
      </c>
      <c r="H807">
        <f>H806*(E807/E806)</f>
        <v/>
      </c>
    </row>
    <row r="808">
      <c r="A808" s="8" t="n">
        <v>42174</v>
      </c>
      <c r="B808" s="7" t="n">
        <v>5545.3</v>
      </c>
      <c r="C808" s="7" t="n">
        <v>5612.2</v>
      </c>
      <c r="D808" s="7" t="n">
        <v>5492.1</v>
      </c>
      <c r="E808" s="7" t="n">
        <v>5597</v>
      </c>
      <c r="F808" s="9" t="n">
        <v>4002037000</v>
      </c>
      <c r="G808" s="9" t="n">
        <v>26140280000</v>
      </c>
      <c r="H808">
        <f>H807*(E808/E807)</f>
        <v/>
      </c>
    </row>
    <row r="809">
      <c r="A809" s="8" t="n">
        <v>42181</v>
      </c>
      <c r="B809" s="7" t="n">
        <v>5597</v>
      </c>
      <c r="C809" s="7" t="n">
        <v>5705.8</v>
      </c>
      <c r="D809" s="7" t="n">
        <v>5524.1</v>
      </c>
      <c r="E809" s="7" t="n">
        <v>5545.9</v>
      </c>
      <c r="F809" s="9" t="n">
        <v>3288528000</v>
      </c>
      <c r="G809" s="9" t="n">
        <v>23981460000</v>
      </c>
      <c r="H809">
        <f>H808*(E809/E808)</f>
        <v/>
      </c>
    </row>
    <row r="810">
      <c r="A810" s="8" t="n">
        <v>42188</v>
      </c>
      <c r="B810" s="7" t="n">
        <v>5545.9</v>
      </c>
      <c r="C810" s="7" t="n">
        <v>5609.9</v>
      </c>
      <c r="D810" s="7" t="n">
        <v>5390.5</v>
      </c>
      <c r="E810" s="7" t="n">
        <v>5538.3</v>
      </c>
      <c r="F810" s="9" t="n">
        <v>3399940000</v>
      </c>
      <c r="G810" s="9" t="n">
        <v>21705090000</v>
      </c>
      <c r="H810">
        <f>H809*(E810/E809)</f>
        <v/>
      </c>
    </row>
    <row r="811">
      <c r="A811" s="8" t="n">
        <v>42195</v>
      </c>
      <c r="B811" s="7" t="n">
        <v>5538.3</v>
      </c>
      <c r="C811" s="7" t="n">
        <v>5586.2</v>
      </c>
      <c r="D811" s="7" t="n">
        <v>5383.7</v>
      </c>
      <c r="E811" s="7" t="n">
        <v>5492</v>
      </c>
      <c r="F811" s="9" t="n">
        <v>2915049000</v>
      </c>
      <c r="G811" s="9" t="n">
        <v>19897660000</v>
      </c>
      <c r="H811">
        <f>H810*(E811/E810)</f>
        <v/>
      </c>
    </row>
    <row r="812">
      <c r="A812" s="8" t="n">
        <v>42202</v>
      </c>
      <c r="B812" s="7" t="n">
        <v>5492</v>
      </c>
      <c r="C812" s="7" t="n">
        <v>5691.2</v>
      </c>
      <c r="D812" s="7" t="n">
        <v>5451.1</v>
      </c>
      <c r="E812" s="7" t="n">
        <v>5670.1</v>
      </c>
      <c r="F812" s="9" t="n">
        <v>2596439000</v>
      </c>
      <c r="G812" s="9" t="n">
        <v>17602810000</v>
      </c>
      <c r="H812">
        <f>H811*(E812/E811)</f>
        <v/>
      </c>
    </row>
    <row r="813">
      <c r="A813" s="8" t="n">
        <v>42209</v>
      </c>
      <c r="B813" s="7" t="n">
        <v>5670.1</v>
      </c>
      <c r="C813" s="7" t="n">
        <v>5718.9</v>
      </c>
      <c r="D813" s="7" t="n">
        <v>5548</v>
      </c>
      <c r="E813" s="7" t="n">
        <v>5566.1</v>
      </c>
      <c r="F813" s="9" t="n">
        <v>2593404000</v>
      </c>
      <c r="G813" s="9" t="n">
        <v>17512910000</v>
      </c>
      <c r="H813">
        <f>H812*(E813/E812)</f>
        <v/>
      </c>
    </row>
    <row r="814">
      <c r="A814" s="8" t="n">
        <v>42216</v>
      </c>
      <c r="B814" s="7" t="n">
        <v>5565.9</v>
      </c>
      <c r="C814" s="7" t="n">
        <v>5699.5</v>
      </c>
      <c r="D814" s="7" t="n">
        <v>5530.9</v>
      </c>
      <c r="E814" s="7" t="n">
        <v>5699.2</v>
      </c>
      <c r="F814" s="9" t="n">
        <v>2884478000</v>
      </c>
      <c r="G814" s="9" t="n">
        <v>20920350000</v>
      </c>
      <c r="H814">
        <f>H813*(E814/E813)</f>
        <v/>
      </c>
    </row>
    <row r="815">
      <c r="A815" s="8" t="n">
        <v>42223</v>
      </c>
      <c r="B815" s="7" t="n">
        <v>5699.2</v>
      </c>
      <c r="C815" s="7" t="n">
        <v>5727.7</v>
      </c>
      <c r="D815" s="7" t="n">
        <v>5474.8</v>
      </c>
      <c r="E815" s="7" t="n">
        <v>5474.8</v>
      </c>
      <c r="F815" s="9" t="n">
        <v>2799559000</v>
      </c>
      <c r="G815" s="9" t="n">
        <v>19853080000</v>
      </c>
      <c r="H815">
        <f>H814*(E815/E814)</f>
        <v/>
      </c>
    </row>
    <row r="816">
      <c r="A816" s="8" t="n">
        <v>42230</v>
      </c>
      <c r="B816" s="7" t="n">
        <v>5474.8</v>
      </c>
      <c r="C816" s="7" t="n">
        <v>5543.2</v>
      </c>
      <c r="D816" s="7" t="n">
        <v>5351.5</v>
      </c>
      <c r="E816" s="7" t="n">
        <v>5356.5</v>
      </c>
      <c r="F816" s="9" t="n">
        <v>3074173000</v>
      </c>
      <c r="G816" s="9" t="n">
        <v>21542660000</v>
      </c>
      <c r="H816">
        <f>H815*(E816/E815)</f>
        <v/>
      </c>
    </row>
    <row r="817">
      <c r="A817" s="8" t="n">
        <v>42237</v>
      </c>
      <c r="B817" s="7" t="n">
        <v>5356.5</v>
      </c>
      <c r="C817" s="7" t="n">
        <v>5397</v>
      </c>
      <c r="D817" s="7" t="n">
        <v>5171.5</v>
      </c>
      <c r="E817" s="7" t="n">
        <v>5214.6</v>
      </c>
      <c r="F817" s="9" t="n">
        <v>3530497000</v>
      </c>
      <c r="G817" s="9" t="n">
        <v>26654030000</v>
      </c>
      <c r="H817">
        <f>H816*(E817/E816)</f>
        <v/>
      </c>
    </row>
    <row r="818">
      <c r="A818" s="8" t="n">
        <v>42244</v>
      </c>
      <c r="B818" s="7" t="n">
        <v>5207.6</v>
      </c>
      <c r="C818" s="7" t="n">
        <v>5305</v>
      </c>
      <c r="D818" s="7" t="n">
        <v>4928.3</v>
      </c>
      <c r="E818" s="7" t="n">
        <v>5263.6</v>
      </c>
      <c r="F818" s="9" t="n">
        <v>5153021000</v>
      </c>
      <c r="G818" s="9" t="n">
        <v>35264520000</v>
      </c>
      <c r="H818">
        <f>H817*(E818/E817)</f>
        <v/>
      </c>
    </row>
    <row r="819">
      <c r="A819" s="8" t="n">
        <v>42251</v>
      </c>
      <c r="B819" s="7" t="n">
        <v>5263.6</v>
      </c>
      <c r="C819" s="7" t="n">
        <v>5263.6</v>
      </c>
      <c r="D819" s="7" t="n">
        <v>4995.6</v>
      </c>
      <c r="E819" s="7" t="n">
        <v>5040.6</v>
      </c>
      <c r="F819" s="9" t="n">
        <v>4134574000</v>
      </c>
      <c r="G819" s="9" t="n">
        <v>25682070000</v>
      </c>
      <c r="H819">
        <f>H818*(E819/E818)</f>
        <v/>
      </c>
    </row>
    <row r="820">
      <c r="A820" s="8" t="n">
        <v>42258</v>
      </c>
      <c r="B820" s="7" t="n">
        <v>5040.6</v>
      </c>
      <c r="C820" s="7" t="n">
        <v>5221.1</v>
      </c>
      <c r="D820" s="7" t="n">
        <v>4973.4</v>
      </c>
      <c r="E820" s="7" t="n">
        <v>5071.1</v>
      </c>
      <c r="F820" s="9" t="n">
        <v>3619583000</v>
      </c>
      <c r="G820" s="9" t="n">
        <v>23291290000</v>
      </c>
      <c r="H820">
        <f>H819*(E820/E819)</f>
        <v/>
      </c>
    </row>
    <row r="821">
      <c r="A821" s="8" t="n">
        <v>42265</v>
      </c>
      <c r="B821" s="7" t="n">
        <v>5071.1</v>
      </c>
      <c r="C821" s="7" t="n">
        <v>5195</v>
      </c>
      <c r="D821" s="7" t="n">
        <v>5017.8</v>
      </c>
      <c r="E821" s="7" t="n">
        <v>5170.5</v>
      </c>
      <c r="F821" s="9" t="n">
        <v>3993982000</v>
      </c>
      <c r="G821" s="9" t="n">
        <v>24971320000</v>
      </c>
      <c r="H821">
        <f>H820*(E821/E820)</f>
        <v/>
      </c>
    </row>
    <row r="822">
      <c r="A822" s="8" t="n">
        <v>42272</v>
      </c>
      <c r="B822" s="7" t="n">
        <v>5170.5</v>
      </c>
      <c r="C822" s="7" t="n">
        <v>5170.5</v>
      </c>
      <c r="D822" s="7" t="n">
        <v>4988.8</v>
      </c>
      <c r="E822" s="7" t="n">
        <v>5042.1</v>
      </c>
      <c r="F822" s="9" t="n">
        <v>3110852000</v>
      </c>
      <c r="G822" s="9" t="n">
        <v>21608820000</v>
      </c>
      <c r="H822">
        <f>H821*(E822/E821)</f>
        <v/>
      </c>
    </row>
    <row r="823">
      <c r="A823" s="8" t="n">
        <v>42279</v>
      </c>
      <c r="B823" s="7" t="n">
        <v>5042.1</v>
      </c>
      <c r="C823" s="7" t="n">
        <v>5119.2</v>
      </c>
      <c r="D823" s="7" t="n">
        <v>4918.4</v>
      </c>
      <c r="E823" s="7" t="n">
        <v>5052</v>
      </c>
      <c r="F823" s="9" t="n">
        <v>3245816000</v>
      </c>
      <c r="G823" s="9" t="n">
        <v>21220890000</v>
      </c>
      <c r="H823">
        <f>H822*(E823/E822)</f>
        <v/>
      </c>
    </row>
    <row r="824">
      <c r="A824" s="8" t="n">
        <v>42286</v>
      </c>
      <c r="B824" s="7" t="n">
        <v>5052</v>
      </c>
      <c r="C824" s="7" t="n">
        <v>5284</v>
      </c>
      <c r="D824" s="7" t="n">
        <v>5052</v>
      </c>
      <c r="E824" s="7" t="n">
        <v>5279.7</v>
      </c>
      <c r="F824" s="9" t="n">
        <v>2846176000</v>
      </c>
      <c r="G824" s="9" t="n">
        <v>19634390000</v>
      </c>
      <c r="H824">
        <f>H823*(E824/E823)</f>
        <v/>
      </c>
    </row>
    <row r="825">
      <c r="A825" s="8" t="n">
        <v>42293</v>
      </c>
      <c r="B825" s="7" t="n">
        <v>5279.7</v>
      </c>
      <c r="C825" s="7" t="n">
        <v>5294.3</v>
      </c>
      <c r="D825" s="7" t="n">
        <v>5164.2</v>
      </c>
      <c r="E825" s="7" t="n">
        <v>5268.2</v>
      </c>
      <c r="F825" s="9" t="n">
        <v>3072248000</v>
      </c>
      <c r="G825" s="9" t="n">
        <v>19887090000</v>
      </c>
      <c r="H825">
        <f>H824*(E825/E824)</f>
        <v/>
      </c>
    </row>
    <row r="826">
      <c r="A826" s="8" t="n">
        <v>42300</v>
      </c>
      <c r="B826" s="7" t="n">
        <v>5268.2</v>
      </c>
      <c r="C826" s="7" t="n">
        <v>5374.5</v>
      </c>
      <c r="D826" s="7" t="n">
        <v>5195.4</v>
      </c>
      <c r="E826" s="7" t="n">
        <v>5351.6</v>
      </c>
      <c r="F826" s="9" t="n">
        <v>2879281000</v>
      </c>
      <c r="G826" s="9" t="n">
        <v>18837890000</v>
      </c>
      <c r="H826">
        <f>H825*(E826/E825)</f>
        <v/>
      </c>
    </row>
    <row r="827">
      <c r="A827" s="8" t="n">
        <v>42307</v>
      </c>
      <c r="B827" s="7" t="n">
        <v>5351.6</v>
      </c>
      <c r="C827" s="7" t="n">
        <v>5384.8</v>
      </c>
      <c r="D827" s="7" t="n">
        <v>5204</v>
      </c>
      <c r="E827" s="7" t="n">
        <v>5239.4</v>
      </c>
      <c r="F827" s="9" t="n">
        <v>3044601000</v>
      </c>
      <c r="G827" s="9" t="n">
        <v>22687240000</v>
      </c>
      <c r="H827">
        <f>H826*(E827/E826)</f>
        <v/>
      </c>
    </row>
    <row r="828">
      <c r="A828" s="8" t="n">
        <v>42314</v>
      </c>
      <c r="B828" s="7" t="n">
        <v>5239.4</v>
      </c>
      <c r="C828" s="7" t="n">
        <v>5313.7</v>
      </c>
      <c r="D828" s="7" t="n">
        <v>5152.8</v>
      </c>
      <c r="E828" s="7" t="n">
        <v>5215</v>
      </c>
      <c r="F828" s="9" t="n">
        <v>2758206000</v>
      </c>
      <c r="G828" s="9" t="n">
        <v>20532660000</v>
      </c>
      <c r="H828">
        <f>H827*(E828/E827)</f>
        <v/>
      </c>
    </row>
    <row r="829">
      <c r="A829" s="8" t="n">
        <v>42321</v>
      </c>
      <c r="B829" s="7" t="n">
        <v>5215</v>
      </c>
      <c r="C829" s="7" t="n">
        <v>5215</v>
      </c>
      <c r="D829" s="7" t="n">
        <v>5010.4</v>
      </c>
      <c r="E829" s="7" t="n">
        <v>5051.3</v>
      </c>
      <c r="F829" s="9" t="n">
        <v>3164264000</v>
      </c>
      <c r="G829" s="9" t="n">
        <v>22125480000</v>
      </c>
      <c r="H829">
        <f>H828*(E829/E828)</f>
        <v/>
      </c>
    </row>
    <row r="830">
      <c r="A830" s="8" t="n">
        <v>42328</v>
      </c>
      <c r="B830" s="7" t="n">
        <v>5051.3</v>
      </c>
      <c r="C830" s="7" t="n">
        <v>5272</v>
      </c>
      <c r="D830" s="7" t="n">
        <v>4979.2</v>
      </c>
      <c r="E830" s="7" t="n">
        <v>5256.1</v>
      </c>
      <c r="F830" s="9" t="n">
        <v>3061880000</v>
      </c>
      <c r="G830" s="9" t="n">
        <v>20542100000</v>
      </c>
      <c r="H830">
        <f>H829*(E830/E829)</f>
        <v/>
      </c>
    </row>
    <row r="831">
      <c r="A831" s="8" t="n">
        <v>42335</v>
      </c>
      <c r="B831" s="7" t="n">
        <v>5256.1</v>
      </c>
      <c r="C831" s="7" t="n">
        <v>5285.5</v>
      </c>
      <c r="D831" s="7" t="n">
        <v>5185.8</v>
      </c>
      <c r="E831" s="7" t="n">
        <v>5202.6</v>
      </c>
      <c r="F831" s="9" t="n">
        <v>3436125000</v>
      </c>
      <c r="G831" s="9" t="n">
        <v>20595240000</v>
      </c>
      <c r="H831">
        <f>H830*(E831/E830)</f>
        <v/>
      </c>
    </row>
    <row r="832">
      <c r="A832" s="8" t="n">
        <v>42342</v>
      </c>
      <c r="B832" s="7" t="n">
        <v>5202.6</v>
      </c>
      <c r="C832" s="7" t="n">
        <v>5279.3</v>
      </c>
      <c r="D832" s="7" t="n">
        <v>5117.6</v>
      </c>
      <c r="E832" s="7" t="n">
        <v>5151.6</v>
      </c>
      <c r="F832" s="9" t="n">
        <v>4347590000</v>
      </c>
      <c r="G832" s="9" t="n">
        <v>25699150000</v>
      </c>
      <c r="H832">
        <f>H831*(E832/E831)</f>
        <v/>
      </c>
    </row>
    <row r="833">
      <c r="A833" s="8" t="n">
        <v>42349</v>
      </c>
      <c r="B833" s="7" t="n">
        <v>5151.6</v>
      </c>
      <c r="C833" s="7" t="n">
        <v>5229.9</v>
      </c>
      <c r="D833" s="7" t="n">
        <v>4995.6</v>
      </c>
      <c r="E833" s="7" t="n">
        <v>5029.4</v>
      </c>
      <c r="F833" s="9" t="n">
        <v>3636746000</v>
      </c>
      <c r="G833" s="9" t="n">
        <v>20812930000</v>
      </c>
      <c r="H833">
        <f>H832*(E833/E832)</f>
        <v/>
      </c>
    </row>
    <row r="834">
      <c r="A834" s="8" t="n">
        <v>42356</v>
      </c>
      <c r="B834" s="7" t="n">
        <v>5029.5</v>
      </c>
      <c r="C834" s="7" t="n">
        <v>5129.1</v>
      </c>
      <c r="D834" s="7" t="n">
        <v>4909.6</v>
      </c>
      <c r="E834" s="7" t="n">
        <v>5106.7</v>
      </c>
      <c r="F834" s="9" t="n">
        <v>4342177000</v>
      </c>
      <c r="G834" s="9" t="n">
        <v>28115090000</v>
      </c>
      <c r="H834">
        <f>H833*(E834/E833)</f>
        <v/>
      </c>
    </row>
    <row r="835">
      <c r="A835" s="8" t="n">
        <v>42362</v>
      </c>
      <c r="B835" s="7" t="n">
        <v>5106.7</v>
      </c>
      <c r="C835" s="7" t="n">
        <v>5211.5</v>
      </c>
      <c r="D835" s="7" t="n">
        <v>5075.2</v>
      </c>
      <c r="E835" s="7" t="n">
        <v>5207.6</v>
      </c>
      <c r="F835" s="9" t="n">
        <v>1566529000</v>
      </c>
      <c r="G835" s="9" t="n">
        <v>10391490000</v>
      </c>
      <c r="H835">
        <f>H834*(E835/E834)</f>
        <v/>
      </c>
    </row>
    <row r="836">
      <c r="A836" s="8" t="n">
        <v>42369</v>
      </c>
      <c r="B836" s="7" t="n">
        <v>5207.6</v>
      </c>
      <c r="C836" s="7" t="n">
        <v>5325.8</v>
      </c>
      <c r="D836" s="7" t="n">
        <v>5189.1</v>
      </c>
      <c r="E836" s="7" t="n">
        <v>5295.9</v>
      </c>
      <c r="F836" s="9" t="n">
        <v>961458200</v>
      </c>
      <c r="G836" s="9" t="n">
        <v>7191158000</v>
      </c>
      <c r="H836">
        <f>H835*(E836/E835)</f>
        <v/>
      </c>
    </row>
    <row r="837">
      <c r="A837" s="8" t="n">
        <v>42377</v>
      </c>
      <c r="B837" s="7" t="n">
        <v>5295.9</v>
      </c>
      <c r="C837" s="7" t="n">
        <v>5331.4</v>
      </c>
      <c r="D837" s="7" t="n">
        <v>4940.3</v>
      </c>
      <c r="E837" s="7" t="n">
        <v>4990.8</v>
      </c>
      <c r="F837" s="9" t="n">
        <v>2622828000</v>
      </c>
      <c r="G837" s="9" t="n">
        <v>17930010000</v>
      </c>
      <c r="H837">
        <f>H836*(E837/E836)</f>
        <v/>
      </c>
    </row>
    <row r="838">
      <c r="A838" s="8" t="n">
        <v>42384</v>
      </c>
      <c r="B838" s="7" t="n">
        <v>4990.8</v>
      </c>
      <c r="C838" s="7" t="n">
        <v>4997.1</v>
      </c>
      <c r="D838" s="7" t="n">
        <v>4865</v>
      </c>
      <c r="E838" s="7" t="n">
        <v>4892.8</v>
      </c>
      <c r="F838" s="9" t="n">
        <v>2974969000</v>
      </c>
      <c r="G838" s="9" t="n">
        <v>18948490000</v>
      </c>
      <c r="H838">
        <f>H837*(E838/E837)</f>
        <v/>
      </c>
    </row>
    <row r="839">
      <c r="A839" s="8" t="n">
        <v>42391</v>
      </c>
      <c r="B839" s="7" t="n">
        <v>4892.8</v>
      </c>
      <c r="C839" s="7" t="n">
        <v>4932.1</v>
      </c>
      <c r="D839" s="7" t="n">
        <v>4803.9</v>
      </c>
      <c r="E839" s="7" t="n">
        <v>4916</v>
      </c>
      <c r="F839" s="9" t="n">
        <v>3117732000</v>
      </c>
      <c r="G839" s="9" t="n">
        <v>20800140000</v>
      </c>
      <c r="H839">
        <f>H838*(E839/E838)</f>
        <v/>
      </c>
    </row>
    <row r="840">
      <c r="A840" s="8" t="n">
        <v>42398</v>
      </c>
      <c r="B840" s="7" t="n">
        <v>4916</v>
      </c>
      <c r="C840" s="7" t="n">
        <v>5009.5</v>
      </c>
      <c r="D840" s="7" t="n">
        <v>4909.4</v>
      </c>
      <c r="E840" s="7" t="n">
        <v>5005.5</v>
      </c>
      <c r="F840" s="9" t="n">
        <v>2672769000</v>
      </c>
      <c r="G840" s="9" t="n">
        <v>17955070000</v>
      </c>
      <c r="H840">
        <f>H839*(E840/E839)</f>
        <v/>
      </c>
    </row>
    <row r="841">
      <c r="A841" s="8" t="n">
        <v>42405</v>
      </c>
      <c r="B841" s="7" t="n">
        <v>5005.5</v>
      </c>
      <c r="C841" s="7" t="n">
        <v>5073</v>
      </c>
      <c r="D841" s="7" t="n">
        <v>4873.6</v>
      </c>
      <c r="E841" s="7" t="n">
        <v>4976.2</v>
      </c>
      <c r="F841" s="9" t="n">
        <v>3362587000</v>
      </c>
      <c r="G841" s="9" t="n">
        <v>21715060000</v>
      </c>
      <c r="H841">
        <f>H840*(E841/E840)</f>
        <v/>
      </c>
    </row>
    <row r="842">
      <c r="A842" s="8" t="n">
        <v>42412</v>
      </c>
      <c r="B842" s="7" t="n">
        <v>4976.2</v>
      </c>
      <c r="C842" s="7" t="n">
        <v>4980</v>
      </c>
      <c r="D842" s="7" t="n">
        <v>4706.7</v>
      </c>
      <c r="E842" s="7" t="n">
        <v>4765.3</v>
      </c>
      <c r="F842" s="9" t="n">
        <v>3491737000</v>
      </c>
      <c r="G842" s="9" t="n">
        <v>23644500000</v>
      </c>
      <c r="H842">
        <f>H841*(E842/E841)</f>
        <v/>
      </c>
    </row>
    <row r="843">
      <c r="A843" s="8" t="n">
        <v>42419</v>
      </c>
      <c r="B843" s="7" t="n">
        <v>4765.3</v>
      </c>
      <c r="C843" s="7" t="n">
        <v>4992.6</v>
      </c>
      <c r="D843" s="7" t="n">
        <v>4765.3</v>
      </c>
      <c r="E843" s="7" t="n">
        <v>4952.8</v>
      </c>
      <c r="F843" s="9" t="n">
        <v>3728049000</v>
      </c>
      <c r="G843" s="9" t="n">
        <v>23782230000</v>
      </c>
      <c r="H843">
        <f>H842*(E843/E842)</f>
        <v/>
      </c>
    </row>
    <row r="844">
      <c r="A844" s="8" t="n">
        <v>42426</v>
      </c>
      <c r="B844" s="7" t="n">
        <v>4952.8</v>
      </c>
      <c r="C844" s="7" t="n">
        <v>5035.6</v>
      </c>
      <c r="D844" s="7" t="n">
        <v>4838.3</v>
      </c>
      <c r="E844" s="7" t="n">
        <v>4880</v>
      </c>
      <c r="F844" s="9" t="n">
        <v>3615045000</v>
      </c>
      <c r="G844" s="9" t="n">
        <v>24828630000</v>
      </c>
      <c r="H844">
        <f>H843*(E844/E843)</f>
        <v/>
      </c>
    </row>
    <row r="845">
      <c r="A845" s="8" t="n">
        <v>42433</v>
      </c>
      <c r="B845" s="7" t="n">
        <v>4880</v>
      </c>
      <c r="C845" s="7" t="n">
        <v>5105</v>
      </c>
      <c r="D845" s="7" t="n">
        <v>4868.1</v>
      </c>
      <c r="E845" s="7" t="n">
        <v>5090</v>
      </c>
      <c r="F845" s="9" t="n">
        <v>4076148000</v>
      </c>
      <c r="G845" s="9" t="n">
        <v>26372020000</v>
      </c>
      <c r="H845">
        <f>H844*(E845/E844)</f>
        <v/>
      </c>
    </row>
    <row r="846">
      <c r="A846" s="8" t="n">
        <v>42440</v>
      </c>
      <c r="B846" s="7" t="n">
        <v>5090</v>
      </c>
      <c r="C846" s="7" t="n">
        <v>5182.5</v>
      </c>
      <c r="D846" s="7" t="n">
        <v>5081.9</v>
      </c>
      <c r="E846" s="7" t="n">
        <v>5166.4</v>
      </c>
      <c r="F846" s="9" t="n">
        <v>3634562000</v>
      </c>
      <c r="G846" s="9" t="n">
        <v>22615610000</v>
      </c>
      <c r="H846">
        <f>H845*(E846/E845)</f>
        <v/>
      </c>
    </row>
    <row r="847">
      <c r="A847" s="8" t="n">
        <v>42447</v>
      </c>
      <c r="B847" s="7" t="n">
        <v>5166.4</v>
      </c>
      <c r="C847" s="7" t="n">
        <v>5216.2</v>
      </c>
      <c r="D847" s="7" t="n">
        <v>5088.2</v>
      </c>
      <c r="E847" s="7" t="n">
        <v>5183.1</v>
      </c>
      <c r="F847" s="9" t="n">
        <v>3911298000</v>
      </c>
      <c r="G847" s="9" t="n">
        <v>24717220000</v>
      </c>
      <c r="H847">
        <f>H846*(E847/E846)</f>
        <v/>
      </c>
    </row>
    <row r="848">
      <c r="A848" s="8" t="n">
        <v>42453</v>
      </c>
      <c r="B848" s="7" t="n">
        <v>5183.1</v>
      </c>
      <c r="C848" s="7" t="n">
        <v>5195.7</v>
      </c>
      <c r="D848" s="7" t="n">
        <v>5069.2</v>
      </c>
      <c r="E848" s="7" t="n">
        <v>5084.2</v>
      </c>
      <c r="F848" s="9" t="n">
        <v>2217786000</v>
      </c>
      <c r="G848" s="9" t="n">
        <v>17047970000</v>
      </c>
      <c r="H848">
        <f>H847*(E848/E847)</f>
        <v/>
      </c>
    </row>
    <row r="849">
      <c r="A849" s="8" t="n">
        <v>42461</v>
      </c>
      <c r="B849" s="7" t="n">
        <v>5084.2</v>
      </c>
      <c r="C849" s="7" t="n">
        <v>5098.2</v>
      </c>
      <c r="D849" s="7" t="n">
        <v>4976.3</v>
      </c>
      <c r="E849" s="7" t="n">
        <v>4999.4</v>
      </c>
      <c r="F849" s="9" t="n">
        <v>2209478000</v>
      </c>
      <c r="G849" s="9" t="n">
        <v>16089920000</v>
      </c>
      <c r="H849">
        <f>H848*(E849/E848)</f>
        <v/>
      </c>
    </row>
    <row r="850">
      <c r="A850" s="8" t="n">
        <v>42468</v>
      </c>
      <c r="B850" s="7" t="n">
        <v>4999.4</v>
      </c>
      <c r="C850" s="7" t="n">
        <v>5046.3</v>
      </c>
      <c r="D850" s="7" t="n">
        <v>4893.5</v>
      </c>
      <c r="E850" s="7" t="n">
        <v>4937.6</v>
      </c>
      <c r="F850" s="9" t="n">
        <v>2496564000</v>
      </c>
      <c r="G850" s="9" t="n">
        <v>17359850000</v>
      </c>
      <c r="H850">
        <f>H849*(E850/E849)</f>
        <v/>
      </c>
    </row>
    <row r="851">
      <c r="A851" s="8" t="n">
        <v>42475</v>
      </c>
      <c r="B851" s="7" t="n">
        <v>4937.6</v>
      </c>
      <c r="C851" s="7" t="n">
        <v>5157.5</v>
      </c>
      <c r="D851" s="7" t="n">
        <v>4910.8</v>
      </c>
      <c r="E851" s="7" t="n">
        <v>5157.5</v>
      </c>
      <c r="F851" s="9" t="n">
        <v>2706320000</v>
      </c>
      <c r="G851" s="9" t="n">
        <v>19472440000</v>
      </c>
      <c r="H851">
        <f>H850*(E851/E850)</f>
        <v/>
      </c>
    </row>
    <row r="852">
      <c r="A852" s="8" t="n">
        <v>42482</v>
      </c>
      <c r="B852" s="7" t="n">
        <v>5157.5</v>
      </c>
      <c r="C852" s="7" t="n">
        <v>5279.9</v>
      </c>
      <c r="D852" s="7" t="n">
        <v>5118.5</v>
      </c>
      <c r="E852" s="7" t="n">
        <v>5236.4</v>
      </c>
      <c r="F852" s="9" t="n">
        <v>3209001000</v>
      </c>
      <c r="G852" s="9" t="n">
        <v>22609270000</v>
      </c>
      <c r="H852">
        <f>H851*(E852/E851)</f>
        <v/>
      </c>
    </row>
    <row r="853">
      <c r="A853" s="8" t="n">
        <v>42489</v>
      </c>
      <c r="B853" s="7" t="n">
        <v>5236.4</v>
      </c>
      <c r="C853" s="7" t="n">
        <v>5281.6</v>
      </c>
      <c r="D853" s="7" t="n">
        <v>5179.5</v>
      </c>
      <c r="E853" s="7" t="n">
        <v>5252.2</v>
      </c>
      <c r="F853" s="9" t="n">
        <v>2630550000</v>
      </c>
      <c r="G853" s="9" t="n">
        <v>18905020000</v>
      </c>
      <c r="H853">
        <f>H852*(E853/E852)</f>
        <v/>
      </c>
    </row>
    <row r="854">
      <c r="A854" s="8" t="n">
        <v>42496</v>
      </c>
      <c r="B854" s="7" t="n">
        <v>5252.2</v>
      </c>
      <c r="C854" s="7" t="n">
        <v>5357</v>
      </c>
      <c r="D854" s="7" t="n">
        <v>5182.2</v>
      </c>
      <c r="E854" s="7" t="n">
        <v>5292</v>
      </c>
      <c r="F854" s="9" t="n">
        <v>3299945000</v>
      </c>
      <c r="G854" s="9" t="n">
        <v>24492880000</v>
      </c>
      <c r="H854">
        <f>H853*(E854/E853)</f>
        <v/>
      </c>
    </row>
    <row r="855">
      <c r="A855" s="8" t="n">
        <v>42503</v>
      </c>
      <c r="B855" s="7" t="n">
        <v>5292</v>
      </c>
      <c r="C855" s="7" t="n">
        <v>5425.2</v>
      </c>
      <c r="D855" s="7" t="n">
        <v>5264.4</v>
      </c>
      <c r="E855" s="7" t="n">
        <v>5329</v>
      </c>
      <c r="F855" s="9" t="n">
        <v>3201835000</v>
      </c>
      <c r="G855" s="9" t="n">
        <v>24592100000</v>
      </c>
      <c r="H855">
        <f>H854*(E855/E854)</f>
        <v/>
      </c>
    </row>
    <row r="856">
      <c r="A856" s="8" t="n">
        <v>42510</v>
      </c>
      <c r="B856" s="7" t="n">
        <v>5329</v>
      </c>
      <c r="C856" s="7" t="n">
        <v>5395.9</v>
      </c>
      <c r="D856" s="7" t="n">
        <v>5303.1</v>
      </c>
      <c r="E856" s="7" t="n">
        <v>5351.3</v>
      </c>
      <c r="F856" s="9" t="n">
        <v>2989193000</v>
      </c>
      <c r="G856" s="9" t="n">
        <v>21411420000</v>
      </c>
      <c r="H856">
        <f>H855*(E856/E855)</f>
        <v/>
      </c>
    </row>
    <row r="857">
      <c r="A857" s="8" t="n">
        <v>42517</v>
      </c>
      <c r="B857" s="7" t="n">
        <v>5351.3</v>
      </c>
      <c r="C857" s="7" t="n">
        <v>5427.7</v>
      </c>
      <c r="D857" s="7" t="n">
        <v>5295.6</v>
      </c>
      <c r="E857" s="7" t="n">
        <v>5405.9</v>
      </c>
      <c r="F857" s="9" t="n">
        <v>2897865000</v>
      </c>
      <c r="G857" s="9" t="n">
        <v>22106340000</v>
      </c>
      <c r="H857">
        <f>H856*(E857/E856)</f>
        <v/>
      </c>
    </row>
    <row r="858">
      <c r="A858" s="8" t="n">
        <v>42524</v>
      </c>
      <c r="B858" s="7" t="n">
        <v>5405.9</v>
      </c>
      <c r="C858" s="7" t="n">
        <v>5415</v>
      </c>
      <c r="D858" s="7" t="n">
        <v>5270.9</v>
      </c>
      <c r="E858" s="7" t="n">
        <v>5318.9</v>
      </c>
      <c r="F858" s="9" t="n">
        <v>3050592000</v>
      </c>
      <c r="G858" s="9" t="n">
        <v>21796100000</v>
      </c>
      <c r="H858">
        <f>H857*(E858/E857)</f>
        <v/>
      </c>
    </row>
    <row r="859">
      <c r="A859" s="8" t="n">
        <v>42531</v>
      </c>
      <c r="B859" s="7" t="n">
        <v>5318.9</v>
      </c>
      <c r="C859" s="7" t="n">
        <v>5392.5</v>
      </c>
      <c r="D859" s="7" t="n">
        <v>5294.2</v>
      </c>
      <c r="E859" s="7" t="n">
        <v>5312.6</v>
      </c>
      <c r="F859" s="9" t="n">
        <v>2783590000</v>
      </c>
      <c r="G859" s="9" t="n">
        <v>19498670000</v>
      </c>
      <c r="H859">
        <f>H858*(E859/E858)</f>
        <v/>
      </c>
    </row>
    <row r="860">
      <c r="A860" s="8" t="n">
        <v>42538</v>
      </c>
      <c r="B860" s="7" t="n">
        <v>5312.6</v>
      </c>
      <c r="C860" s="7" t="n">
        <v>5312.6</v>
      </c>
      <c r="D860" s="7" t="n">
        <v>5141</v>
      </c>
      <c r="E860" s="7" t="n">
        <v>5162.7</v>
      </c>
      <c r="F860" s="9" t="n">
        <v>3219285000</v>
      </c>
      <c r="G860" s="9" t="n">
        <v>20965730000</v>
      </c>
      <c r="H860">
        <f>H859*(E860/E859)</f>
        <v/>
      </c>
    </row>
    <row r="861">
      <c r="A861" s="8" t="n">
        <v>42545</v>
      </c>
      <c r="B861" s="7" t="n">
        <v>5162.7</v>
      </c>
      <c r="C861" s="7" t="n">
        <v>5325.4</v>
      </c>
      <c r="D861" s="7" t="n">
        <v>5080</v>
      </c>
      <c r="E861" s="7" t="n">
        <v>5113.2</v>
      </c>
      <c r="F861" s="9" t="n">
        <v>3224904000</v>
      </c>
      <c r="G861" s="9" t="n">
        <v>24221240000</v>
      </c>
      <c r="H861">
        <f>H860*(E861/E860)</f>
        <v/>
      </c>
    </row>
    <row r="862">
      <c r="A862" s="8" t="n">
        <v>42552</v>
      </c>
      <c r="B862" s="7" t="n">
        <v>5113.2</v>
      </c>
      <c r="C862" s="7" t="n">
        <v>5278.9</v>
      </c>
      <c r="D862" s="7" t="n">
        <v>5051</v>
      </c>
      <c r="E862" s="7" t="n">
        <v>5246.6</v>
      </c>
      <c r="F862" s="9" t="n">
        <v>3553670000</v>
      </c>
      <c r="G862" s="9" t="n">
        <v>25265770000</v>
      </c>
      <c r="H862">
        <f>H861*(E862/E861)</f>
        <v/>
      </c>
    </row>
    <row r="863">
      <c r="A863" s="8" t="n">
        <v>42559</v>
      </c>
      <c r="B863" s="7" t="n">
        <v>5246.6</v>
      </c>
      <c r="C863" s="7" t="n">
        <v>5282.3</v>
      </c>
      <c r="D863" s="7" t="n">
        <v>5148.7</v>
      </c>
      <c r="E863" s="7" t="n">
        <v>5230.5</v>
      </c>
      <c r="F863" s="9" t="n">
        <v>2646530000</v>
      </c>
      <c r="G863" s="9" t="n">
        <v>18999500000</v>
      </c>
      <c r="H863">
        <f>H862*(E863/E862)</f>
        <v/>
      </c>
    </row>
    <row r="864">
      <c r="A864" s="8" t="n">
        <v>42566</v>
      </c>
      <c r="B864" s="7" t="n">
        <v>5230.5</v>
      </c>
      <c r="C864" s="7" t="n">
        <v>5452.7</v>
      </c>
      <c r="D864" s="7" t="n">
        <v>5230.5</v>
      </c>
      <c r="E864" s="7" t="n">
        <v>5429.6</v>
      </c>
      <c r="F864" s="9" t="n">
        <v>2651613000</v>
      </c>
      <c r="G864" s="9" t="n">
        <v>18973370000</v>
      </c>
      <c r="H864">
        <f>H863*(E864/E863)</f>
        <v/>
      </c>
    </row>
    <row r="865">
      <c r="A865" s="8" t="n">
        <v>42573</v>
      </c>
      <c r="B865" s="7" t="n">
        <v>5429.6</v>
      </c>
      <c r="C865" s="7" t="n">
        <v>5531.9</v>
      </c>
      <c r="D865" s="7" t="n">
        <v>5428.9</v>
      </c>
      <c r="E865" s="7" t="n">
        <v>5498.2</v>
      </c>
      <c r="F865" s="9" t="n">
        <v>2723110000</v>
      </c>
      <c r="G865" s="9" t="n">
        <v>19421550000</v>
      </c>
      <c r="H865">
        <f>H864*(E865/E864)</f>
        <v/>
      </c>
    </row>
    <row r="866">
      <c r="A866" s="8" t="n">
        <v>42580</v>
      </c>
      <c r="B866" s="7" t="n">
        <v>5498.2</v>
      </c>
      <c r="C866" s="7" t="n">
        <v>5570.4</v>
      </c>
      <c r="D866" s="7" t="n">
        <v>5498.2</v>
      </c>
      <c r="E866" s="7" t="n">
        <v>5562.4</v>
      </c>
      <c r="F866" s="9" t="n">
        <v>2859549000</v>
      </c>
      <c r="G866" s="9" t="n">
        <v>22806790000</v>
      </c>
      <c r="H866">
        <f>H865*(E866/E865)</f>
        <v/>
      </c>
    </row>
    <row r="867">
      <c r="A867" s="8" t="n">
        <v>42587</v>
      </c>
      <c r="B867" s="7" t="n">
        <v>5562.4</v>
      </c>
      <c r="C867" s="7" t="n">
        <v>5611.2</v>
      </c>
      <c r="D867" s="7" t="n">
        <v>5465.7</v>
      </c>
      <c r="E867" s="7" t="n">
        <v>5497.4</v>
      </c>
      <c r="F867" s="9" t="n">
        <v>2760118000</v>
      </c>
      <c r="G867" s="9" t="n">
        <v>19919490000</v>
      </c>
      <c r="H867">
        <f>H866*(E867/E866)</f>
        <v/>
      </c>
    </row>
    <row r="868">
      <c r="A868" s="8" t="n">
        <v>42594</v>
      </c>
      <c r="B868" s="7" t="n">
        <v>5497.4</v>
      </c>
      <c r="C868" s="7" t="n">
        <v>5553.8</v>
      </c>
      <c r="D868" s="7" t="n">
        <v>5483.7</v>
      </c>
      <c r="E868" s="7" t="n">
        <v>5530.9</v>
      </c>
      <c r="F868" s="9" t="n">
        <v>2701534000</v>
      </c>
      <c r="G868" s="9" t="n">
        <v>21612380000</v>
      </c>
      <c r="H868">
        <f>H867*(E868/E867)</f>
        <v/>
      </c>
    </row>
    <row r="869">
      <c r="A869" s="8" t="n">
        <v>42601</v>
      </c>
      <c r="B869" s="7" t="n">
        <v>5530.9</v>
      </c>
      <c r="C869" s="7" t="n">
        <v>5549.8</v>
      </c>
      <c r="D869" s="7" t="n">
        <v>5498.7</v>
      </c>
      <c r="E869" s="7" t="n">
        <v>5526.7</v>
      </c>
      <c r="F869" s="9" t="n">
        <v>2814840000</v>
      </c>
      <c r="G869" s="9" t="n">
        <v>21593190000</v>
      </c>
      <c r="H869">
        <f>H868*(E869/E868)</f>
        <v/>
      </c>
    </row>
    <row r="870">
      <c r="A870" s="8" t="n">
        <v>42608</v>
      </c>
      <c r="B870" s="7" t="n">
        <v>5526.7</v>
      </c>
      <c r="C870" s="7" t="n">
        <v>5574</v>
      </c>
      <c r="D870" s="7" t="n">
        <v>5508.7</v>
      </c>
      <c r="E870" s="7" t="n">
        <v>5515.5</v>
      </c>
      <c r="F870" s="9" t="n">
        <v>3046142000</v>
      </c>
      <c r="G870" s="9" t="n">
        <v>22566670000</v>
      </c>
      <c r="H870">
        <f>H869*(E870/E869)</f>
        <v/>
      </c>
    </row>
    <row r="871">
      <c r="A871" s="8" t="n">
        <v>42615</v>
      </c>
      <c r="B871" s="7" t="n">
        <v>5515.5</v>
      </c>
      <c r="C871" s="7" t="n">
        <v>5516.7</v>
      </c>
      <c r="D871" s="7" t="n">
        <v>5361.7</v>
      </c>
      <c r="E871" s="7" t="n">
        <v>5372.8</v>
      </c>
      <c r="F871" s="9" t="n">
        <v>3082719000</v>
      </c>
      <c r="G871" s="9" t="n">
        <v>22520240000</v>
      </c>
      <c r="H871">
        <f>H870*(E871/E870)</f>
        <v/>
      </c>
    </row>
    <row r="872">
      <c r="A872" s="8" t="n">
        <v>42622</v>
      </c>
      <c r="B872" s="7" t="n">
        <v>5372.8</v>
      </c>
      <c r="C872" s="7" t="n">
        <v>5440.2</v>
      </c>
      <c r="D872" s="7" t="n">
        <v>5332.4</v>
      </c>
      <c r="E872" s="7" t="n">
        <v>5339.2</v>
      </c>
      <c r="F872" s="9" t="n">
        <v>3110912000</v>
      </c>
      <c r="G872" s="9" t="n">
        <v>21703350000</v>
      </c>
      <c r="H872">
        <f>H871*(E872/E871)</f>
        <v/>
      </c>
    </row>
    <row r="873">
      <c r="A873" s="8" t="n">
        <v>42629</v>
      </c>
      <c r="B873" s="7" t="n">
        <v>5339.2</v>
      </c>
      <c r="C873" s="7" t="n">
        <v>5339.2</v>
      </c>
      <c r="D873" s="7" t="n">
        <v>5192.2</v>
      </c>
      <c r="E873" s="7" t="n">
        <v>5296.7</v>
      </c>
      <c r="F873" s="9" t="n">
        <v>3818024000</v>
      </c>
      <c r="G873" s="9" t="n">
        <v>27310800000</v>
      </c>
      <c r="H873">
        <f>H872*(E873/E872)</f>
        <v/>
      </c>
    </row>
    <row r="874">
      <c r="A874" s="8" t="n">
        <v>42636</v>
      </c>
      <c r="B874" s="7" t="n">
        <v>5296.7</v>
      </c>
      <c r="C874" s="7" t="n">
        <v>5434.3</v>
      </c>
      <c r="D874" s="7" t="n">
        <v>5273</v>
      </c>
      <c r="E874" s="7" t="n">
        <v>5431.3</v>
      </c>
      <c r="F874" s="9" t="n">
        <v>2809475000</v>
      </c>
      <c r="G874" s="9" t="n">
        <v>19889620000</v>
      </c>
      <c r="H874">
        <f>H873*(E874/E873)</f>
        <v/>
      </c>
    </row>
    <row r="875">
      <c r="A875" s="8" t="n">
        <v>42643</v>
      </c>
      <c r="B875" s="7" t="n">
        <v>5431.3</v>
      </c>
      <c r="C875" s="7" t="n">
        <v>5473.3</v>
      </c>
      <c r="D875" s="7" t="n">
        <v>5372.3</v>
      </c>
      <c r="E875" s="7" t="n">
        <v>5435.9</v>
      </c>
      <c r="F875" s="9" t="n">
        <v>2929663000</v>
      </c>
      <c r="G875" s="9" t="n">
        <v>22145960000</v>
      </c>
      <c r="H875">
        <f>H874*(E875/E874)</f>
        <v/>
      </c>
    </row>
    <row r="876">
      <c r="A876" s="8" t="n">
        <v>42650</v>
      </c>
      <c r="B876" s="7" t="n">
        <v>5435.9</v>
      </c>
      <c r="C876" s="7" t="n">
        <v>5493.1</v>
      </c>
      <c r="D876" s="7" t="n">
        <v>5435.9</v>
      </c>
      <c r="E876" s="7" t="n">
        <v>5467.4</v>
      </c>
      <c r="F876" s="9" t="n">
        <v>2797313000</v>
      </c>
      <c r="G876" s="9" t="n">
        <v>18852450000</v>
      </c>
      <c r="H876">
        <f>H875*(E876/E875)</f>
        <v/>
      </c>
    </row>
    <row r="877">
      <c r="A877" s="8" t="n">
        <v>42657</v>
      </c>
      <c r="B877" s="7" t="n">
        <v>5467.4</v>
      </c>
      <c r="C877" s="7" t="n">
        <v>5498</v>
      </c>
      <c r="D877" s="7" t="n">
        <v>5420.8</v>
      </c>
      <c r="E877" s="7" t="n">
        <v>5434</v>
      </c>
      <c r="F877" s="9" t="n">
        <v>2838691000</v>
      </c>
      <c r="G877" s="9" t="n">
        <v>19379210000</v>
      </c>
      <c r="H877">
        <f>H876*(E877/E876)</f>
        <v/>
      </c>
    </row>
    <row r="878">
      <c r="A878" s="8" t="n">
        <v>42664</v>
      </c>
      <c r="B878" s="7" t="n">
        <v>5434</v>
      </c>
      <c r="C878" s="7" t="n">
        <v>5457.9</v>
      </c>
      <c r="D878" s="7" t="n">
        <v>5386.1</v>
      </c>
      <c r="E878" s="7" t="n">
        <v>5430.3</v>
      </c>
      <c r="F878" s="9" t="n">
        <v>2884131000</v>
      </c>
      <c r="G878" s="9" t="n">
        <v>19905800000</v>
      </c>
      <c r="H878">
        <f>H877*(E878/E877)</f>
        <v/>
      </c>
    </row>
    <row r="879">
      <c r="A879" s="8" t="n">
        <v>42671</v>
      </c>
      <c r="B879" s="7" t="n">
        <v>5430.3</v>
      </c>
      <c r="C879" s="7" t="n">
        <v>5455.7</v>
      </c>
      <c r="D879" s="7" t="n">
        <v>5261.4</v>
      </c>
      <c r="E879" s="7" t="n">
        <v>5283.8</v>
      </c>
      <c r="F879" s="9" t="n">
        <v>3171519000</v>
      </c>
      <c r="G879" s="9" t="n">
        <v>23298180000</v>
      </c>
      <c r="H879">
        <f>H878*(E879/E878)</f>
        <v/>
      </c>
    </row>
    <row r="880">
      <c r="A880" s="8" t="n">
        <v>42678</v>
      </c>
      <c r="B880" s="7" t="n">
        <v>5283.8</v>
      </c>
      <c r="C880" s="7" t="n">
        <v>5329.1</v>
      </c>
      <c r="D880" s="7" t="n">
        <v>5178</v>
      </c>
      <c r="E880" s="7" t="n">
        <v>5180.8</v>
      </c>
      <c r="F880" s="9" t="n">
        <v>2906541000</v>
      </c>
      <c r="G880" s="9" t="n">
        <v>19429650000</v>
      </c>
      <c r="H880">
        <f>H879*(E880/E879)</f>
        <v/>
      </c>
    </row>
    <row r="881">
      <c r="A881" s="8" t="n">
        <v>42685</v>
      </c>
      <c r="B881" s="7" t="n">
        <v>5180.8</v>
      </c>
      <c r="C881" s="7" t="n">
        <v>5370.7</v>
      </c>
      <c r="D881" s="7" t="n">
        <v>5052.1</v>
      </c>
      <c r="E881" s="7" t="n">
        <v>5370.7</v>
      </c>
      <c r="F881" s="9" t="n">
        <v>3936488000</v>
      </c>
      <c r="G881" s="9" t="n">
        <v>29062120000</v>
      </c>
      <c r="H881">
        <f>H880*(E881/E880)</f>
        <v/>
      </c>
    </row>
    <row r="882">
      <c r="A882" s="8" t="n">
        <v>42692</v>
      </c>
      <c r="B882" s="7" t="n">
        <v>5370.7</v>
      </c>
      <c r="C882" s="7" t="n">
        <v>5370.7</v>
      </c>
      <c r="D882" s="7" t="n">
        <v>5286.2</v>
      </c>
      <c r="E882" s="7" t="n">
        <v>5359.4</v>
      </c>
      <c r="F882" s="9" t="n">
        <v>3444248000</v>
      </c>
      <c r="G882" s="9" t="n">
        <v>24182970000</v>
      </c>
      <c r="H882">
        <f>H881*(E882/E881)</f>
        <v/>
      </c>
    </row>
    <row r="883">
      <c r="A883" s="8" t="n">
        <v>42699</v>
      </c>
      <c r="B883" s="7" t="n">
        <v>5359.4</v>
      </c>
      <c r="C883" s="7" t="n">
        <v>5520.9</v>
      </c>
      <c r="D883" s="7" t="n">
        <v>5334.9</v>
      </c>
      <c r="E883" s="7" t="n">
        <v>5507.8</v>
      </c>
      <c r="F883" s="9" t="n">
        <v>3200018000</v>
      </c>
      <c r="G883" s="9" t="n">
        <v>23077150000</v>
      </c>
      <c r="H883">
        <f>H882*(E883/E882)</f>
        <v/>
      </c>
    </row>
    <row r="884">
      <c r="A884" s="8" t="n">
        <v>42706</v>
      </c>
      <c r="B884" s="7" t="n">
        <v>5507.8</v>
      </c>
      <c r="C884" s="7" t="n">
        <v>5507.8</v>
      </c>
      <c r="D884" s="7" t="n">
        <v>5423.2</v>
      </c>
      <c r="E884" s="7" t="n">
        <v>5444</v>
      </c>
      <c r="F884" s="9" t="n">
        <v>3799215000</v>
      </c>
      <c r="G884" s="9" t="n">
        <v>27045170000</v>
      </c>
      <c r="H884">
        <f>H883*(E884/E883)</f>
        <v/>
      </c>
    </row>
    <row r="885">
      <c r="A885" s="8" t="n">
        <v>42713</v>
      </c>
      <c r="B885" s="7" t="n">
        <v>5444</v>
      </c>
      <c r="C885" s="7" t="n">
        <v>5566.1</v>
      </c>
      <c r="D885" s="7" t="n">
        <v>5383.8</v>
      </c>
      <c r="E885" s="7" t="n">
        <v>5560.6</v>
      </c>
      <c r="F885" s="9" t="n">
        <v>3253220000</v>
      </c>
      <c r="G885" s="9" t="n">
        <v>23268200000</v>
      </c>
      <c r="H885">
        <f>H884*(E885/E884)</f>
        <v/>
      </c>
    </row>
    <row r="886">
      <c r="A886" s="8" t="n">
        <v>42720</v>
      </c>
      <c r="B886" s="7" t="n">
        <v>5560.6</v>
      </c>
      <c r="C886" s="7" t="n">
        <v>5595.7</v>
      </c>
      <c r="D886" s="7" t="n">
        <v>5510</v>
      </c>
      <c r="E886" s="7" t="n">
        <v>5532.9</v>
      </c>
      <c r="F886" s="9" t="n">
        <v>3937451000</v>
      </c>
      <c r="G886" s="9" t="n">
        <v>26800400000</v>
      </c>
      <c r="H886">
        <f>H885*(E886/E885)</f>
        <v/>
      </c>
    </row>
    <row r="887">
      <c r="A887" s="8" t="n">
        <v>42727</v>
      </c>
      <c r="B887" s="7" t="n">
        <v>5532.9</v>
      </c>
      <c r="C887" s="7" t="n">
        <v>5649.8</v>
      </c>
      <c r="D887" s="7" t="n">
        <v>5530.9</v>
      </c>
      <c r="E887" s="7" t="n">
        <v>5627.9</v>
      </c>
      <c r="F887" s="9" t="n">
        <v>2704509000</v>
      </c>
      <c r="G887" s="9" t="n">
        <v>20512900000</v>
      </c>
      <c r="H887">
        <f>H886*(E887/E886)</f>
        <v/>
      </c>
    </row>
    <row r="888">
      <c r="A888" s="8" t="n">
        <v>42734</v>
      </c>
      <c r="B888" s="7" t="n">
        <v>5627.9</v>
      </c>
      <c r="C888" s="7" t="n">
        <v>5699.1</v>
      </c>
      <c r="D888" s="7" t="n">
        <v>5627.9</v>
      </c>
      <c r="E888" s="7" t="n">
        <v>5665.8</v>
      </c>
      <c r="F888" s="9" t="n">
        <v>996214500</v>
      </c>
      <c r="G888" s="9" t="n">
        <v>7206827000</v>
      </c>
      <c r="H888">
        <f>H887*(E888/E887)</f>
        <v/>
      </c>
    </row>
    <row r="889">
      <c r="A889" s="8" t="n">
        <v>42741</v>
      </c>
      <c r="B889" s="7" t="n">
        <v>5667.4</v>
      </c>
      <c r="C889" s="7" t="n">
        <v>5765.2</v>
      </c>
      <c r="D889" s="7" t="n">
        <v>5667.4</v>
      </c>
      <c r="E889" s="7" t="n">
        <v>5755.6</v>
      </c>
      <c r="F889" s="9" t="n">
        <v>1691182000</v>
      </c>
      <c r="G889" s="9" t="n">
        <v>12224610000</v>
      </c>
      <c r="H889">
        <f>H888*(E889/E888)</f>
        <v/>
      </c>
    </row>
    <row r="890">
      <c r="A890" s="8" t="n">
        <v>42748</v>
      </c>
      <c r="B890" s="7" t="n">
        <v>5755.6</v>
      </c>
      <c r="C890" s="7" t="n">
        <v>5827.5</v>
      </c>
      <c r="D890" s="7" t="n">
        <v>5710</v>
      </c>
      <c r="E890" s="7" t="n">
        <v>5721.1</v>
      </c>
      <c r="F890" s="9" t="n">
        <v>2762164000</v>
      </c>
      <c r="G890" s="9" t="n">
        <v>19863590000</v>
      </c>
      <c r="H890">
        <f>H889*(E890/E889)</f>
        <v/>
      </c>
    </row>
    <row r="891">
      <c r="A891" s="8" t="n">
        <v>42755</v>
      </c>
      <c r="B891" s="7" t="n">
        <v>5721.1</v>
      </c>
      <c r="C891" s="7" t="n">
        <v>5763.4</v>
      </c>
      <c r="D891" s="7" t="n">
        <v>5646.6</v>
      </c>
      <c r="E891" s="7" t="n">
        <v>5654.8</v>
      </c>
      <c r="F891" s="9" t="n">
        <v>2671620000</v>
      </c>
      <c r="G891" s="9" t="n">
        <v>19033840000</v>
      </c>
      <c r="H891">
        <f>H890*(E891/E890)</f>
        <v/>
      </c>
    </row>
    <row r="892">
      <c r="A892" s="8" t="n">
        <v>42762</v>
      </c>
      <c r="B892" s="7" t="n">
        <v>5654.8</v>
      </c>
      <c r="C892" s="7" t="n">
        <v>5714.2</v>
      </c>
      <c r="D892" s="7" t="n">
        <v>5604.3</v>
      </c>
      <c r="E892" s="7" t="n">
        <v>5714</v>
      </c>
      <c r="F892" s="9" t="n">
        <v>2345757000</v>
      </c>
      <c r="G892" s="9" t="n">
        <v>18754950000</v>
      </c>
      <c r="H892">
        <f>H891*(E892/E891)</f>
        <v/>
      </c>
    </row>
    <row r="893">
      <c r="A893" s="8" t="n">
        <v>42769</v>
      </c>
      <c r="B893" s="7" t="n">
        <v>5714</v>
      </c>
      <c r="C893" s="7" t="n">
        <v>5714</v>
      </c>
      <c r="D893" s="7" t="n">
        <v>5606.2</v>
      </c>
      <c r="E893" s="7" t="n">
        <v>5621.6</v>
      </c>
      <c r="F893" s="9" t="n">
        <v>2930653000</v>
      </c>
      <c r="G893" s="9" t="n">
        <v>20677290000</v>
      </c>
      <c r="H893">
        <f>H892*(E893/E892)</f>
        <v/>
      </c>
    </row>
    <row r="894">
      <c r="A894" s="8" t="n">
        <v>42776</v>
      </c>
      <c r="B894" s="7" t="n">
        <v>5621.6</v>
      </c>
      <c r="C894" s="7" t="n">
        <v>5721.4</v>
      </c>
      <c r="D894" s="7" t="n">
        <v>5582.7</v>
      </c>
      <c r="E894" s="7" t="n">
        <v>5720.6</v>
      </c>
      <c r="F894" s="9" t="n">
        <v>2924031000</v>
      </c>
      <c r="G894" s="9" t="n">
        <v>21080270000</v>
      </c>
      <c r="H894">
        <f>H893*(E894/E893)</f>
        <v/>
      </c>
    </row>
    <row r="895">
      <c r="A895" s="8" t="n">
        <v>42783</v>
      </c>
      <c r="B895" s="7" t="n">
        <v>5720.6</v>
      </c>
      <c r="C895" s="7" t="n">
        <v>5833.2</v>
      </c>
      <c r="D895" s="7" t="n">
        <v>5720.6</v>
      </c>
      <c r="E895" s="7" t="n">
        <v>5805.8</v>
      </c>
      <c r="F895" s="9" t="n">
        <v>3247702000</v>
      </c>
      <c r="G895" s="9" t="n">
        <v>24968180000</v>
      </c>
      <c r="H895">
        <f>H894*(E895/E894)</f>
        <v/>
      </c>
    </row>
    <row r="896">
      <c r="A896" s="8" t="n">
        <v>42790</v>
      </c>
      <c r="B896" s="7" t="n">
        <v>5805.8</v>
      </c>
      <c r="C896" s="7" t="n">
        <v>5810.1</v>
      </c>
      <c r="D896" s="7" t="n">
        <v>5729.9</v>
      </c>
      <c r="E896" s="7" t="n">
        <v>5739</v>
      </c>
      <c r="F896" s="9" t="n">
        <v>3617232000</v>
      </c>
      <c r="G896" s="9" t="n">
        <v>27866860000</v>
      </c>
      <c r="H896">
        <f>H895*(E896/E895)</f>
        <v/>
      </c>
    </row>
    <row r="897">
      <c r="A897" s="8" t="n">
        <v>42797</v>
      </c>
      <c r="B897" s="7" t="n">
        <v>5739</v>
      </c>
      <c r="C897" s="7" t="n">
        <v>5776.6</v>
      </c>
      <c r="D897" s="7" t="n">
        <v>5675</v>
      </c>
      <c r="E897" s="7" t="n">
        <v>5729.6</v>
      </c>
      <c r="F897" s="9" t="n">
        <v>3834069000</v>
      </c>
      <c r="G897" s="9" t="n">
        <v>26222250000</v>
      </c>
      <c r="H897">
        <f>H896*(E897/E896)</f>
        <v/>
      </c>
    </row>
    <row r="898">
      <c r="A898" s="8" t="n">
        <v>42804</v>
      </c>
      <c r="B898" s="7" t="n">
        <v>5729.6</v>
      </c>
      <c r="C898" s="7" t="n">
        <v>5781.2</v>
      </c>
      <c r="D898" s="7" t="n">
        <v>5715.5</v>
      </c>
      <c r="E898" s="7" t="n">
        <v>5775.6</v>
      </c>
      <c r="F898" s="9" t="n">
        <v>3105478000</v>
      </c>
      <c r="G898" s="9" t="n">
        <v>20538980000</v>
      </c>
      <c r="H898">
        <f>H897*(E898/E897)</f>
        <v/>
      </c>
    </row>
    <row r="899">
      <c r="A899" s="8" t="n">
        <v>42811</v>
      </c>
      <c r="B899" s="7" t="n">
        <v>5775.6</v>
      </c>
      <c r="C899" s="7" t="n">
        <v>5815</v>
      </c>
      <c r="D899" s="7" t="n">
        <v>5727.7</v>
      </c>
      <c r="E899" s="7" t="n">
        <v>5799.6</v>
      </c>
      <c r="F899" s="9" t="n">
        <v>3745836000</v>
      </c>
      <c r="G899" s="9" t="n">
        <v>26937720000</v>
      </c>
      <c r="H899">
        <f>H898*(E899/E898)</f>
        <v/>
      </c>
    </row>
    <row r="900">
      <c r="A900" s="8" t="n">
        <v>42818</v>
      </c>
      <c r="B900" s="7" t="n">
        <v>5799.6</v>
      </c>
      <c r="C900" s="7" t="n">
        <v>5799.6</v>
      </c>
      <c r="D900" s="7" t="n">
        <v>5681</v>
      </c>
      <c r="E900" s="7" t="n">
        <v>5753.5</v>
      </c>
      <c r="F900" s="9" t="n">
        <v>3148801000</v>
      </c>
      <c r="G900" s="9" t="n">
        <v>20689980000</v>
      </c>
      <c r="H900">
        <f>H899*(E900/E899)</f>
        <v/>
      </c>
    </row>
    <row r="901">
      <c r="A901" s="8" t="n">
        <v>42825</v>
      </c>
      <c r="B901" s="7" t="n">
        <v>5753.5</v>
      </c>
      <c r="C901" s="7" t="n">
        <v>5901.5</v>
      </c>
      <c r="D901" s="7" t="n">
        <v>5698.1</v>
      </c>
      <c r="E901" s="7" t="n">
        <v>5864.9</v>
      </c>
      <c r="F901" s="9" t="n">
        <v>3207492000</v>
      </c>
      <c r="G901" s="9" t="n">
        <v>23916030000</v>
      </c>
      <c r="H901">
        <f>H900*(E901/E900)</f>
        <v/>
      </c>
    </row>
    <row r="902">
      <c r="A902" s="8" t="n">
        <v>42832</v>
      </c>
      <c r="B902" s="7" t="n">
        <v>5864.9</v>
      </c>
      <c r="C902" s="7" t="n">
        <v>5888.6</v>
      </c>
      <c r="D902" s="7" t="n">
        <v>5833</v>
      </c>
      <c r="E902" s="7" t="n">
        <v>5862.5</v>
      </c>
      <c r="F902" s="9" t="n">
        <v>2810702000</v>
      </c>
      <c r="G902" s="9" t="n">
        <v>19397150000</v>
      </c>
      <c r="H902">
        <f>H901*(E902/E901)</f>
        <v/>
      </c>
    </row>
    <row r="903">
      <c r="A903" s="8" t="n">
        <v>42838</v>
      </c>
      <c r="B903" s="7" t="n">
        <v>5862.5</v>
      </c>
      <c r="C903" s="7" t="n">
        <v>5950.1</v>
      </c>
      <c r="D903" s="7" t="n">
        <v>5862.5</v>
      </c>
      <c r="E903" s="7" t="n">
        <v>5890</v>
      </c>
      <c r="F903" s="9" t="n">
        <v>2531033000</v>
      </c>
      <c r="G903" s="9" t="n">
        <v>18126450000</v>
      </c>
      <c r="H903">
        <f>H902*(E903/E902)</f>
        <v/>
      </c>
    </row>
    <row r="904">
      <c r="A904" s="8" t="n">
        <v>42846</v>
      </c>
      <c r="B904" s="7" t="n">
        <v>5889.9</v>
      </c>
      <c r="C904" s="7" t="n">
        <v>5889.9</v>
      </c>
      <c r="D904" s="7" t="n">
        <v>5790.6</v>
      </c>
      <c r="E904" s="7" t="n">
        <v>5854.1</v>
      </c>
      <c r="F904" s="9" t="n">
        <v>2747206000</v>
      </c>
      <c r="G904" s="9" t="n">
        <v>19172700000</v>
      </c>
      <c r="H904">
        <f>H903*(E904/E903)</f>
        <v/>
      </c>
    </row>
    <row r="905">
      <c r="A905" s="8" t="n">
        <v>42853</v>
      </c>
      <c r="B905" s="7" t="n">
        <v>5854.1</v>
      </c>
      <c r="C905" s="7" t="n">
        <v>5924.2</v>
      </c>
      <c r="D905" s="7" t="n">
        <v>5853.8</v>
      </c>
      <c r="E905" s="7" t="n">
        <v>5924.1</v>
      </c>
      <c r="F905" s="9" t="n">
        <v>2452967000</v>
      </c>
      <c r="G905" s="9" t="n">
        <v>19224710000</v>
      </c>
      <c r="H905">
        <f>H904*(E905/E904)</f>
        <v/>
      </c>
    </row>
    <row r="906">
      <c r="A906" s="8" t="n">
        <v>42860</v>
      </c>
      <c r="B906" s="7" t="n">
        <v>5924.1</v>
      </c>
      <c r="C906" s="7" t="n">
        <v>5956.5</v>
      </c>
      <c r="D906" s="7" t="n">
        <v>5827.2</v>
      </c>
      <c r="E906" s="7" t="n">
        <v>5836.6</v>
      </c>
      <c r="F906" s="9" t="n">
        <v>3542467000</v>
      </c>
      <c r="G906" s="9" t="n">
        <v>26468320000</v>
      </c>
      <c r="H906">
        <f>H905*(E906/E905)</f>
        <v/>
      </c>
    </row>
    <row r="907">
      <c r="A907" s="8" t="n">
        <v>42867</v>
      </c>
      <c r="B907" s="7" t="n">
        <v>5836.6</v>
      </c>
      <c r="C907" s="7" t="n">
        <v>5922.5</v>
      </c>
      <c r="D907" s="7" t="n">
        <v>5815.6</v>
      </c>
      <c r="E907" s="7" t="n">
        <v>5836.9</v>
      </c>
      <c r="F907" s="9" t="n">
        <v>3510308000</v>
      </c>
      <c r="G907" s="9" t="n">
        <v>27564320000</v>
      </c>
      <c r="H907">
        <f>H906*(E907/E906)</f>
        <v/>
      </c>
    </row>
    <row r="908">
      <c r="A908" s="8" t="n">
        <v>42874</v>
      </c>
      <c r="B908" s="7" t="n">
        <v>5836.9</v>
      </c>
      <c r="C908" s="7" t="n">
        <v>5871.6</v>
      </c>
      <c r="D908" s="7" t="n">
        <v>5697.6</v>
      </c>
      <c r="E908" s="7" t="n">
        <v>5727.4</v>
      </c>
      <c r="F908" s="9" t="n">
        <v>3264656000</v>
      </c>
      <c r="G908" s="9" t="n">
        <v>24216230000</v>
      </c>
      <c r="H908">
        <f>H907*(E908/E907)</f>
        <v/>
      </c>
    </row>
    <row r="909">
      <c r="A909" s="8" t="n">
        <v>42881</v>
      </c>
      <c r="B909" s="7" t="n">
        <v>5727.4</v>
      </c>
      <c r="C909" s="7" t="n">
        <v>5795.7</v>
      </c>
      <c r="D909" s="7" t="n">
        <v>5727.4</v>
      </c>
      <c r="E909" s="7" t="n">
        <v>5751.7</v>
      </c>
      <c r="F909" s="9" t="n">
        <v>3031933000</v>
      </c>
      <c r="G909" s="9" t="n">
        <v>23127210000</v>
      </c>
      <c r="H909">
        <f>H908*(E909/E908)</f>
        <v/>
      </c>
    </row>
    <row r="910">
      <c r="A910" s="8" t="n">
        <v>42888</v>
      </c>
      <c r="B910" s="7" t="n">
        <v>5751.2</v>
      </c>
      <c r="C910" s="7" t="n">
        <v>5793.7</v>
      </c>
      <c r="D910" s="7" t="n">
        <v>5679.8</v>
      </c>
      <c r="E910" s="7" t="n">
        <v>5788.1</v>
      </c>
      <c r="F910" s="9" t="n">
        <v>3138476000</v>
      </c>
      <c r="G910" s="9" t="n">
        <v>24694480000</v>
      </c>
      <c r="H910">
        <f>H909*(E910/E909)</f>
        <v/>
      </c>
    </row>
    <row r="911">
      <c r="A911" s="8" t="n">
        <v>42895</v>
      </c>
      <c r="B911" s="7" t="n">
        <v>5788.1</v>
      </c>
      <c r="C911" s="7" t="n">
        <v>5788.1</v>
      </c>
      <c r="D911" s="7" t="n">
        <v>5629.8</v>
      </c>
      <c r="E911" s="7" t="n">
        <v>5677.8</v>
      </c>
      <c r="F911" s="9" t="n">
        <v>3123952000</v>
      </c>
      <c r="G911" s="9" t="n">
        <v>23411640000</v>
      </c>
      <c r="H911">
        <f>H910*(E911/E910)</f>
        <v/>
      </c>
    </row>
    <row r="912">
      <c r="A912" s="8" t="n">
        <v>42902</v>
      </c>
      <c r="B912" s="7" t="n">
        <v>5677.8</v>
      </c>
      <c r="C912" s="7" t="n">
        <v>5836.4</v>
      </c>
      <c r="D912" s="7" t="n">
        <v>5677.8</v>
      </c>
      <c r="E912" s="7" t="n">
        <v>5774</v>
      </c>
      <c r="F912" s="9" t="n">
        <v>3985856000</v>
      </c>
      <c r="G912" s="9" t="n">
        <v>30291540000</v>
      </c>
      <c r="H912">
        <f>H911*(E912/E911)</f>
        <v/>
      </c>
    </row>
    <row r="913">
      <c r="A913" s="8" t="n">
        <v>42909</v>
      </c>
      <c r="B913" s="7" t="n">
        <v>5774</v>
      </c>
      <c r="C913" s="7" t="n">
        <v>5809.3</v>
      </c>
      <c r="D913" s="7" t="n">
        <v>5665.3</v>
      </c>
      <c r="E913" s="7" t="n">
        <v>5715.9</v>
      </c>
      <c r="F913" s="9" t="n">
        <v>3036077000</v>
      </c>
      <c r="G913" s="9" t="n">
        <v>22779970000</v>
      </c>
      <c r="H913">
        <f>H912*(E913/E912)</f>
        <v/>
      </c>
    </row>
    <row r="914">
      <c r="A914" s="8" t="n">
        <v>42916</v>
      </c>
      <c r="B914" s="7" t="n">
        <v>5715.9</v>
      </c>
      <c r="C914" s="7" t="n">
        <v>5819.7</v>
      </c>
      <c r="D914" s="7" t="n">
        <v>5685.2</v>
      </c>
      <c r="E914" s="7" t="n">
        <v>5721.5</v>
      </c>
      <c r="F914" s="9" t="n">
        <v>3356918000</v>
      </c>
      <c r="G914" s="9" t="n">
        <v>25778130000</v>
      </c>
      <c r="H914">
        <f>H913*(E914/E913)</f>
        <v/>
      </c>
    </row>
    <row r="915">
      <c r="A915" s="8" t="n">
        <v>42923</v>
      </c>
      <c r="B915" s="7" t="n">
        <v>5721.5</v>
      </c>
      <c r="C915" s="7" t="n">
        <v>5792</v>
      </c>
      <c r="D915" s="7" t="n">
        <v>5676</v>
      </c>
      <c r="E915" s="7" t="n">
        <v>5703.6</v>
      </c>
      <c r="F915" s="9" t="n">
        <v>2882244000</v>
      </c>
      <c r="G915" s="9" t="n">
        <v>21589130000</v>
      </c>
      <c r="H915">
        <f>H914*(E915/E914)</f>
        <v/>
      </c>
    </row>
    <row r="916">
      <c r="A916" s="8" t="n">
        <v>42930</v>
      </c>
      <c r="B916" s="7" t="n">
        <v>5703.6</v>
      </c>
      <c r="C916" s="7" t="n">
        <v>5778.8</v>
      </c>
      <c r="D916" s="7" t="n">
        <v>5665.6</v>
      </c>
      <c r="E916" s="7" t="n">
        <v>5765.1</v>
      </c>
      <c r="F916" s="9" t="n">
        <v>2771025000</v>
      </c>
      <c r="G916" s="9" t="n">
        <v>20985480000</v>
      </c>
      <c r="H916">
        <f>H915*(E916/E915)</f>
        <v/>
      </c>
    </row>
    <row r="917">
      <c r="A917" s="8" t="n">
        <v>42937</v>
      </c>
      <c r="B917" s="7" t="n">
        <v>5765.1</v>
      </c>
      <c r="C917" s="7" t="n">
        <v>5773.7</v>
      </c>
      <c r="D917" s="7" t="n">
        <v>5678.7</v>
      </c>
      <c r="E917" s="7" t="n">
        <v>5722.8</v>
      </c>
      <c r="F917" s="9" t="n">
        <v>2799117000</v>
      </c>
      <c r="G917" s="9" t="n">
        <v>21466670000</v>
      </c>
      <c r="H917">
        <f>H916*(E917/E916)</f>
        <v/>
      </c>
    </row>
    <row r="918">
      <c r="A918" s="8" t="n">
        <v>42944</v>
      </c>
      <c r="B918" s="7" t="n">
        <v>5722.8</v>
      </c>
      <c r="C918" s="7" t="n">
        <v>5799.6</v>
      </c>
      <c r="D918" s="7" t="n">
        <v>5653.3</v>
      </c>
      <c r="E918" s="7" t="n">
        <v>5702.8</v>
      </c>
      <c r="F918" s="9" t="n">
        <v>2791129000</v>
      </c>
      <c r="G918" s="9" t="n">
        <v>20642260000</v>
      </c>
      <c r="H918">
        <f>H917*(E918/E917)</f>
        <v/>
      </c>
    </row>
    <row r="919">
      <c r="A919" s="8" t="n">
        <v>42951</v>
      </c>
      <c r="B919" s="7" t="n">
        <v>5702.8</v>
      </c>
      <c r="C919" s="7" t="n">
        <v>5779.6</v>
      </c>
      <c r="D919" s="7" t="n">
        <v>5701.8</v>
      </c>
      <c r="E919" s="7" t="n">
        <v>5720.6</v>
      </c>
      <c r="F919" s="9" t="n">
        <v>2855582000</v>
      </c>
      <c r="G919" s="9" t="n">
        <v>21164450000</v>
      </c>
      <c r="H919">
        <f>H918*(E919/E918)</f>
        <v/>
      </c>
    </row>
    <row r="920">
      <c r="A920" s="8" t="n">
        <v>42958</v>
      </c>
      <c r="B920" s="7" t="n">
        <v>5720.6</v>
      </c>
      <c r="C920" s="7" t="n">
        <v>5795.5</v>
      </c>
      <c r="D920" s="7" t="n">
        <v>5674</v>
      </c>
      <c r="E920" s="7" t="n">
        <v>5693.1</v>
      </c>
      <c r="F920" s="9" t="n">
        <v>2553893000</v>
      </c>
      <c r="G920" s="9" t="n">
        <v>19684930000</v>
      </c>
      <c r="H920">
        <f>H919*(E920/E919)</f>
        <v/>
      </c>
    </row>
    <row r="921">
      <c r="A921" s="8" t="n">
        <v>42965</v>
      </c>
      <c r="B921" s="7" t="n">
        <v>5693.1</v>
      </c>
      <c r="C921" s="7" t="n">
        <v>5806.3</v>
      </c>
      <c r="D921" s="7" t="n">
        <v>5693.1</v>
      </c>
      <c r="E921" s="7" t="n">
        <v>5747.1</v>
      </c>
      <c r="F921" s="9" t="n">
        <v>2922916000</v>
      </c>
      <c r="G921" s="9" t="n">
        <v>22850730000</v>
      </c>
      <c r="H921">
        <f>H920*(E921/E920)</f>
        <v/>
      </c>
    </row>
    <row r="922">
      <c r="A922" s="8" t="n">
        <v>42972</v>
      </c>
      <c r="B922" s="7" t="n">
        <v>5747.1</v>
      </c>
      <c r="C922" s="7" t="n">
        <v>5781.4</v>
      </c>
      <c r="D922" s="7" t="n">
        <v>5699</v>
      </c>
      <c r="E922" s="7" t="n">
        <v>5743.9</v>
      </c>
      <c r="F922" s="9" t="n">
        <v>3447908000</v>
      </c>
      <c r="G922" s="9" t="n">
        <v>25258050000</v>
      </c>
      <c r="H922">
        <f>H921*(E922/E921)</f>
        <v/>
      </c>
    </row>
    <row r="923">
      <c r="A923" s="8" t="n">
        <v>42979</v>
      </c>
      <c r="B923" s="7" t="n">
        <v>5743.9</v>
      </c>
      <c r="C923" s="7" t="n">
        <v>5746.3</v>
      </c>
      <c r="D923" s="7" t="n">
        <v>5645.8</v>
      </c>
      <c r="E923" s="7" t="n">
        <v>5724.6</v>
      </c>
      <c r="F923" s="9" t="n">
        <v>3247003000</v>
      </c>
      <c r="G923" s="9" t="n">
        <v>23274110000</v>
      </c>
      <c r="H923">
        <f>H922*(E923/E922)</f>
        <v/>
      </c>
    </row>
    <row r="924">
      <c r="A924" s="8" t="n">
        <v>42986</v>
      </c>
      <c r="B924" s="7" t="n">
        <v>5724.6</v>
      </c>
      <c r="C924" s="7" t="n">
        <v>5724.6</v>
      </c>
      <c r="D924" s="7" t="n">
        <v>5661.4</v>
      </c>
      <c r="E924" s="7" t="n">
        <v>5672.6</v>
      </c>
      <c r="F924" s="9" t="n">
        <v>2532235000</v>
      </c>
      <c r="G924" s="9" t="n">
        <v>19065860000</v>
      </c>
      <c r="H924">
        <f>H923*(E924/E923)</f>
        <v/>
      </c>
    </row>
    <row r="925">
      <c r="A925" s="8" t="n">
        <v>42993</v>
      </c>
      <c r="B925" s="7" t="n">
        <v>5672.8</v>
      </c>
      <c r="C925" s="7" t="n">
        <v>5777.7</v>
      </c>
      <c r="D925" s="7" t="n">
        <v>5669.8</v>
      </c>
      <c r="E925" s="7" t="n">
        <v>5695</v>
      </c>
      <c r="F925" s="9" t="n">
        <v>2771038000</v>
      </c>
      <c r="G925" s="9" t="n">
        <v>20892580000</v>
      </c>
      <c r="H925">
        <f>H924*(E925/E924)</f>
        <v/>
      </c>
    </row>
    <row r="926">
      <c r="A926" s="8" t="n">
        <v>43000</v>
      </c>
      <c r="B926" s="7" t="n">
        <v>5695</v>
      </c>
      <c r="C926" s="7" t="n">
        <v>5742.2</v>
      </c>
      <c r="D926" s="7" t="n">
        <v>5639.4</v>
      </c>
      <c r="E926" s="7" t="n">
        <v>5682.1</v>
      </c>
      <c r="F926" s="9" t="n">
        <v>2633790000</v>
      </c>
      <c r="G926" s="9" t="n">
        <v>19902060000</v>
      </c>
      <c r="H926">
        <f>H925*(E926/E925)</f>
        <v/>
      </c>
    </row>
    <row r="927">
      <c r="A927" s="8" t="n">
        <v>43007</v>
      </c>
      <c r="B927" s="7" t="n">
        <v>5682.1</v>
      </c>
      <c r="C927" s="7" t="n">
        <v>5710.4</v>
      </c>
      <c r="D927" s="7" t="n">
        <v>5649.1</v>
      </c>
      <c r="E927" s="7" t="n">
        <v>5681.6</v>
      </c>
      <c r="F927" s="9" t="n">
        <v>2589911000</v>
      </c>
      <c r="G927" s="9" t="n">
        <v>20858500000</v>
      </c>
      <c r="H927">
        <f>H926*(E927/E926)</f>
        <v/>
      </c>
    </row>
    <row r="928">
      <c r="A928" s="8" t="n">
        <v>43014</v>
      </c>
      <c r="B928" s="7" t="n">
        <v>5681.6</v>
      </c>
      <c r="C928" s="7" t="n">
        <v>5751</v>
      </c>
      <c r="D928" s="7" t="n">
        <v>5650.9</v>
      </c>
      <c r="E928" s="7" t="n">
        <v>5710.7</v>
      </c>
      <c r="F928" s="9" t="n">
        <v>2289661000</v>
      </c>
      <c r="G928" s="9" t="n">
        <v>16596690000</v>
      </c>
      <c r="H928">
        <f>H927*(E928/E927)</f>
        <v/>
      </c>
    </row>
    <row r="929">
      <c r="A929" s="8" t="n">
        <v>43021</v>
      </c>
      <c r="B929" s="7" t="n">
        <v>5710.8</v>
      </c>
      <c r="C929" s="7" t="n">
        <v>5825.2</v>
      </c>
      <c r="D929" s="7" t="n">
        <v>5710.8</v>
      </c>
      <c r="E929" s="7" t="n">
        <v>5814.2</v>
      </c>
      <c r="F929" s="9" t="n">
        <v>2323485000</v>
      </c>
      <c r="G929" s="9" t="n">
        <v>17493850000</v>
      </c>
      <c r="H929">
        <f>H928*(E929/E928)</f>
        <v/>
      </c>
    </row>
    <row r="930">
      <c r="A930" s="8" t="n">
        <v>43028</v>
      </c>
      <c r="B930" s="7" t="n">
        <v>5814.2</v>
      </c>
      <c r="C930" s="7" t="n">
        <v>5924.9</v>
      </c>
      <c r="D930" s="7" t="n">
        <v>5814.2</v>
      </c>
      <c r="E930" s="7" t="n">
        <v>5907</v>
      </c>
      <c r="F930" s="9" t="n">
        <v>2625644000</v>
      </c>
      <c r="G930" s="9" t="n">
        <v>20044340000</v>
      </c>
      <c r="H930">
        <f>H929*(E930/E929)</f>
        <v/>
      </c>
    </row>
    <row r="931">
      <c r="A931" s="8" t="n">
        <v>43035</v>
      </c>
      <c r="B931" s="7" t="n">
        <v>5907</v>
      </c>
      <c r="C931" s="7" t="n">
        <v>5938.1</v>
      </c>
      <c r="D931" s="7" t="n">
        <v>5859.2</v>
      </c>
      <c r="E931" s="7" t="n">
        <v>5903.2</v>
      </c>
      <c r="F931" s="9" t="n">
        <v>2662808000</v>
      </c>
      <c r="G931" s="9" t="n">
        <v>20567970000</v>
      </c>
      <c r="H931">
        <f>H930*(E931/E930)</f>
        <v/>
      </c>
    </row>
    <row r="932">
      <c r="A932" s="8" t="n">
        <v>43042</v>
      </c>
      <c r="B932" s="7" t="n">
        <v>5903.6</v>
      </c>
      <c r="C932" s="7" t="n">
        <v>5968.2</v>
      </c>
      <c r="D932" s="7" t="n">
        <v>5903.6</v>
      </c>
      <c r="E932" s="7" t="n">
        <v>5959.9</v>
      </c>
      <c r="F932" s="9" t="n">
        <v>2618860000</v>
      </c>
      <c r="G932" s="9" t="n">
        <v>20583660000</v>
      </c>
      <c r="H932">
        <f>H931*(E932/E931)</f>
        <v/>
      </c>
    </row>
    <row r="933">
      <c r="A933" s="8" t="n">
        <v>43049</v>
      </c>
      <c r="B933" s="7" t="n">
        <v>5959.9</v>
      </c>
      <c r="C933" s="7" t="n">
        <v>6052.1</v>
      </c>
      <c r="D933" s="7" t="n">
        <v>5945.7</v>
      </c>
      <c r="E933" s="7" t="n">
        <v>6029.4</v>
      </c>
      <c r="F933" s="9" t="n">
        <v>2438894000</v>
      </c>
      <c r="G933" s="9" t="n">
        <v>20760670000</v>
      </c>
      <c r="H933">
        <f>H932*(E933/E932)</f>
        <v/>
      </c>
    </row>
    <row r="934">
      <c r="A934" s="8" t="n">
        <v>43056</v>
      </c>
      <c r="B934" s="7" t="n">
        <v>6029.4</v>
      </c>
      <c r="C934" s="7" t="n">
        <v>6029.4</v>
      </c>
      <c r="D934" s="7" t="n">
        <v>5916.1</v>
      </c>
      <c r="E934" s="7" t="n">
        <v>5957.3</v>
      </c>
      <c r="F934" s="9" t="n">
        <v>2703910000</v>
      </c>
      <c r="G934" s="9" t="n">
        <v>23422550000</v>
      </c>
      <c r="H934">
        <f>H933*(E934/E933)</f>
        <v/>
      </c>
    </row>
    <row r="935">
      <c r="A935" s="8" t="n">
        <v>43063</v>
      </c>
      <c r="B935" s="7" t="n">
        <v>5957.3</v>
      </c>
      <c r="C935" s="7" t="n">
        <v>5998.1</v>
      </c>
      <c r="D935" s="7" t="n">
        <v>5922.6</v>
      </c>
      <c r="E935" s="7" t="n">
        <v>5982.6</v>
      </c>
      <c r="F935" s="9" t="n">
        <v>2428465000</v>
      </c>
      <c r="G935" s="9" t="n">
        <v>21157480000</v>
      </c>
      <c r="H935">
        <f>H934*(E935/E934)</f>
        <v/>
      </c>
    </row>
    <row r="936">
      <c r="A936" s="8" t="n">
        <v>43070</v>
      </c>
      <c r="B936" s="7" t="n">
        <v>5982.6</v>
      </c>
      <c r="C936" s="7" t="n">
        <v>6031.4</v>
      </c>
      <c r="D936" s="7" t="n">
        <v>5949.2</v>
      </c>
      <c r="E936" s="7" t="n">
        <v>5989.8</v>
      </c>
      <c r="F936" s="9" t="n">
        <v>3028120000</v>
      </c>
      <c r="G936" s="9" t="n">
        <v>25275720000</v>
      </c>
      <c r="H936">
        <f>H935*(E936/E935)</f>
        <v/>
      </c>
    </row>
    <row r="937">
      <c r="A937" s="8" t="n">
        <v>43077</v>
      </c>
      <c r="B937" s="7" t="n">
        <v>5989.8</v>
      </c>
      <c r="C937" s="7" t="n">
        <v>6012</v>
      </c>
      <c r="D937" s="7" t="n">
        <v>5938.7</v>
      </c>
      <c r="E937" s="7" t="n">
        <v>5994.4</v>
      </c>
      <c r="F937" s="9" t="n">
        <v>2747216000</v>
      </c>
      <c r="G937" s="9" t="n">
        <v>21635440000</v>
      </c>
      <c r="H937">
        <f>H936*(E937/E936)</f>
        <v/>
      </c>
    </row>
    <row r="938">
      <c r="A938" s="8" t="n">
        <v>43084</v>
      </c>
      <c r="B938" s="7" t="n">
        <v>5994.4</v>
      </c>
      <c r="C938" s="7" t="n">
        <v>6043.4</v>
      </c>
      <c r="D938" s="7" t="n">
        <v>5989.8</v>
      </c>
      <c r="E938" s="7" t="n">
        <v>5997</v>
      </c>
      <c r="F938" s="9" t="n">
        <v>3345833000</v>
      </c>
      <c r="G938" s="9" t="n">
        <v>24857330000</v>
      </c>
      <c r="H938">
        <f>H937*(E938/E937)</f>
        <v/>
      </c>
    </row>
    <row r="939">
      <c r="A939" s="8" t="n">
        <v>43091</v>
      </c>
      <c r="B939" s="7" t="n">
        <v>5997</v>
      </c>
      <c r="C939" s="7" t="n">
        <v>6087.2</v>
      </c>
      <c r="D939" s="7" t="n">
        <v>5997</v>
      </c>
      <c r="E939" s="7" t="n">
        <v>6069.7</v>
      </c>
      <c r="F939" s="9" t="n">
        <v>3077338000</v>
      </c>
      <c r="G939" s="9" t="n">
        <v>25497750000</v>
      </c>
      <c r="H939">
        <f>H938*(E939/E938)</f>
        <v/>
      </c>
    </row>
    <row r="940">
      <c r="A940" s="8" t="n">
        <v>43098</v>
      </c>
      <c r="B940" s="7" t="n">
        <v>6069.7</v>
      </c>
      <c r="C940" s="7" t="n">
        <v>6092.8</v>
      </c>
      <c r="D940" s="7" t="n">
        <v>6051.6</v>
      </c>
      <c r="E940" s="7" t="n">
        <v>6065.1</v>
      </c>
      <c r="F940" s="9" t="n">
        <v>847752400</v>
      </c>
      <c r="G940" s="9" t="n">
        <v>6613778000</v>
      </c>
      <c r="H940">
        <f>H939*(E940/E939)</f>
        <v/>
      </c>
    </row>
    <row r="941">
      <c r="A941" s="8" t="n">
        <v>43105</v>
      </c>
      <c r="B941" s="7" t="n">
        <v>6065.1</v>
      </c>
      <c r="C941" s="7" t="n">
        <v>6124.8</v>
      </c>
      <c r="D941" s="7" t="n">
        <v>6035.8</v>
      </c>
      <c r="E941" s="7" t="n">
        <v>6122.3</v>
      </c>
      <c r="F941" s="9" t="n">
        <v>1401107000</v>
      </c>
      <c r="G941" s="9" t="n">
        <v>11050380000</v>
      </c>
      <c r="H941">
        <f>H940*(E941/E940)</f>
        <v/>
      </c>
    </row>
    <row r="942">
      <c r="A942" s="8" t="n">
        <v>43112</v>
      </c>
      <c r="B942" s="7" t="n">
        <v>6122.3</v>
      </c>
      <c r="C942" s="7" t="n">
        <v>6150</v>
      </c>
      <c r="D942" s="7" t="n">
        <v>6053.9</v>
      </c>
      <c r="E942" s="7" t="n">
        <v>6070.1</v>
      </c>
      <c r="F942" s="9" t="n">
        <v>2318966000</v>
      </c>
      <c r="G942" s="9" t="n">
        <v>18442470000</v>
      </c>
      <c r="H942">
        <f>H941*(E942/E941)</f>
        <v/>
      </c>
    </row>
    <row r="943">
      <c r="A943" s="8" t="n">
        <v>43119</v>
      </c>
      <c r="B943" s="7" t="n">
        <v>6070.1</v>
      </c>
      <c r="C943" s="7" t="n">
        <v>6103.6</v>
      </c>
      <c r="D943" s="7" t="n">
        <v>6002.2</v>
      </c>
      <c r="E943" s="7" t="n">
        <v>6005.8</v>
      </c>
      <c r="F943" s="9" t="n">
        <v>2454795000</v>
      </c>
      <c r="G943" s="9" t="n">
        <v>18387000000</v>
      </c>
      <c r="H943">
        <f>H942*(E943/E942)</f>
        <v/>
      </c>
    </row>
    <row r="944">
      <c r="A944" s="8" t="n">
        <v>43125</v>
      </c>
      <c r="B944" s="7" t="n">
        <v>6005.8</v>
      </c>
      <c r="C944" s="7" t="n">
        <v>6066.3</v>
      </c>
      <c r="D944" s="7" t="n">
        <v>5991.9</v>
      </c>
      <c r="E944" s="7" t="n">
        <v>6050</v>
      </c>
      <c r="F944" s="9" t="n">
        <v>1957722000</v>
      </c>
      <c r="G944" s="9" t="n">
        <v>16041480000</v>
      </c>
      <c r="H944">
        <f>H943*(E944/E943)</f>
        <v/>
      </c>
    </row>
    <row r="945">
      <c r="A945" s="8" t="n">
        <v>43133</v>
      </c>
      <c r="B945" s="7" t="n">
        <v>6050</v>
      </c>
      <c r="C945" s="7" t="n">
        <v>6121.4</v>
      </c>
      <c r="D945" s="7" t="n">
        <v>5993.6</v>
      </c>
      <c r="E945" s="7" t="n">
        <v>6121.4</v>
      </c>
      <c r="F945" s="9" t="n">
        <v>2818948000</v>
      </c>
      <c r="G945" s="9" t="n">
        <v>22530210000</v>
      </c>
      <c r="H945">
        <f>H944*(E945/E944)</f>
        <v/>
      </c>
    </row>
    <row r="946">
      <c r="A946" s="8" t="n">
        <v>43140</v>
      </c>
      <c r="B946" s="7" t="n">
        <v>6121.4</v>
      </c>
      <c r="C946" s="7" t="n">
        <v>6121.4</v>
      </c>
      <c r="D946" s="7" t="n">
        <v>5786.8</v>
      </c>
      <c r="E946" s="7" t="n">
        <v>5838</v>
      </c>
      <c r="F946" s="9" t="n">
        <v>3558862000</v>
      </c>
      <c r="G946" s="9" t="n">
        <v>28971580000</v>
      </c>
      <c r="H946">
        <f>H945*(E946/E945)</f>
        <v/>
      </c>
    </row>
    <row r="947">
      <c r="A947" s="8" t="n">
        <v>43147</v>
      </c>
      <c r="B947" s="7" t="n">
        <v>5838</v>
      </c>
      <c r="C947" s="7" t="n">
        <v>5938.1</v>
      </c>
      <c r="D947" s="7" t="n">
        <v>5791.3</v>
      </c>
      <c r="E947" s="7" t="n">
        <v>5904</v>
      </c>
      <c r="F947" s="9" t="n">
        <v>2988575000</v>
      </c>
      <c r="G947" s="9" t="n">
        <v>22915190000</v>
      </c>
      <c r="H947">
        <f>H946*(E947/E946)</f>
        <v/>
      </c>
    </row>
    <row r="948">
      <c r="A948" s="8" t="n">
        <v>43154</v>
      </c>
      <c r="B948" s="7" t="n">
        <v>5904.4</v>
      </c>
      <c r="C948" s="7" t="n">
        <v>6003.4</v>
      </c>
      <c r="D948" s="7" t="n">
        <v>5890.2</v>
      </c>
      <c r="E948" s="7" t="n">
        <v>5999.8</v>
      </c>
      <c r="F948" s="9" t="n">
        <v>3199269000</v>
      </c>
      <c r="G948" s="9" t="n">
        <v>25757920000</v>
      </c>
      <c r="H948">
        <f>H947*(E948/E947)</f>
        <v/>
      </c>
    </row>
    <row r="949">
      <c r="A949" s="8" t="n">
        <v>43161</v>
      </c>
      <c r="B949" s="7" t="n">
        <v>5999.8</v>
      </c>
      <c r="C949" s="7" t="n">
        <v>6083</v>
      </c>
      <c r="D949" s="7" t="n">
        <v>5902.2</v>
      </c>
      <c r="E949" s="7" t="n">
        <v>5928.9</v>
      </c>
      <c r="F949" s="9" t="n">
        <v>3316271000</v>
      </c>
      <c r="G949" s="9" t="n">
        <v>26715230000</v>
      </c>
      <c r="H949">
        <f>H948*(E949/E948)</f>
        <v/>
      </c>
    </row>
    <row r="950">
      <c r="A950" s="8" t="n">
        <v>43168</v>
      </c>
      <c r="B950" s="7" t="n">
        <v>5928.9</v>
      </c>
      <c r="C950" s="7" t="n">
        <v>5979.5</v>
      </c>
      <c r="D950" s="7" t="n">
        <v>5886.5</v>
      </c>
      <c r="E950" s="7" t="n">
        <v>5963.2</v>
      </c>
      <c r="F950" s="9" t="n">
        <v>2802410000</v>
      </c>
      <c r="G950" s="9" t="n">
        <v>21874230000</v>
      </c>
      <c r="H950">
        <f>H949*(E950/E949)</f>
        <v/>
      </c>
    </row>
    <row r="951">
      <c r="A951" s="8" t="n">
        <v>43175</v>
      </c>
      <c r="B951" s="7" t="n">
        <v>5971.3</v>
      </c>
      <c r="C951" s="7" t="n">
        <v>6026.1</v>
      </c>
      <c r="D951" s="7" t="n">
        <v>5906.1</v>
      </c>
      <c r="E951" s="7" t="n">
        <v>5949.4</v>
      </c>
      <c r="F951" s="9" t="n">
        <v>3333648000</v>
      </c>
      <c r="G951" s="9" t="n">
        <v>26002790000</v>
      </c>
      <c r="H951">
        <f>H950*(E951/E950)</f>
        <v/>
      </c>
    </row>
    <row r="952">
      <c r="A952" s="8" t="n">
        <v>43182</v>
      </c>
      <c r="B952" s="7" t="n">
        <v>5949.4</v>
      </c>
      <c r="C952" s="7" t="n">
        <v>5982.5</v>
      </c>
      <c r="D952" s="7" t="n">
        <v>5808.1</v>
      </c>
      <c r="E952" s="7" t="n">
        <v>5820.7</v>
      </c>
      <c r="F952" s="9" t="n">
        <v>2742764000</v>
      </c>
      <c r="G952" s="9" t="n">
        <v>21074370000</v>
      </c>
      <c r="H952">
        <f>H951*(E952/E951)</f>
        <v/>
      </c>
    </row>
    <row r="953">
      <c r="A953" s="8" t="n">
        <v>43188</v>
      </c>
      <c r="B953" s="7" t="n">
        <v>5820.7</v>
      </c>
      <c r="C953" s="7" t="n">
        <v>5837.5</v>
      </c>
      <c r="D953" s="7" t="n">
        <v>5752.7</v>
      </c>
      <c r="E953" s="7" t="n">
        <v>5759.4</v>
      </c>
      <c r="F953" s="9" t="n">
        <v>2336686000</v>
      </c>
      <c r="G953" s="9" t="n">
        <v>19863050000</v>
      </c>
      <c r="H953">
        <f>H952*(E953/E952)</f>
        <v/>
      </c>
    </row>
    <row r="954">
      <c r="A954" s="8" t="n">
        <v>43196</v>
      </c>
      <c r="B954" s="7" t="n">
        <v>5759.4</v>
      </c>
      <c r="C954" s="7" t="n">
        <v>5806</v>
      </c>
      <c r="D954" s="7" t="n">
        <v>5724.8</v>
      </c>
      <c r="E954" s="7" t="n">
        <v>5788.7</v>
      </c>
      <c r="F954" s="9" t="n">
        <v>2006425000</v>
      </c>
      <c r="G954" s="9" t="n">
        <v>16233210000</v>
      </c>
      <c r="H954">
        <f>H953*(E954/E953)</f>
        <v/>
      </c>
    </row>
    <row r="955">
      <c r="A955" s="8" t="n">
        <v>43203</v>
      </c>
      <c r="B955" s="7" t="n">
        <v>5788.7</v>
      </c>
      <c r="C955" s="7" t="n">
        <v>5864</v>
      </c>
      <c r="D955" s="7" t="n">
        <v>5771.1</v>
      </c>
      <c r="E955" s="7" t="n">
        <v>5829.1</v>
      </c>
      <c r="F955" s="9" t="n">
        <v>2378918000</v>
      </c>
      <c r="G955" s="9" t="n">
        <v>18230470000</v>
      </c>
      <c r="H955">
        <f>H954*(E955/E954)</f>
        <v/>
      </c>
    </row>
    <row r="956">
      <c r="A956" s="8" t="n">
        <v>43210</v>
      </c>
      <c r="B956" s="7" t="n">
        <v>5829.1</v>
      </c>
      <c r="C956" s="7" t="n">
        <v>5902.9</v>
      </c>
      <c r="D956" s="7" t="n">
        <v>5829.1</v>
      </c>
      <c r="E956" s="7" t="n">
        <v>5868.8</v>
      </c>
      <c r="F956" s="9" t="n">
        <v>2492938000</v>
      </c>
      <c r="G956" s="9" t="n">
        <v>18736470000</v>
      </c>
      <c r="H956">
        <f>H955*(E956/E955)</f>
        <v/>
      </c>
    </row>
    <row r="957">
      <c r="A957" s="8" t="n">
        <v>43217</v>
      </c>
      <c r="B957" s="7" t="n">
        <v>5868.8</v>
      </c>
      <c r="C957" s="7" t="n">
        <v>5953.6</v>
      </c>
      <c r="D957" s="7" t="n">
        <v>5868.8</v>
      </c>
      <c r="E957" s="7" t="n">
        <v>5953.6</v>
      </c>
      <c r="F957" s="9" t="n">
        <v>2499638000</v>
      </c>
      <c r="G957" s="9" t="n">
        <v>20763680000</v>
      </c>
      <c r="H957">
        <f>H956*(E957/E956)</f>
        <v/>
      </c>
    </row>
    <row r="958">
      <c r="A958" s="8" t="n">
        <v>43224</v>
      </c>
      <c r="B958" s="7" t="n">
        <v>5953.6</v>
      </c>
      <c r="C958" s="7" t="n">
        <v>6109.7</v>
      </c>
      <c r="D958" s="7" t="n">
        <v>5945.6</v>
      </c>
      <c r="E958" s="7" t="n">
        <v>6062.9</v>
      </c>
      <c r="F958" s="9" t="n">
        <v>3116735000</v>
      </c>
      <c r="G958" s="9" t="n">
        <v>24670210000</v>
      </c>
      <c r="H958">
        <f>H957*(E958/E957)</f>
        <v/>
      </c>
    </row>
    <row r="959">
      <c r="A959" s="8" t="n">
        <v>43231</v>
      </c>
      <c r="B959" s="7" t="n">
        <v>6063.2</v>
      </c>
      <c r="C959" s="7" t="n">
        <v>6145.2</v>
      </c>
      <c r="D959" s="7" t="n">
        <v>6063.2</v>
      </c>
      <c r="E959" s="7" t="n">
        <v>6116.2</v>
      </c>
      <c r="F959" s="9" t="n">
        <v>2634829000</v>
      </c>
      <c r="G959" s="9" t="n">
        <v>23143450000</v>
      </c>
      <c r="H959">
        <f>H958*(E959/E958)</f>
        <v/>
      </c>
    </row>
    <row r="960">
      <c r="A960" s="8" t="n">
        <v>43238</v>
      </c>
      <c r="B960" s="7" t="n">
        <v>6116.2</v>
      </c>
      <c r="C960" s="7" t="n">
        <v>6146.8</v>
      </c>
      <c r="D960" s="7" t="n">
        <v>6077.6</v>
      </c>
      <c r="E960" s="7" t="n">
        <v>6087.4</v>
      </c>
      <c r="F960" s="9" t="n">
        <v>2966533000</v>
      </c>
      <c r="G960" s="9" t="n">
        <v>25259290000</v>
      </c>
      <c r="H960">
        <f>H959*(E960/E959)</f>
        <v/>
      </c>
    </row>
    <row r="961">
      <c r="A961" s="8" t="n">
        <v>43245</v>
      </c>
      <c r="B961" s="7" t="n">
        <v>6087.4</v>
      </c>
      <c r="C961" s="7" t="n">
        <v>6094.9</v>
      </c>
      <c r="D961" s="7" t="n">
        <v>6011.9</v>
      </c>
      <c r="E961" s="7" t="n">
        <v>6032.8</v>
      </c>
      <c r="F961" s="9" t="n">
        <v>2608796000</v>
      </c>
      <c r="G961" s="9" t="n">
        <v>22210670000</v>
      </c>
      <c r="H961">
        <f>H960*(E961/E960)</f>
        <v/>
      </c>
    </row>
    <row r="962">
      <c r="A962" s="8" t="n">
        <v>43252</v>
      </c>
      <c r="B962" s="7" t="n">
        <v>6032.8</v>
      </c>
      <c r="C962" s="7" t="n">
        <v>6032.8</v>
      </c>
      <c r="D962" s="7" t="n">
        <v>5964.1</v>
      </c>
      <c r="E962" s="7" t="n">
        <v>5990.4</v>
      </c>
      <c r="F962" s="9" t="n">
        <v>3117594000</v>
      </c>
      <c r="G962" s="9" t="n">
        <v>25731030000</v>
      </c>
      <c r="H962">
        <f>H961*(E962/E961)</f>
        <v/>
      </c>
    </row>
    <row r="963">
      <c r="A963" s="8" t="n">
        <v>43259</v>
      </c>
      <c r="B963" s="7" t="n">
        <v>5990.4</v>
      </c>
      <c r="C963" s="7" t="n">
        <v>6070.7</v>
      </c>
      <c r="D963" s="7" t="n">
        <v>5982.2</v>
      </c>
      <c r="E963" s="7" t="n">
        <v>6045.2</v>
      </c>
      <c r="F963" s="9" t="n">
        <v>2707246000</v>
      </c>
      <c r="G963" s="9" t="n">
        <v>21174560000</v>
      </c>
      <c r="H963">
        <f>H962*(E963/E962)</f>
        <v/>
      </c>
    </row>
    <row r="964">
      <c r="A964" s="8" t="n">
        <v>43266</v>
      </c>
      <c r="B964" s="7" t="n">
        <v>6045.2</v>
      </c>
      <c r="C964" s="7" t="n">
        <v>6100.1</v>
      </c>
      <c r="D964" s="7" t="n">
        <v>6007.5</v>
      </c>
      <c r="E964" s="7" t="n">
        <v>6094</v>
      </c>
      <c r="F964" s="9" t="n">
        <v>2866714000</v>
      </c>
      <c r="G964" s="9" t="n">
        <v>23243040000</v>
      </c>
      <c r="H964">
        <f>H963*(E964/E963)</f>
        <v/>
      </c>
    </row>
    <row r="965">
      <c r="A965" s="8" t="n">
        <v>43273</v>
      </c>
      <c r="B965" s="7" t="n">
        <v>6094</v>
      </c>
      <c r="C965" s="7" t="n">
        <v>6249.3</v>
      </c>
      <c r="D965" s="7" t="n">
        <v>6085.2</v>
      </c>
      <c r="E965" s="7" t="n">
        <v>6225.2</v>
      </c>
      <c r="F965" s="9" t="n">
        <v>3201329000</v>
      </c>
      <c r="G965" s="9" t="n">
        <v>27927380000</v>
      </c>
      <c r="H965">
        <f>H964*(E965/E964)</f>
        <v/>
      </c>
    </row>
    <row r="966">
      <c r="A966" s="8" t="n">
        <v>43280</v>
      </c>
      <c r="B966" s="7" t="n">
        <v>6225.7</v>
      </c>
      <c r="C966" s="7" t="n">
        <v>6250.8</v>
      </c>
      <c r="D966" s="7" t="n">
        <v>6161.1</v>
      </c>
      <c r="E966" s="7" t="n">
        <v>6194.6</v>
      </c>
      <c r="F966" s="9" t="n">
        <v>3027047000</v>
      </c>
      <c r="G966" s="9" t="n">
        <v>26408400000</v>
      </c>
      <c r="H966">
        <f>H965*(E966/E965)</f>
        <v/>
      </c>
    </row>
    <row r="967">
      <c r="A967" s="8" t="n">
        <v>43287</v>
      </c>
      <c r="B967" s="7" t="n">
        <v>6194.6</v>
      </c>
      <c r="C967" s="7" t="n">
        <v>6273.5</v>
      </c>
      <c r="D967" s="7" t="n">
        <v>6174.4</v>
      </c>
      <c r="E967" s="7" t="n">
        <v>6272.3</v>
      </c>
      <c r="F967" s="9" t="n">
        <v>2562525000</v>
      </c>
      <c r="G967" s="9" t="n">
        <v>21294730000</v>
      </c>
      <c r="H967">
        <f>H966*(E967/E966)</f>
        <v/>
      </c>
    </row>
    <row r="968">
      <c r="A968" s="8" t="n">
        <v>43294</v>
      </c>
      <c r="B968" s="7" t="n">
        <v>6272.3</v>
      </c>
      <c r="C968" s="7" t="n">
        <v>6306.1</v>
      </c>
      <c r="D968" s="7" t="n">
        <v>6209.6</v>
      </c>
      <c r="E968" s="7" t="n">
        <v>6268.4</v>
      </c>
      <c r="F968" s="9" t="n">
        <v>2404457000</v>
      </c>
      <c r="G968" s="9" t="n">
        <v>21487760000</v>
      </c>
      <c r="H968">
        <f>H967*(E968/E967)</f>
        <v/>
      </c>
    </row>
    <row r="969">
      <c r="A969" s="8" t="n">
        <v>43301</v>
      </c>
      <c r="B969" s="7" t="n">
        <v>6267.6</v>
      </c>
      <c r="C969" s="7" t="n">
        <v>6297.9</v>
      </c>
      <c r="D969" s="7" t="n">
        <v>6199.9</v>
      </c>
      <c r="E969" s="7" t="n">
        <v>6285.9</v>
      </c>
      <c r="F969" s="9" t="n">
        <v>2346526000</v>
      </c>
      <c r="G969" s="9" t="n">
        <v>19424570000</v>
      </c>
      <c r="H969">
        <f>H968*(E969/E968)</f>
        <v/>
      </c>
    </row>
    <row r="970">
      <c r="A970" s="8" t="n">
        <v>43308</v>
      </c>
      <c r="B970" s="7" t="n">
        <v>6285.9</v>
      </c>
      <c r="C970" s="7" t="n">
        <v>6302.3</v>
      </c>
      <c r="D970" s="7" t="n">
        <v>6214.5</v>
      </c>
      <c r="E970" s="7" t="n">
        <v>6300.2</v>
      </c>
      <c r="F970" s="9" t="n">
        <v>2861114000</v>
      </c>
      <c r="G970" s="9" t="n">
        <v>23087060000</v>
      </c>
      <c r="H970">
        <f>H969*(E970/E969)</f>
        <v/>
      </c>
    </row>
    <row r="971">
      <c r="A971" s="8" t="n">
        <v>43315</v>
      </c>
      <c r="B971" s="7" t="n">
        <v>6297</v>
      </c>
      <c r="C971" s="7" t="n">
        <v>6300.2</v>
      </c>
      <c r="D971" s="7" t="n">
        <v>6231.2</v>
      </c>
      <c r="E971" s="7" t="n">
        <v>6234.8</v>
      </c>
      <c r="F971" s="9" t="n">
        <v>2491210000</v>
      </c>
      <c r="G971" s="9" t="n">
        <v>21126760000</v>
      </c>
      <c r="H971">
        <f>H970*(E971/E970)</f>
        <v/>
      </c>
    </row>
    <row r="972">
      <c r="A972" s="8" t="n">
        <v>43322</v>
      </c>
      <c r="B972" s="7" t="n">
        <v>6234.8</v>
      </c>
      <c r="C972" s="7" t="n">
        <v>6313.6</v>
      </c>
      <c r="D972" s="7" t="n">
        <v>6234.8</v>
      </c>
      <c r="E972" s="7" t="n">
        <v>6278.4</v>
      </c>
      <c r="F972" s="9" t="n">
        <v>2497179000</v>
      </c>
      <c r="G972" s="9" t="n">
        <v>21423740000</v>
      </c>
      <c r="H972">
        <f>H971*(E972/E971)</f>
        <v/>
      </c>
    </row>
    <row r="973">
      <c r="A973" s="8" t="n">
        <v>43329</v>
      </c>
      <c r="B973" s="7" t="n">
        <v>6278.1</v>
      </c>
      <c r="C973" s="7" t="n">
        <v>6348.1</v>
      </c>
      <c r="D973" s="7" t="n">
        <v>6239.6</v>
      </c>
      <c r="E973" s="7" t="n">
        <v>6339.2</v>
      </c>
      <c r="F973" s="9" t="n">
        <v>2893839000</v>
      </c>
      <c r="G973" s="9" t="n">
        <v>26652850000</v>
      </c>
      <c r="H973">
        <f>H972*(E973/E972)</f>
        <v/>
      </c>
    </row>
    <row r="974">
      <c r="A974" s="8" t="n">
        <v>43336</v>
      </c>
      <c r="B974" s="7" t="n">
        <v>6338.4</v>
      </c>
      <c r="C974" s="7" t="n">
        <v>6358</v>
      </c>
      <c r="D974" s="7" t="n">
        <v>6238</v>
      </c>
      <c r="E974" s="7" t="n">
        <v>6247.3</v>
      </c>
      <c r="F974" s="9" t="n">
        <v>3528387000</v>
      </c>
      <c r="G974" s="9" t="n">
        <v>28794440000</v>
      </c>
      <c r="H974">
        <f>H973*(E974/E973)</f>
        <v/>
      </c>
    </row>
    <row r="975">
      <c r="A975" s="8" t="n">
        <v>43343</v>
      </c>
      <c r="B975" s="7" t="n">
        <v>6247.5</v>
      </c>
      <c r="C975" s="7" t="n">
        <v>6373.5</v>
      </c>
      <c r="D975" s="7" t="n">
        <v>6230.9</v>
      </c>
      <c r="E975" s="7" t="n">
        <v>6319.5</v>
      </c>
      <c r="F975" s="9" t="n">
        <v>3484883000</v>
      </c>
      <c r="G975" s="9" t="n">
        <v>29821700000</v>
      </c>
      <c r="H975">
        <f>H974*(E975/E974)</f>
        <v/>
      </c>
    </row>
    <row r="976">
      <c r="A976" s="8" t="n">
        <v>43350</v>
      </c>
      <c r="B976" s="7" t="n">
        <v>6319.5</v>
      </c>
      <c r="C976" s="7" t="n">
        <v>6333.7</v>
      </c>
      <c r="D976" s="7" t="n">
        <v>6102</v>
      </c>
      <c r="E976" s="7" t="n">
        <v>6143.8</v>
      </c>
      <c r="F976" s="9" t="n">
        <v>2811572000</v>
      </c>
      <c r="G976" s="9" t="n">
        <v>22920200000</v>
      </c>
      <c r="H976">
        <f>H975*(E976/E975)</f>
        <v/>
      </c>
    </row>
    <row r="977">
      <c r="A977" s="8" t="n">
        <v>43357</v>
      </c>
      <c r="B977" s="7" t="n">
        <v>6143.8</v>
      </c>
      <c r="C977" s="7" t="n">
        <v>6181.5</v>
      </c>
      <c r="D977" s="7" t="n">
        <v>6123.8</v>
      </c>
      <c r="E977" s="7" t="n">
        <v>6165.3</v>
      </c>
      <c r="F977" s="9" t="n">
        <v>2662308000</v>
      </c>
      <c r="G977" s="9" t="n">
        <v>21953540000</v>
      </c>
      <c r="H977">
        <f>H976*(E977/E976)</f>
        <v/>
      </c>
    </row>
    <row r="978">
      <c r="A978" s="8" t="n">
        <v>43364</v>
      </c>
      <c r="B978" s="7" t="n">
        <v>6165.3</v>
      </c>
      <c r="C978" s="7" t="n">
        <v>6209.6</v>
      </c>
      <c r="D978" s="7" t="n">
        <v>6142.3</v>
      </c>
      <c r="E978" s="7" t="n">
        <v>6194.6</v>
      </c>
      <c r="F978" s="9" t="n">
        <v>3690516000</v>
      </c>
      <c r="G978" s="9" t="n">
        <v>29171230000</v>
      </c>
      <c r="H978">
        <f>H977*(E978/E977)</f>
        <v/>
      </c>
    </row>
    <row r="979">
      <c r="A979" s="8" t="n">
        <v>43371</v>
      </c>
      <c r="B979" s="7" t="n">
        <v>6194.6</v>
      </c>
      <c r="C979" s="7" t="n">
        <v>6234.4</v>
      </c>
      <c r="D979" s="7" t="n">
        <v>6166.8</v>
      </c>
      <c r="E979" s="7" t="n">
        <v>6207.6</v>
      </c>
      <c r="F979" s="9" t="n">
        <v>2915688000</v>
      </c>
      <c r="G979" s="9" t="n">
        <v>25591460000</v>
      </c>
      <c r="H979">
        <f>H978*(E979/E978)</f>
        <v/>
      </c>
    </row>
    <row r="980">
      <c r="A980" s="8" t="n">
        <v>43378</v>
      </c>
      <c r="B980" s="7" t="n">
        <v>6207.6</v>
      </c>
      <c r="C980" s="7" t="n">
        <v>6207.6</v>
      </c>
      <c r="D980" s="7" t="n">
        <v>6118.4</v>
      </c>
      <c r="E980" s="7" t="n">
        <v>6185.5</v>
      </c>
      <c r="F980" s="9" t="n">
        <v>2448748000</v>
      </c>
      <c r="G980" s="9" t="n">
        <v>20064740000</v>
      </c>
      <c r="H980">
        <f>H979*(E980/E979)</f>
        <v/>
      </c>
    </row>
    <row r="981">
      <c r="A981" s="8" t="n">
        <v>43385</v>
      </c>
      <c r="B981" s="7" t="n">
        <v>6177.4</v>
      </c>
      <c r="C981" s="7" t="n">
        <v>6177.4</v>
      </c>
      <c r="D981" s="7" t="n">
        <v>5846.7</v>
      </c>
      <c r="E981" s="7" t="n">
        <v>5895.7</v>
      </c>
      <c r="F981" s="9" t="n">
        <v>3284928000</v>
      </c>
      <c r="G981" s="9" t="n">
        <v>27023670000</v>
      </c>
      <c r="H981">
        <f>H980*(E981/E980)</f>
        <v/>
      </c>
    </row>
    <row r="982">
      <c r="A982" s="8" t="n">
        <v>43392</v>
      </c>
      <c r="B982" s="7" t="n">
        <v>5895.7</v>
      </c>
      <c r="C982" s="7" t="n">
        <v>5942.8</v>
      </c>
      <c r="D982" s="7" t="n">
        <v>5796</v>
      </c>
      <c r="E982" s="7" t="n">
        <v>5939.5</v>
      </c>
      <c r="F982" s="9" t="n">
        <v>2863586000</v>
      </c>
      <c r="G982" s="9" t="n">
        <v>22220840000</v>
      </c>
      <c r="H982">
        <f>H981*(E982/E981)</f>
        <v/>
      </c>
    </row>
    <row r="983">
      <c r="A983" s="8" t="n">
        <v>43399</v>
      </c>
      <c r="B983" s="7" t="n">
        <v>5939.5</v>
      </c>
      <c r="C983" s="7" t="n">
        <v>5939.5</v>
      </c>
      <c r="D983" s="7" t="n">
        <v>5624.6</v>
      </c>
      <c r="E983" s="7" t="n">
        <v>5665.2</v>
      </c>
      <c r="F983" s="9" t="n">
        <v>3443419000</v>
      </c>
      <c r="G983" s="9" t="n">
        <v>26977840000</v>
      </c>
      <c r="H983">
        <f>H982*(E983/E982)</f>
        <v/>
      </c>
    </row>
    <row r="984">
      <c r="A984" s="8" t="n">
        <v>43406</v>
      </c>
      <c r="B984" s="7" t="n">
        <v>5665.2</v>
      </c>
      <c r="C984" s="7" t="n">
        <v>5877.2</v>
      </c>
      <c r="D984" s="7" t="n">
        <v>5665.2</v>
      </c>
      <c r="E984" s="7" t="n">
        <v>5849.2</v>
      </c>
      <c r="F984" s="9" t="n">
        <v>3320405000</v>
      </c>
      <c r="G984" s="9" t="n">
        <v>26025540000</v>
      </c>
      <c r="H984">
        <f>H983*(E984/E983)</f>
        <v/>
      </c>
    </row>
    <row r="985">
      <c r="A985" s="8" t="n">
        <v>43413</v>
      </c>
      <c r="B985" s="7" t="n">
        <v>5849.2</v>
      </c>
      <c r="C985" s="7" t="n">
        <v>5935.5</v>
      </c>
      <c r="D985" s="7" t="n">
        <v>5817.7</v>
      </c>
      <c r="E985" s="7" t="n">
        <v>5921.8</v>
      </c>
      <c r="F985" s="9" t="n">
        <v>2564024000</v>
      </c>
      <c r="G985" s="9" t="n">
        <v>21799680000</v>
      </c>
      <c r="H985">
        <f>H984*(E985/E984)</f>
        <v/>
      </c>
    </row>
    <row r="986">
      <c r="A986" s="8" t="n">
        <v>43420</v>
      </c>
      <c r="B986" s="7" t="n">
        <v>5921.8</v>
      </c>
      <c r="C986" s="7" t="n">
        <v>5941.3</v>
      </c>
      <c r="D986" s="7" t="n">
        <v>5686.8</v>
      </c>
      <c r="E986" s="7" t="n">
        <v>5730.6</v>
      </c>
      <c r="F986" s="9" t="n">
        <v>3119025000</v>
      </c>
      <c r="G986" s="9" t="n">
        <v>25523330000</v>
      </c>
      <c r="H986">
        <f>H985*(E986/E985)</f>
        <v/>
      </c>
    </row>
    <row r="987">
      <c r="A987" s="8" t="n">
        <v>43427</v>
      </c>
      <c r="B987" s="7" t="n">
        <v>5730.6</v>
      </c>
      <c r="C987" s="7" t="n">
        <v>5731.3</v>
      </c>
      <c r="D987" s="7" t="n">
        <v>5594</v>
      </c>
      <c r="E987" s="7" t="n">
        <v>5716.2</v>
      </c>
      <c r="F987" s="9" t="n">
        <v>2997880000</v>
      </c>
      <c r="G987" s="9" t="n">
        <v>23083300000</v>
      </c>
      <c r="H987">
        <f>H986*(E987/E986)</f>
        <v/>
      </c>
    </row>
    <row r="988">
      <c r="A988" s="8" t="n">
        <v>43434</v>
      </c>
      <c r="B988" s="7" t="n">
        <v>5716.2</v>
      </c>
      <c r="C988" s="7" t="n">
        <v>5778.7</v>
      </c>
      <c r="D988" s="7" t="n">
        <v>5655.6</v>
      </c>
      <c r="E988" s="7" t="n">
        <v>5667.2</v>
      </c>
      <c r="F988" s="9" t="n">
        <v>3818630000</v>
      </c>
      <c r="G988" s="9" t="n">
        <v>31170610000</v>
      </c>
      <c r="H988">
        <f>H987*(E988/E987)</f>
        <v/>
      </c>
    </row>
    <row r="989">
      <c r="A989" s="8" t="n">
        <v>43441</v>
      </c>
      <c r="B989" s="7" t="n">
        <v>5667.2</v>
      </c>
      <c r="C989" s="7" t="n">
        <v>5771.2</v>
      </c>
      <c r="D989" s="7" t="n">
        <v>5610</v>
      </c>
      <c r="E989" s="7" t="n">
        <v>5681.5</v>
      </c>
      <c r="F989" s="9" t="n">
        <v>3167176000</v>
      </c>
      <c r="G989" s="9" t="n">
        <v>24621880000</v>
      </c>
      <c r="H989">
        <f>H988*(E989/E988)</f>
        <v/>
      </c>
    </row>
    <row r="990">
      <c r="A990" s="8" t="n">
        <v>43448</v>
      </c>
      <c r="B990" s="7" t="n">
        <v>5681.5</v>
      </c>
      <c r="C990" s="7" t="n">
        <v>5682.1</v>
      </c>
      <c r="D990" s="7" t="n">
        <v>5549.3</v>
      </c>
      <c r="E990" s="7" t="n">
        <v>5602</v>
      </c>
      <c r="F990" s="9" t="n">
        <v>3460482000</v>
      </c>
      <c r="G990" s="9" t="n">
        <v>26404810000</v>
      </c>
      <c r="H990">
        <f>H989*(E990/E989)</f>
        <v/>
      </c>
    </row>
    <row r="991">
      <c r="A991" s="8" t="n">
        <v>43455</v>
      </c>
      <c r="B991" s="7" t="n">
        <v>5602</v>
      </c>
      <c r="C991" s="7" t="n">
        <v>5665.6</v>
      </c>
      <c r="D991" s="7" t="n">
        <v>5426.6</v>
      </c>
      <c r="E991" s="7" t="n">
        <v>5467.6</v>
      </c>
      <c r="F991" s="9" t="n">
        <v>4479512000</v>
      </c>
      <c r="G991" s="9" t="n">
        <v>37053510000</v>
      </c>
      <c r="H991">
        <f>H990*(E991/E990)</f>
        <v/>
      </c>
    </row>
    <row r="992">
      <c r="A992" s="8" t="n">
        <v>43462</v>
      </c>
      <c r="B992" s="7" t="n">
        <v>5467.6</v>
      </c>
      <c r="C992" s="7" t="n">
        <v>5654.3</v>
      </c>
      <c r="D992" s="7" t="n">
        <v>5410.2</v>
      </c>
      <c r="E992" s="7" t="n">
        <v>5654.3</v>
      </c>
      <c r="F992" s="9" t="n">
        <v>1082852000</v>
      </c>
      <c r="G992" s="9" t="n">
        <v>9276226000</v>
      </c>
      <c r="H992">
        <f>H991*(E992/E991)</f>
        <v/>
      </c>
    </row>
    <row r="993">
      <c r="A993" s="8" t="n">
        <v>43469</v>
      </c>
      <c r="B993" s="7" t="n">
        <v>5654.3</v>
      </c>
      <c r="C993" s="7" t="n">
        <v>5700.6</v>
      </c>
      <c r="D993" s="7" t="n">
        <v>5552</v>
      </c>
      <c r="E993" s="7" t="n">
        <v>5619.4</v>
      </c>
      <c r="F993" s="9" t="n">
        <v>1537469000</v>
      </c>
      <c r="G993" s="9" t="n">
        <v>12558780000</v>
      </c>
      <c r="H993">
        <f>H992*(E993/E992)</f>
        <v/>
      </c>
    </row>
    <row r="994">
      <c r="A994" s="8" t="n">
        <v>43476</v>
      </c>
      <c r="B994" s="7" t="n">
        <v>5619.4</v>
      </c>
      <c r="C994" s="7" t="n">
        <v>5808.6</v>
      </c>
      <c r="D994" s="7" t="n">
        <v>5619.4</v>
      </c>
      <c r="E994" s="7" t="n">
        <v>5774.6</v>
      </c>
      <c r="F994" s="9" t="n">
        <v>2469413000</v>
      </c>
      <c r="G994" s="9" t="n">
        <v>19153610000</v>
      </c>
      <c r="H994">
        <f>H993*(E994/E993)</f>
        <v/>
      </c>
    </row>
    <row r="995">
      <c r="A995" s="8" t="n">
        <v>43483</v>
      </c>
      <c r="B995" s="7" t="n">
        <v>5774.6</v>
      </c>
      <c r="C995" s="7" t="n">
        <v>5888.1</v>
      </c>
      <c r="D995" s="7" t="n">
        <v>5756.9</v>
      </c>
      <c r="E995" s="7" t="n">
        <v>5879.6</v>
      </c>
      <c r="F995" s="9" t="n">
        <v>2295388000</v>
      </c>
      <c r="G995" s="9" t="n">
        <v>17736040000</v>
      </c>
      <c r="H995">
        <f>H994*(E995/E994)</f>
        <v/>
      </c>
    </row>
    <row r="996">
      <c r="A996" s="8" t="n">
        <v>43490</v>
      </c>
      <c r="B996" s="7" t="n">
        <v>5879.6</v>
      </c>
      <c r="C996" s="7" t="n">
        <v>5915.2</v>
      </c>
      <c r="D996" s="7" t="n">
        <v>5831.4</v>
      </c>
      <c r="E996" s="7" t="n">
        <v>5905.6</v>
      </c>
      <c r="F996" s="9" t="n">
        <v>2454720000</v>
      </c>
      <c r="G996" s="9" t="n">
        <v>20118670000</v>
      </c>
      <c r="H996">
        <f>H995*(E996/E995)</f>
        <v/>
      </c>
    </row>
    <row r="997">
      <c r="A997" s="8" t="n">
        <v>43497</v>
      </c>
      <c r="B997" s="7" t="n">
        <v>5905.6</v>
      </c>
      <c r="C997" s="7" t="n">
        <v>5912.6</v>
      </c>
      <c r="D997" s="7" t="n">
        <v>5857.4</v>
      </c>
      <c r="E997" s="7" t="n">
        <v>5862.8</v>
      </c>
      <c r="F997" s="9" t="n">
        <v>3066243000</v>
      </c>
      <c r="G997" s="9" t="n">
        <v>23756800000</v>
      </c>
      <c r="H997">
        <f>H996*(E997/E996)</f>
        <v/>
      </c>
    </row>
    <row r="998">
      <c r="A998" s="8" t="n">
        <v>43504</v>
      </c>
      <c r="B998" s="7" t="n">
        <v>5862.8</v>
      </c>
      <c r="C998" s="7" t="n">
        <v>6105.9</v>
      </c>
      <c r="D998" s="7" t="n">
        <v>5848.9</v>
      </c>
      <c r="E998" s="7" t="n">
        <v>6071.5</v>
      </c>
      <c r="F998" s="9" t="n">
        <v>3178371000</v>
      </c>
      <c r="G998" s="9" t="n">
        <v>26683150000</v>
      </c>
      <c r="H998">
        <f>H997*(E998/E997)</f>
        <v/>
      </c>
    </row>
    <row r="999">
      <c r="A999" s="8" t="n">
        <v>43511</v>
      </c>
      <c r="B999" s="7" t="n">
        <v>6071.5</v>
      </c>
      <c r="C999" s="7" t="n">
        <v>6094</v>
      </c>
      <c r="D999" s="7" t="n">
        <v>6028.6</v>
      </c>
      <c r="E999" s="7" t="n">
        <v>6066.1</v>
      </c>
      <c r="F999" s="9" t="n">
        <v>3248995000</v>
      </c>
      <c r="G999" s="9" t="n">
        <v>26092050000</v>
      </c>
      <c r="H999">
        <f>H998*(E999/E998)</f>
        <v/>
      </c>
    </row>
    <row r="1000">
      <c r="A1000" s="8" t="n">
        <v>43518</v>
      </c>
      <c r="B1000" s="7" t="n">
        <v>6066.1</v>
      </c>
      <c r="C1000" s="7" t="n">
        <v>6176.2</v>
      </c>
      <c r="D1000" s="7" t="n">
        <v>6066.1</v>
      </c>
      <c r="E1000" s="7" t="n">
        <v>6167.3</v>
      </c>
      <c r="F1000" s="9" t="n">
        <v>3569670000</v>
      </c>
      <c r="G1000" s="9" t="n">
        <v>30164720000</v>
      </c>
      <c r="H1000">
        <f>H999*(E1000/E999)</f>
        <v/>
      </c>
    </row>
    <row r="1001">
      <c r="A1001" s="8" t="n">
        <v>43525</v>
      </c>
      <c r="B1001" s="7" t="n">
        <v>6167.3</v>
      </c>
      <c r="C1001" s="7" t="n">
        <v>6209.9</v>
      </c>
      <c r="D1001" s="7" t="n">
        <v>6106</v>
      </c>
      <c r="E1001" s="7" t="n">
        <v>6192.7</v>
      </c>
      <c r="F1001" s="9" t="n">
        <v>3703121000</v>
      </c>
      <c r="G1001" s="9" t="n">
        <v>29879780000</v>
      </c>
      <c r="H1001">
        <f>H1000*(E1001/E1000)</f>
        <v/>
      </c>
    </row>
    <row r="1002">
      <c r="A1002" s="8" t="n">
        <v>43532</v>
      </c>
      <c r="B1002" s="7" t="n">
        <v>6192.7</v>
      </c>
      <c r="C1002" s="7" t="n">
        <v>6270.9</v>
      </c>
      <c r="D1002" s="7" t="n">
        <v>6175.7</v>
      </c>
      <c r="E1002" s="7" t="n">
        <v>6203.8</v>
      </c>
      <c r="F1002" s="9" t="n">
        <v>3558536000</v>
      </c>
      <c r="G1002" s="9" t="n">
        <v>28868510000</v>
      </c>
      <c r="H1002">
        <f>H1001*(E1002/E1001)</f>
        <v/>
      </c>
    </row>
    <row r="1003">
      <c r="A1003" s="8" t="n">
        <v>43539</v>
      </c>
      <c r="B1003" s="7" t="n">
        <v>6203.8</v>
      </c>
      <c r="C1003" s="7" t="n">
        <v>6222.9</v>
      </c>
      <c r="D1003" s="7" t="n">
        <v>6127.3</v>
      </c>
      <c r="E1003" s="7" t="n">
        <v>6175.2</v>
      </c>
      <c r="F1003" s="9" t="n">
        <v>3556582000</v>
      </c>
      <c r="G1003" s="9" t="n">
        <v>28531590000</v>
      </c>
      <c r="H1003">
        <f>H1002*(E1003/E1002)</f>
        <v/>
      </c>
    </row>
    <row r="1004">
      <c r="A1004" s="8" t="n">
        <v>43546</v>
      </c>
      <c r="B1004" s="7" t="n">
        <v>6175.2</v>
      </c>
      <c r="C1004" s="7" t="n">
        <v>6227.1</v>
      </c>
      <c r="D1004" s="7" t="n">
        <v>6134</v>
      </c>
      <c r="E1004" s="7" t="n">
        <v>6195.2</v>
      </c>
      <c r="F1004" s="9" t="n">
        <v>3248666000</v>
      </c>
      <c r="G1004" s="9" t="n">
        <v>25515960000</v>
      </c>
      <c r="H1004">
        <f>H1003*(E1004/E1003)</f>
        <v/>
      </c>
    </row>
    <row r="1005">
      <c r="A1005" s="8" t="n">
        <v>43553</v>
      </c>
      <c r="B1005" s="7" t="n">
        <v>6195.2</v>
      </c>
      <c r="C1005" s="7" t="n">
        <v>6213.4</v>
      </c>
      <c r="D1005" s="7" t="n">
        <v>6096.8</v>
      </c>
      <c r="E1005" s="7" t="n">
        <v>6180.7</v>
      </c>
      <c r="F1005" s="9" t="n">
        <v>3345787000</v>
      </c>
      <c r="G1005" s="9" t="n">
        <v>27212140000</v>
      </c>
      <c r="H1005">
        <f>H1004*(E1005/E1004)</f>
        <v/>
      </c>
    </row>
    <row r="1006">
      <c r="A1006" s="8" t="n">
        <v>43560</v>
      </c>
      <c r="B1006" s="7" t="n">
        <v>6180.7</v>
      </c>
      <c r="C1006" s="7" t="n">
        <v>6287.9</v>
      </c>
      <c r="D1006" s="7" t="n">
        <v>6169.8</v>
      </c>
      <c r="E1006" s="7" t="n">
        <v>6181.3</v>
      </c>
      <c r="F1006" s="9" t="n">
        <v>2985600000</v>
      </c>
      <c r="G1006" s="9" t="n">
        <v>23805210000</v>
      </c>
      <c r="H1006">
        <f>H1005*(E1006/E1005)</f>
        <v/>
      </c>
    </row>
    <row r="1007">
      <c r="A1007" s="8" t="n">
        <v>43567</v>
      </c>
      <c r="B1007" s="7" t="n">
        <v>6181.3</v>
      </c>
      <c r="C1007" s="7" t="n">
        <v>6251.3</v>
      </c>
      <c r="D1007" s="7" t="n">
        <v>6181.3</v>
      </c>
      <c r="E1007" s="7" t="n">
        <v>6251.3</v>
      </c>
      <c r="F1007" s="9" t="n">
        <v>2512905000</v>
      </c>
      <c r="G1007" s="9" t="n">
        <v>20412960000</v>
      </c>
      <c r="H1007">
        <f>H1006*(E1007/E1006)</f>
        <v/>
      </c>
    </row>
    <row r="1008">
      <c r="A1008" s="8" t="n">
        <v>43573</v>
      </c>
      <c r="B1008" s="7" t="n">
        <v>6251.3</v>
      </c>
      <c r="C1008" s="7" t="n">
        <v>6286</v>
      </c>
      <c r="D1008" s="7" t="n">
        <v>6237.6</v>
      </c>
      <c r="E1008" s="7" t="n">
        <v>6259.8</v>
      </c>
      <c r="F1008" s="9" t="n">
        <v>2139600000</v>
      </c>
      <c r="G1008" s="9" t="n">
        <v>17542510000</v>
      </c>
      <c r="H1008">
        <f>H1007*(E1008/E1007)</f>
        <v/>
      </c>
    </row>
    <row r="1009">
      <c r="A1009" s="8" t="n">
        <v>43581</v>
      </c>
      <c r="B1009" s="7" t="n">
        <v>6259.8</v>
      </c>
      <c r="C1009" s="7" t="n">
        <v>6390.5</v>
      </c>
      <c r="D1009" s="7" t="n">
        <v>6259.8</v>
      </c>
      <c r="E1009" s="7" t="n">
        <v>6385.6</v>
      </c>
      <c r="F1009" s="9" t="n">
        <v>1753445000</v>
      </c>
      <c r="G1009" s="9" t="n">
        <v>16594340000</v>
      </c>
      <c r="H1009">
        <f>H1008*(E1009/E1008)</f>
        <v/>
      </c>
    </row>
    <row r="1010">
      <c r="A1010" s="8" t="n">
        <v>43588</v>
      </c>
      <c r="B1010" s="7" t="n">
        <v>6385.6</v>
      </c>
      <c r="C1010" s="7" t="n">
        <v>6385.6</v>
      </c>
      <c r="D1010" s="7" t="n">
        <v>6316.3</v>
      </c>
      <c r="E1010" s="7" t="n">
        <v>6335.8</v>
      </c>
      <c r="F1010" s="9" t="n">
        <v>2841526000</v>
      </c>
      <c r="G1010" s="9" t="n">
        <v>22249080000</v>
      </c>
      <c r="H1010">
        <f>H1009*(E1010/E1009)</f>
        <v/>
      </c>
    </row>
    <row r="1011">
      <c r="A1011" s="8" t="n">
        <v>43595</v>
      </c>
      <c r="B1011" s="7" t="n">
        <v>6335.8</v>
      </c>
      <c r="C1011" s="7" t="n">
        <v>6341.9</v>
      </c>
      <c r="D1011" s="7" t="n">
        <v>6241.5</v>
      </c>
      <c r="E1011" s="7" t="n">
        <v>6310.9</v>
      </c>
      <c r="F1011" s="9" t="n">
        <v>2696804000</v>
      </c>
      <c r="G1011" s="9" t="n">
        <v>22875080000</v>
      </c>
      <c r="H1011">
        <f>H1010*(E1011/E1010)</f>
        <v/>
      </c>
    </row>
    <row r="1012">
      <c r="A1012" s="8" t="n">
        <v>43602</v>
      </c>
      <c r="B1012" s="7" t="n">
        <v>6310.9</v>
      </c>
      <c r="C1012" s="7" t="n">
        <v>6398.3</v>
      </c>
      <c r="D1012" s="7" t="n">
        <v>6203.1</v>
      </c>
      <c r="E1012" s="7" t="n">
        <v>6365.3</v>
      </c>
      <c r="F1012" s="9" t="n">
        <v>2986235000</v>
      </c>
      <c r="G1012" s="9" t="n">
        <v>25298180000</v>
      </c>
      <c r="H1012">
        <f>H1011*(E1012/E1011)</f>
        <v/>
      </c>
    </row>
    <row r="1013">
      <c r="A1013" s="8" t="n">
        <v>43609</v>
      </c>
      <c r="B1013" s="7" t="n">
        <v>6365.3</v>
      </c>
      <c r="C1013" s="7" t="n">
        <v>6510.9</v>
      </c>
      <c r="D1013" s="7" t="n">
        <v>6365.3</v>
      </c>
      <c r="E1013" s="7" t="n">
        <v>6456</v>
      </c>
      <c r="F1013" s="9" t="n">
        <v>3181239000</v>
      </c>
      <c r="G1013" s="9" t="n">
        <v>29263370000</v>
      </c>
      <c r="H1013">
        <f>H1012*(E1013/E1012)</f>
        <v/>
      </c>
    </row>
    <row r="1014">
      <c r="A1014" s="8" t="n">
        <v>43616</v>
      </c>
      <c r="B1014" s="7" t="n">
        <v>6455.8</v>
      </c>
      <c r="C1014" s="7" t="n">
        <v>6491.7</v>
      </c>
      <c r="D1014" s="7" t="n">
        <v>6362.2</v>
      </c>
      <c r="E1014" s="7" t="n">
        <v>6396.9</v>
      </c>
      <c r="F1014" s="9" t="n">
        <v>3253973000</v>
      </c>
      <c r="G1014" s="9" t="n">
        <v>29263090000</v>
      </c>
      <c r="H1014">
        <f>H1013*(E1014/E1013)</f>
        <v/>
      </c>
    </row>
    <row r="1015">
      <c r="A1015" s="8" t="n">
        <v>43623</v>
      </c>
      <c r="B1015" s="7" t="n">
        <v>6396.9</v>
      </c>
      <c r="C1015" s="7" t="n">
        <v>6443.9</v>
      </c>
      <c r="D1015" s="7" t="n">
        <v>6315.6</v>
      </c>
      <c r="E1015" s="7" t="n">
        <v>6443.9</v>
      </c>
      <c r="F1015" s="9" t="n">
        <v>3212106000</v>
      </c>
      <c r="G1015" s="9" t="n">
        <v>27641820000</v>
      </c>
      <c r="H1015">
        <f>H1014*(E1015/E1014)</f>
        <v/>
      </c>
    </row>
    <row r="1016">
      <c r="A1016" s="8" t="n">
        <v>43630</v>
      </c>
      <c r="B1016" s="7" t="n">
        <v>6443.9</v>
      </c>
      <c r="C1016" s="7" t="n">
        <v>6587.3</v>
      </c>
      <c r="D1016" s="7" t="n">
        <v>6443.9</v>
      </c>
      <c r="E1016" s="7" t="n">
        <v>6554</v>
      </c>
      <c r="F1016" s="9" t="n">
        <v>2632582000</v>
      </c>
      <c r="G1016" s="9" t="n">
        <v>22360390000</v>
      </c>
      <c r="H1016">
        <f>H1015*(E1016/E1015)</f>
        <v/>
      </c>
    </row>
    <row r="1017">
      <c r="A1017" s="8" t="n">
        <v>43637</v>
      </c>
      <c r="B1017" s="7" t="n">
        <v>6554</v>
      </c>
      <c r="C1017" s="7" t="n">
        <v>6691.5</v>
      </c>
      <c r="D1017" s="7" t="n">
        <v>6527</v>
      </c>
      <c r="E1017" s="7" t="n">
        <v>6650.8</v>
      </c>
      <c r="F1017" s="9" t="n">
        <v>4339040000</v>
      </c>
      <c r="G1017" s="9" t="n">
        <v>35676560000</v>
      </c>
      <c r="H1017">
        <f>H1016*(E1017/E1016)</f>
        <v/>
      </c>
    </row>
    <row r="1018">
      <c r="A1018" s="8" t="n">
        <v>43644</v>
      </c>
      <c r="B1018" s="7" t="n">
        <v>6650.8</v>
      </c>
      <c r="C1018" s="7" t="n">
        <v>6680.3</v>
      </c>
      <c r="D1018" s="7" t="n">
        <v>6606.3</v>
      </c>
      <c r="E1018" s="7" t="n">
        <v>6618.8</v>
      </c>
      <c r="F1018" s="9" t="n">
        <v>3400891000</v>
      </c>
      <c r="G1018" s="9" t="n">
        <v>28475480000</v>
      </c>
      <c r="H1018">
        <f>H1017*(E1018/E1017)</f>
        <v/>
      </c>
    </row>
    <row r="1019">
      <c r="A1019" s="8" t="n">
        <v>43651</v>
      </c>
      <c r="B1019" s="7" t="n">
        <v>6618.8</v>
      </c>
      <c r="C1019" s="7" t="n">
        <v>6769.6</v>
      </c>
      <c r="D1019" s="7" t="n">
        <v>6618.8</v>
      </c>
      <c r="E1019" s="7" t="n">
        <v>6751.3</v>
      </c>
      <c r="F1019" s="9" t="n">
        <v>2944302000</v>
      </c>
      <c r="G1019" s="9" t="n">
        <v>24238920000</v>
      </c>
      <c r="H1019">
        <f>H1018*(E1019/E1018)</f>
        <v/>
      </c>
    </row>
    <row r="1020">
      <c r="A1020" s="8" t="n">
        <v>43658</v>
      </c>
      <c r="B1020" s="7" t="n">
        <v>6740</v>
      </c>
      <c r="C1020" s="7" t="n">
        <v>6751.3</v>
      </c>
      <c r="D1020" s="7" t="n">
        <v>6641.4</v>
      </c>
      <c r="E1020" s="7" t="n">
        <v>6696.5</v>
      </c>
      <c r="F1020" s="9" t="n">
        <v>2850533000</v>
      </c>
      <c r="G1020" s="9" t="n">
        <v>23388000000</v>
      </c>
      <c r="H1020">
        <f>H1019*(E1020/E1019)</f>
        <v/>
      </c>
    </row>
    <row r="1021">
      <c r="A1021" s="8" t="n">
        <v>43665</v>
      </c>
      <c r="B1021" s="7" t="n">
        <v>6694.9</v>
      </c>
      <c r="C1021" s="7" t="n">
        <v>6705.4</v>
      </c>
      <c r="D1021" s="7" t="n">
        <v>6626.6</v>
      </c>
      <c r="E1021" s="7" t="n">
        <v>6700.3</v>
      </c>
      <c r="F1021" s="9" t="n">
        <v>2550978000</v>
      </c>
      <c r="G1021" s="9" t="n">
        <v>20350290000</v>
      </c>
      <c r="H1021">
        <f>H1020*(E1021/E1020)</f>
        <v/>
      </c>
    </row>
    <row r="1022">
      <c r="A1022" s="8" t="n">
        <v>43672</v>
      </c>
      <c r="B1022" s="7" t="n">
        <v>6700.3</v>
      </c>
      <c r="C1022" s="7" t="n">
        <v>6818</v>
      </c>
      <c r="D1022" s="7" t="n">
        <v>6673.2</v>
      </c>
      <c r="E1022" s="7" t="n">
        <v>6793.4</v>
      </c>
      <c r="F1022" s="9" t="n">
        <v>3099395000</v>
      </c>
      <c r="G1022" s="9" t="n">
        <v>28688080000</v>
      </c>
      <c r="H1022">
        <f>H1021*(E1022/E1021)</f>
        <v/>
      </c>
    </row>
    <row r="1023">
      <c r="A1023" s="8" t="n">
        <v>43679</v>
      </c>
      <c r="B1023" s="7" t="n">
        <v>6793.4</v>
      </c>
      <c r="C1023" s="7" t="n">
        <v>6875.5</v>
      </c>
      <c r="D1023" s="7" t="n">
        <v>6747.8</v>
      </c>
      <c r="E1023" s="7" t="n">
        <v>6768.6</v>
      </c>
      <c r="F1023" s="9" t="n">
        <v>3087725000</v>
      </c>
      <c r="G1023" s="9" t="n">
        <v>27588980000</v>
      </c>
      <c r="H1023">
        <f>H1022*(E1023/E1022)</f>
        <v/>
      </c>
    </row>
    <row r="1024">
      <c r="A1024" s="8" t="n">
        <v>43686</v>
      </c>
      <c r="B1024" s="7" t="n">
        <v>6768.6</v>
      </c>
      <c r="C1024" s="7" t="n">
        <v>6768.6</v>
      </c>
      <c r="D1024" s="7" t="n">
        <v>6444.4</v>
      </c>
      <c r="E1024" s="7" t="n">
        <v>6584.4</v>
      </c>
      <c r="F1024" s="9" t="n">
        <v>3476405000</v>
      </c>
      <c r="G1024" s="9" t="n">
        <v>30123930000</v>
      </c>
      <c r="H1024">
        <f>H1023*(E1024/E1023)</f>
        <v/>
      </c>
    </row>
    <row r="1025">
      <c r="A1025" s="8" t="n">
        <v>43693</v>
      </c>
      <c r="B1025" s="7" t="n">
        <v>6584.4</v>
      </c>
      <c r="C1025" s="7" t="n">
        <v>6600.7</v>
      </c>
      <c r="D1025" s="7" t="n">
        <v>6396</v>
      </c>
      <c r="E1025" s="7" t="n">
        <v>6405.5</v>
      </c>
      <c r="F1025" s="9" t="n">
        <v>3594935000</v>
      </c>
      <c r="G1025" s="9" t="n">
        <v>29509730000</v>
      </c>
      <c r="H1025">
        <f>H1024*(E1025/E1024)</f>
        <v/>
      </c>
    </row>
    <row r="1026">
      <c r="A1026" s="8" t="n">
        <v>43700</v>
      </c>
      <c r="B1026" s="7" t="n">
        <v>6405.5</v>
      </c>
      <c r="C1026" s="7" t="n">
        <v>6545</v>
      </c>
      <c r="D1026" s="7" t="n">
        <v>6405.5</v>
      </c>
      <c r="E1026" s="7" t="n">
        <v>6523.1</v>
      </c>
      <c r="F1026" s="9" t="n">
        <v>3253257000</v>
      </c>
      <c r="G1026" s="9" t="n">
        <v>27178400000</v>
      </c>
      <c r="H1026">
        <f>H1025*(E1026/E1025)</f>
        <v/>
      </c>
    </row>
    <row r="1027">
      <c r="A1027" s="8" t="n">
        <v>43707</v>
      </c>
      <c r="B1027" s="7" t="n">
        <v>6523.1</v>
      </c>
      <c r="C1027" s="7" t="n">
        <v>6612.1</v>
      </c>
      <c r="D1027" s="7" t="n">
        <v>6409.8</v>
      </c>
      <c r="E1027" s="7" t="n">
        <v>6604.2</v>
      </c>
      <c r="F1027" s="9" t="n">
        <v>3959812000</v>
      </c>
      <c r="G1027" s="9" t="n">
        <v>32544000000</v>
      </c>
      <c r="H1027">
        <f>H1026*(E1027/E1026)</f>
        <v/>
      </c>
    </row>
    <row r="1028">
      <c r="A1028" s="8" t="n">
        <v>43714</v>
      </c>
      <c r="B1028" s="7" t="n">
        <v>6604.2</v>
      </c>
      <c r="C1028" s="7" t="n">
        <v>6656.1</v>
      </c>
      <c r="D1028" s="7" t="n">
        <v>6503.9</v>
      </c>
      <c r="E1028" s="7" t="n">
        <v>6647.3</v>
      </c>
      <c r="F1028" s="9" t="n">
        <v>3199280000</v>
      </c>
      <c r="G1028" s="9" t="n">
        <v>24423360000</v>
      </c>
      <c r="H1028">
        <f>H1027*(E1028/E1027)</f>
        <v/>
      </c>
    </row>
    <row r="1029">
      <c r="A1029" s="8" t="n">
        <v>43721</v>
      </c>
      <c r="B1029" s="7" t="n">
        <v>6647.3</v>
      </c>
      <c r="C1029" s="7" t="n">
        <v>6687.4</v>
      </c>
      <c r="D1029" s="7" t="n">
        <v>6595.7</v>
      </c>
      <c r="E1029" s="7" t="n">
        <v>6669.2</v>
      </c>
      <c r="F1029" s="9" t="n">
        <v>3437230000</v>
      </c>
      <c r="G1029" s="9" t="n">
        <v>28279310000</v>
      </c>
      <c r="H1029">
        <f>H1028*(E1029/E1028)</f>
        <v/>
      </c>
    </row>
    <row r="1030">
      <c r="A1030" s="8" t="n">
        <v>43728</v>
      </c>
      <c r="B1030" s="7" t="n">
        <v>6669.2</v>
      </c>
      <c r="C1030" s="7" t="n">
        <v>6775.6</v>
      </c>
      <c r="D1030" s="7" t="n">
        <v>6646.6</v>
      </c>
      <c r="E1030" s="7" t="n">
        <v>6730.8</v>
      </c>
      <c r="F1030" s="9" t="n">
        <v>4501365000</v>
      </c>
      <c r="G1030" s="9" t="n">
        <v>40856180000</v>
      </c>
      <c r="H1030">
        <f>H1029*(E1030/E1029)</f>
        <v/>
      </c>
    </row>
    <row r="1031">
      <c r="A1031" s="8" t="n">
        <v>43735</v>
      </c>
      <c r="B1031" s="7" t="n">
        <v>6730.8</v>
      </c>
      <c r="C1031" s="7" t="n">
        <v>6770</v>
      </c>
      <c r="D1031" s="7" t="n">
        <v>6667.1</v>
      </c>
      <c r="E1031" s="7" t="n">
        <v>6716.1</v>
      </c>
      <c r="F1031" s="9" t="n">
        <v>2955242000</v>
      </c>
      <c r="G1031" s="9" t="n">
        <v>27133710000</v>
      </c>
      <c r="H1031">
        <f>H1030*(E1031/E1030)</f>
        <v/>
      </c>
    </row>
    <row r="1032">
      <c r="A1032" s="8" t="n">
        <v>43742</v>
      </c>
      <c r="B1032" s="7" t="n">
        <v>6715.9</v>
      </c>
      <c r="C1032" s="7" t="n">
        <v>6743.7</v>
      </c>
      <c r="D1032" s="7" t="n">
        <v>6475.4</v>
      </c>
      <c r="E1032" s="7" t="n">
        <v>6517.1</v>
      </c>
      <c r="F1032" s="9" t="n">
        <v>3018939000</v>
      </c>
      <c r="G1032" s="9" t="n">
        <v>25825140000</v>
      </c>
      <c r="H1032">
        <f>H1031*(E1032/E1031)</f>
        <v/>
      </c>
    </row>
    <row r="1033">
      <c r="A1033" s="8" t="n">
        <v>43749</v>
      </c>
      <c r="B1033" s="7" t="n">
        <v>6517.1</v>
      </c>
      <c r="C1033" s="7" t="n">
        <v>6614.6</v>
      </c>
      <c r="D1033" s="7" t="n">
        <v>6517.1</v>
      </c>
      <c r="E1033" s="7" t="n">
        <v>6606.8</v>
      </c>
      <c r="F1033" s="9" t="n">
        <v>2329895000</v>
      </c>
      <c r="G1033" s="9" t="n">
        <v>19364770000</v>
      </c>
      <c r="H1033">
        <f>H1032*(E1033/E1032)</f>
        <v/>
      </c>
    </row>
    <row r="1034">
      <c r="A1034" s="8" t="n">
        <v>43756</v>
      </c>
      <c r="B1034" s="7" t="n">
        <v>6606.8</v>
      </c>
      <c r="C1034" s="7" t="n">
        <v>6737.8</v>
      </c>
      <c r="D1034" s="7" t="n">
        <v>6606.8</v>
      </c>
      <c r="E1034" s="7" t="n">
        <v>6649.7</v>
      </c>
      <c r="F1034" s="9" t="n">
        <v>3175113000</v>
      </c>
      <c r="G1034" s="9" t="n">
        <v>25846970000</v>
      </c>
      <c r="H1034">
        <f>H1033*(E1034/E1033)</f>
        <v/>
      </c>
    </row>
    <row r="1035">
      <c r="A1035" s="8" t="n">
        <v>43763</v>
      </c>
      <c r="B1035" s="7" t="n">
        <v>6649.7</v>
      </c>
      <c r="C1035" s="7" t="n">
        <v>6741.5</v>
      </c>
      <c r="D1035" s="7" t="n">
        <v>6612.4</v>
      </c>
      <c r="E1035" s="7" t="n">
        <v>6739.2</v>
      </c>
      <c r="F1035" s="9" t="n">
        <v>2827750000</v>
      </c>
      <c r="G1035" s="9" t="n">
        <v>23030040000</v>
      </c>
      <c r="H1035">
        <f>H1034*(E1035/E1034)</f>
        <v/>
      </c>
    </row>
    <row r="1036">
      <c r="A1036" s="8" t="n">
        <v>43770</v>
      </c>
      <c r="B1036" s="7" t="n">
        <v>6739.9</v>
      </c>
      <c r="C1036" s="7" t="n">
        <v>6766.2</v>
      </c>
      <c r="D1036" s="7" t="n">
        <v>6634.7</v>
      </c>
      <c r="E1036" s="7" t="n">
        <v>6669.1</v>
      </c>
      <c r="F1036" s="9" t="n">
        <v>2857761000</v>
      </c>
      <c r="G1036" s="9" t="n">
        <v>23336150000</v>
      </c>
      <c r="H1036">
        <f>H1035*(E1036/E1035)</f>
        <v/>
      </c>
    </row>
    <row r="1037">
      <c r="A1037" s="8" t="n">
        <v>43777</v>
      </c>
      <c r="B1037" s="7" t="n">
        <v>6669.1</v>
      </c>
      <c r="C1037" s="7" t="n">
        <v>6742.2</v>
      </c>
      <c r="D1037" s="7" t="n">
        <v>6658.2</v>
      </c>
      <c r="E1037" s="7" t="n">
        <v>6724.1</v>
      </c>
      <c r="F1037" s="9" t="n">
        <v>2918432000</v>
      </c>
      <c r="G1037" s="9" t="n">
        <v>26830230000</v>
      </c>
      <c r="H1037">
        <f>H1036*(E1037/E1036)</f>
        <v/>
      </c>
    </row>
    <row r="1038">
      <c r="A1038" s="8" t="n">
        <v>43784</v>
      </c>
      <c r="B1038" s="7" t="n">
        <v>6724.1</v>
      </c>
      <c r="C1038" s="7" t="n">
        <v>6798.7</v>
      </c>
      <c r="D1038" s="7" t="n">
        <v>6687.7</v>
      </c>
      <c r="E1038" s="7" t="n">
        <v>6793.7</v>
      </c>
      <c r="F1038" s="9" t="n">
        <v>3023791000</v>
      </c>
      <c r="G1038" s="9" t="n">
        <v>27201500000</v>
      </c>
      <c r="H1038">
        <f>H1037*(E1038/E1037)</f>
        <v/>
      </c>
    </row>
    <row r="1039">
      <c r="A1039" s="8" t="n">
        <v>43791</v>
      </c>
      <c r="B1039" s="7" t="n">
        <v>6793.7</v>
      </c>
      <c r="C1039" s="7" t="n">
        <v>6814.2</v>
      </c>
      <c r="D1039" s="7" t="n">
        <v>6637.3</v>
      </c>
      <c r="E1039" s="7" t="n">
        <v>6709.8</v>
      </c>
      <c r="F1039" s="9" t="n">
        <v>2899644000</v>
      </c>
      <c r="G1039" s="9" t="n">
        <v>25831130000</v>
      </c>
      <c r="H1039">
        <f>H1038*(E1039/E1038)</f>
        <v/>
      </c>
    </row>
    <row r="1040">
      <c r="A1040" s="8" t="n">
        <v>43798</v>
      </c>
      <c r="B1040" s="7" t="n">
        <v>6712</v>
      </c>
      <c r="C1040" s="7" t="n">
        <v>6893.7</v>
      </c>
      <c r="D1040" s="7" t="n">
        <v>6712</v>
      </c>
      <c r="E1040" s="7" t="n">
        <v>6846</v>
      </c>
      <c r="F1040" s="9" t="n">
        <v>3269527000</v>
      </c>
      <c r="G1040" s="9" t="n">
        <v>30168250000</v>
      </c>
      <c r="H1040">
        <f>H1039*(E1040/E1039)</f>
        <v/>
      </c>
    </row>
    <row r="1041">
      <c r="A1041" s="8" t="n">
        <v>43805</v>
      </c>
      <c r="B1041" s="7" t="n">
        <v>6846</v>
      </c>
      <c r="C1041" s="7" t="n">
        <v>6890</v>
      </c>
      <c r="D1041" s="7" t="n">
        <v>6590.1</v>
      </c>
      <c r="E1041" s="7" t="n">
        <v>6707</v>
      </c>
      <c r="F1041" s="9" t="n">
        <v>3025099000</v>
      </c>
      <c r="G1041" s="9" t="n">
        <v>27360100000</v>
      </c>
      <c r="H1041">
        <f>H1040*(E1041/E1040)</f>
        <v/>
      </c>
    </row>
    <row r="1042">
      <c r="A1042" s="8" t="n">
        <v>43812</v>
      </c>
      <c r="B1042" s="7" t="n">
        <v>6707</v>
      </c>
      <c r="C1042" s="7" t="n">
        <v>6753.1</v>
      </c>
      <c r="D1042" s="7" t="n">
        <v>6701.2</v>
      </c>
      <c r="E1042" s="7" t="n">
        <v>6739.7</v>
      </c>
      <c r="F1042" s="9" t="n">
        <v>2893419000</v>
      </c>
      <c r="G1042" s="9" t="n">
        <v>24365900000</v>
      </c>
      <c r="H1042">
        <f>H1041*(E1042/E1041)</f>
        <v/>
      </c>
    </row>
    <row r="1043">
      <c r="A1043" s="8" t="n">
        <v>43819</v>
      </c>
      <c r="B1043" s="7" t="n">
        <v>6741.6</v>
      </c>
      <c r="C1043" s="7" t="n">
        <v>6872.8</v>
      </c>
      <c r="D1043" s="7" t="n">
        <v>6741.6</v>
      </c>
      <c r="E1043" s="7" t="n">
        <v>6816.3</v>
      </c>
      <c r="F1043" s="9" t="n">
        <v>3705434000</v>
      </c>
      <c r="G1043" s="9" t="n">
        <v>34089380000</v>
      </c>
      <c r="H1043">
        <f>H1042*(E1043/E1042)</f>
        <v/>
      </c>
    </row>
    <row r="1044">
      <c r="A1044" s="8" t="n">
        <v>43826</v>
      </c>
      <c r="B1044" s="7" t="n">
        <v>6816.3</v>
      </c>
      <c r="C1044" s="7" t="n">
        <v>6822.1</v>
      </c>
      <c r="D1044" s="7" t="n">
        <v>6776.2</v>
      </c>
      <c r="E1044" s="7" t="n">
        <v>6821.7</v>
      </c>
      <c r="F1044" s="9" t="n">
        <v>856616100</v>
      </c>
      <c r="G1044" s="9" t="n">
        <v>6985754000</v>
      </c>
      <c r="H1044">
        <f>H1043*(E1044/E1043)</f>
        <v/>
      </c>
    </row>
    <row r="1045">
      <c r="A1045" s="8" t="n">
        <v>43833</v>
      </c>
      <c r="B1045" s="7" t="n">
        <v>6821.7</v>
      </c>
      <c r="C1045" s="7" t="n">
        <v>6824.7</v>
      </c>
      <c r="D1045" s="7" t="n">
        <v>6669.2</v>
      </c>
      <c r="E1045" s="7" t="n">
        <v>6733.5</v>
      </c>
      <c r="F1045" s="9" t="n">
        <v>1279047000</v>
      </c>
      <c r="G1045" s="9" t="n">
        <v>10493730000</v>
      </c>
      <c r="H1045">
        <f>H1044*(E1045/E1044)</f>
        <v/>
      </c>
    </row>
    <row r="1046">
      <c r="A1046" s="8" t="n">
        <v>43840</v>
      </c>
      <c r="B1046" s="7" t="n">
        <v>6733.1</v>
      </c>
      <c r="C1046" s="7" t="n">
        <v>6933.2</v>
      </c>
      <c r="D1046" s="7" t="n">
        <v>6671.7</v>
      </c>
      <c r="E1046" s="7" t="n">
        <v>6929</v>
      </c>
      <c r="F1046" s="9" t="n">
        <v>2505965000</v>
      </c>
      <c r="G1046" s="9" t="n">
        <v>21149860000</v>
      </c>
      <c r="H1046">
        <f>H1045*(E1046/E1045)</f>
        <v/>
      </c>
    </row>
    <row r="1047">
      <c r="A1047" s="8" t="n">
        <v>43847</v>
      </c>
      <c r="B1047" s="7" t="n">
        <v>6929</v>
      </c>
      <c r="C1047" s="7" t="n">
        <v>7088.1</v>
      </c>
      <c r="D1047" s="7" t="n">
        <v>6880.7</v>
      </c>
      <c r="E1047" s="7" t="n">
        <v>7064.1</v>
      </c>
      <c r="F1047" s="9" t="n">
        <v>2529704000</v>
      </c>
      <c r="G1047" s="9" t="n">
        <v>21251080000</v>
      </c>
      <c r="H1047">
        <f>H1046*(E1047/E1046)</f>
        <v/>
      </c>
    </row>
    <row r="1048">
      <c r="A1048" s="8" t="n">
        <v>43854</v>
      </c>
      <c r="B1048" s="7" t="n">
        <v>7064.1</v>
      </c>
      <c r="C1048" s="7" t="n">
        <v>7144.9</v>
      </c>
      <c r="D1048" s="7" t="n">
        <v>7040.7</v>
      </c>
      <c r="E1048" s="7" t="n">
        <v>7090.5</v>
      </c>
      <c r="F1048" s="9" t="n">
        <v>2523519000</v>
      </c>
      <c r="G1048" s="9" t="n">
        <v>23986080000</v>
      </c>
      <c r="H1048">
        <f>H1047*(E1048/E1047)</f>
        <v/>
      </c>
    </row>
    <row r="1049">
      <c r="A1049" s="8" t="n">
        <v>43861</v>
      </c>
      <c r="B1049" s="7" t="n">
        <v>7051.2</v>
      </c>
      <c r="C1049" s="7" t="n">
        <v>7090.5</v>
      </c>
      <c r="D1049" s="7" t="n">
        <v>6964.7</v>
      </c>
      <c r="E1049" s="7" t="n">
        <v>7017.2</v>
      </c>
      <c r="F1049" s="9" t="n">
        <v>2651992000</v>
      </c>
      <c r="G1049" s="9" t="n">
        <v>24942240000</v>
      </c>
      <c r="H1049">
        <f>H1048*(E1049/E1048)</f>
        <v/>
      </c>
    </row>
    <row r="1050">
      <c r="A1050" s="8" t="n">
        <v>43868</v>
      </c>
      <c r="B1050" s="7" t="n">
        <v>7017.2</v>
      </c>
      <c r="C1050" s="7" t="n">
        <v>7051.6</v>
      </c>
      <c r="D1050" s="7" t="n">
        <v>6897</v>
      </c>
      <c r="E1050" s="7" t="n">
        <v>7022.6</v>
      </c>
      <c r="F1050" s="9" t="n">
        <v>3198891000</v>
      </c>
      <c r="G1050" s="9" t="n">
        <v>28144550000</v>
      </c>
      <c r="H1050">
        <f>H1049*(E1050/E1049)</f>
        <v/>
      </c>
    </row>
    <row r="1051">
      <c r="A1051" s="8" t="n">
        <v>43875</v>
      </c>
      <c r="B1051" s="7" t="n">
        <v>7022.6</v>
      </c>
      <c r="C1051" s="7" t="n">
        <v>7145.8</v>
      </c>
      <c r="D1051" s="7" t="n">
        <v>6982.6</v>
      </c>
      <c r="E1051" s="7" t="n">
        <v>7130.2</v>
      </c>
      <c r="F1051" s="9" t="n">
        <v>3329474000</v>
      </c>
      <c r="G1051" s="9" t="n">
        <v>30040250000</v>
      </c>
      <c r="H1051">
        <f>H1050*(E1051/E1050)</f>
        <v/>
      </c>
    </row>
    <row r="1052">
      <c r="A1052" s="8" t="n">
        <v>43882</v>
      </c>
      <c r="B1052" s="7" t="n">
        <v>7130.2</v>
      </c>
      <c r="C1052" s="7" t="n">
        <v>7197.2</v>
      </c>
      <c r="D1052" s="7" t="n">
        <v>7096.8</v>
      </c>
      <c r="E1052" s="7" t="n">
        <v>7139</v>
      </c>
      <c r="F1052" s="9" t="n">
        <v>3901446000</v>
      </c>
      <c r="G1052" s="9" t="n">
        <v>31727680000</v>
      </c>
      <c r="H1052">
        <f>H1051*(E1052/E1051)</f>
        <v/>
      </c>
    </row>
    <row r="1053">
      <c r="A1053" s="8" t="n">
        <v>43889</v>
      </c>
      <c r="B1053" s="7" t="n">
        <v>7139</v>
      </c>
      <c r="C1053" s="7" t="n">
        <v>7139</v>
      </c>
      <c r="D1053" s="7" t="n">
        <v>6426.8</v>
      </c>
      <c r="E1053" s="7" t="n">
        <v>6441.2</v>
      </c>
      <c r="F1053" s="9" t="n">
        <v>5404887000</v>
      </c>
      <c r="G1053" s="9" t="n">
        <v>45398040000</v>
      </c>
      <c r="H1053">
        <f>H1052*(E1053/E1052)</f>
        <v/>
      </c>
    </row>
    <row r="1054">
      <c r="A1054" s="8" t="n">
        <v>43896</v>
      </c>
      <c r="B1054" s="7" t="n">
        <v>6438.9</v>
      </c>
      <c r="C1054" s="7" t="n">
        <v>6524.3</v>
      </c>
      <c r="D1054" s="7" t="n">
        <v>6216.2</v>
      </c>
      <c r="E1054" s="7" t="n">
        <v>6216.2</v>
      </c>
      <c r="F1054" s="9" t="n">
        <v>5204254000</v>
      </c>
      <c r="G1054" s="9" t="n">
        <v>42150240000</v>
      </c>
      <c r="H1054">
        <f>H1053*(E1054/E1053)</f>
        <v/>
      </c>
    </row>
    <row r="1055">
      <c r="A1055" s="8" t="n">
        <v>43903</v>
      </c>
      <c r="B1055" s="7" t="n">
        <v>6216.2</v>
      </c>
      <c r="C1055" s="7" t="n">
        <v>6216.2</v>
      </c>
      <c r="D1055" s="7" t="n">
        <v>4873.7</v>
      </c>
      <c r="E1055" s="7" t="n">
        <v>5539.3</v>
      </c>
      <c r="F1055" s="9" t="n">
        <v>8733643000</v>
      </c>
      <c r="G1055" s="9" t="n">
        <v>63388360000</v>
      </c>
      <c r="H1055">
        <f>H1054*(E1055/E1054)</f>
        <v/>
      </c>
    </row>
    <row r="1056">
      <c r="A1056" s="8" t="n">
        <v>43910</v>
      </c>
      <c r="B1056" s="7" t="n">
        <v>5539.3</v>
      </c>
      <c r="C1056" s="7" t="n">
        <v>5539.3</v>
      </c>
      <c r="D1056" s="7" t="n">
        <v>4741</v>
      </c>
      <c r="E1056" s="7" t="n">
        <v>4816.6</v>
      </c>
      <c r="F1056" s="9" t="n">
        <v>9160127000</v>
      </c>
      <c r="G1056" s="9" t="n">
        <v>62409660000</v>
      </c>
      <c r="H1056">
        <f>H1055*(E1056/E1055)</f>
        <v/>
      </c>
    </row>
    <row r="1057">
      <c r="A1057" s="8" t="n">
        <v>43917</v>
      </c>
      <c r="B1057" s="7" t="n">
        <v>4816.6</v>
      </c>
      <c r="C1057" s="7" t="n">
        <v>5236.7</v>
      </c>
      <c r="D1057" s="7" t="n">
        <v>4402.5</v>
      </c>
      <c r="E1057" s="7" t="n">
        <v>4842.4</v>
      </c>
      <c r="F1057" s="9" t="n">
        <v>6918853000</v>
      </c>
      <c r="G1057" s="9" t="n">
        <v>47220110000</v>
      </c>
      <c r="H1057">
        <f>H1056*(E1057/E1056)</f>
        <v/>
      </c>
    </row>
    <row r="1058">
      <c r="A1058" s="8" t="n">
        <v>43924</v>
      </c>
      <c r="B1058" s="7" t="n">
        <v>4842.4</v>
      </c>
      <c r="C1058" s="7" t="n">
        <v>5366.4</v>
      </c>
      <c r="D1058" s="7" t="n">
        <v>4833.1</v>
      </c>
      <c r="E1058" s="7" t="n">
        <v>5067.5</v>
      </c>
      <c r="F1058" s="9" t="n">
        <v>5713155000</v>
      </c>
      <c r="G1058" s="9" t="n">
        <v>40613830000</v>
      </c>
      <c r="H1058">
        <f>H1057*(E1058/E1057)</f>
        <v/>
      </c>
    </row>
    <row r="1059">
      <c r="A1059" s="8" t="n">
        <v>43930</v>
      </c>
      <c r="B1059" s="7" t="n">
        <v>5067.5</v>
      </c>
      <c r="C1059" s="7" t="n">
        <v>5423.1</v>
      </c>
      <c r="D1059" s="7" t="n">
        <v>5067.5</v>
      </c>
      <c r="E1059" s="7" t="n">
        <v>5387.3</v>
      </c>
      <c r="F1059" s="9" t="n">
        <v>4098575000</v>
      </c>
      <c r="G1059" s="9" t="n">
        <v>27940750000</v>
      </c>
      <c r="H1059">
        <f>H1058*(E1059/E1058)</f>
        <v/>
      </c>
    </row>
    <row r="1060">
      <c r="A1060" s="8" t="n">
        <v>43938</v>
      </c>
      <c r="B1060" s="7" t="n">
        <v>5387.3</v>
      </c>
      <c r="C1060" s="7" t="n">
        <v>5563.6</v>
      </c>
      <c r="D1060" s="7" t="n">
        <v>5345</v>
      </c>
      <c r="E1060" s="7" t="n">
        <v>5487.5</v>
      </c>
      <c r="F1060" s="9" t="n">
        <v>4415913000</v>
      </c>
      <c r="G1060" s="9" t="n">
        <v>28861960000</v>
      </c>
      <c r="H1060">
        <f>H1059*(E1060/E1059)</f>
        <v/>
      </c>
    </row>
    <row r="1061">
      <c r="A1061" s="8" t="n">
        <v>43945</v>
      </c>
      <c r="B1061" s="7" t="n">
        <v>5486.3</v>
      </c>
      <c r="C1061" s="7" t="n">
        <v>5490.6</v>
      </c>
      <c r="D1061" s="7" t="n">
        <v>5100.7</v>
      </c>
      <c r="E1061" s="7" t="n">
        <v>5242.6</v>
      </c>
      <c r="F1061" s="9" t="n">
        <v>4463600000</v>
      </c>
      <c r="G1061" s="9" t="n">
        <v>29497730000</v>
      </c>
      <c r="H1061">
        <f>H1060*(E1061/E1060)</f>
        <v/>
      </c>
    </row>
    <row r="1062">
      <c r="A1062" s="8" t="n">
        <v>43952</v>
      </c>
      <c r="B1062" s="7" t="n">
        <v>5242.6</v>
      </c>
      <c r="C1062" s="7" t="n">
        <v>5549.1</v>
      </c>
      <c r="D1062" s="7" t="n">
        <v>5214.8</v>
      </c>
      <c r="E1062" s="7" t="n">
        <v>5245.9</v>
      </c>
      <c r="F1062" s="9" t="n">
        <v>4631251000</v>
      </c>
      <c r="G1062" s="9" t="n">
        <v>32634180000</v>
      </c>
      <c r="H1062">
        <f>H1061*(E1062/E1061)</f>
        <v/>
      </c>
    </row>
    <row r="1063">
      <c r="A1063" s="8" t="n">
        <v>43959</v>
      </c>
      <c r="B1063" s="7" t="n">
        <v>5245.9</v>
      </c>
      <c r="C1063" s="7" t="n">
        <v>5428</v>
      </c>
      <c r="D1063" s="7" t="n">
        <v>5169.6</v>
      </c>
      <c r="E1063" s="7" t="n">
        <v>5391.1</v>
      </c>
      <c r="F1063" s="9" t="n">
        <v>3901394000</v>
      </c>
      <c r="G1063" s="9" t="n">
        <v>27533440000</v>
      </c>
      <c r="H1063">
        <f>H1062*(E1063/E1062)</f>
        <v/>
      </c>
    </row>
    <row r="1064">
      <c r="A1064" s="8" t="n">
        <v>43966</v>
      </c>
      <c r="B1064" s="7" t="n">
        <v>5391.1</v>
      </c>
      <c r="C1064" s="7" t="n">
        <v>5489.5</v>
      </c>
      <c r="D1064" s="7" t="n">
        <v>5301.9</v>
      </c>
      <c r="E1064" s="7" t="n">
        <v>5404.8</v>
      </c>
      <c r="F1064" s="9" t="n">
        <v>4137562000</v>
      </c>
      <c r="G1064" s="9" t="n">
        <v>26527700000</v>
      </c>
      <c r="H1064">
        <f>H1063*(E1064/E1063)</f>
        <v/>
      </c>
    </row>
    <row r="1065">
      <c r="A1065" s="8" t="n">
        <v>43973</v>
      </c>
      <c r="B1065" s="7" t="n">
        <v>5404.8</v>
      </c>
      <c r="C1065" s="7" t="n">
        <v>5610.8</v>
      </c>
      <c r="D1065" s="7" t="n">
        <v>5404.8</v>
      </c>
      <c r="E1065" s="7" t="n">
        <v>5497</v>
      </c>
      <c r="F1065" s="9" t="n">
        <v>4086961000</v>
      </c>
      <c r="G1065" s="9" t="n">
        <v>27286670000</v>
      </c>
      <c r="H1065">
        <f>H1064*(E1065/E1064)</f>
        <v/>
      </c>
    </row>
    <row r="1066">
      <c r="A1066" s="8" t="n">
        <v>43980</v>
      </c>
      <c r="B1066" s="7" t="n">
        <v>5497</v>
      </c>
      <c r="C1066" s="7" t="n">
        <v>5922</v>
      </c>
      <c r="D1066" s="7" t="n">
        <v>5497</v>
      </c>
      <c r="E1066" s="7" t="n">
        <v>5755.7</v>
      </c>
      <c r="F1066" s="9" t="n">
        <v>6721227000</v>
      </c>
      <c r="G1066" s="9" t="n">
        <v>47494800000</v>
      </c>
      <c r="H1066">
        <f>H1065*(E1066/E1065)</f>
        <v/>
      </c>
    </row>
    <row r="1067">
      <c r="A1067" s="8" t="n">
        <v>43987</v>
      </c>
      <c r="B1067" s="7" t="n">
        <v>5755.7</v>
      </c>
      <c r="C1067" s="7" t="n">
        <v>6040.2</v>
      </c>
      <c r="D1067" s="7" t="n">
        <v>5705.4</v>
      </c>
      <c r="E1067" s="7" t="n">
        <v>5998.7</v>
      </c>
      <c r="F1067" s="9" t="n">
        <v>5106819000</v>
      </c>
      <c r="G1067" s="9" t="n">
        <v>34662790000</v>
      </c>
      <c r="H1067">
        <f>H1066*(E1067/E1066)</f>
        <v/>
      </c>
    </row>
    <row r="1068">
      <c r="A1068" s="8" t="n">
        <v>43994</v>
      </c>
      <c r="B1068" s="7" t="n">
        <v>5998.7</v>
      </c>
      <c r="C1068" s="7" t="n">
        <v>6198.6</v>
      </c>
      <c r="D1068" s="7" t="n">
        <v>5756.5</v>
      </c>
      <c r="E1068" s="7" t="n">
        <v>5847.8</v>
      </c>
      <c r="F1068" s="9" t="n">
        <v>4907468000</v>
      </c>
      <c r="G1068" s="9" t="n">
        <v>34150190000</v>
      </c>
      <c r="H1068">
        <f>H1067*(E1068/E1067)</f>
        <v/>
      </c>
    </row>
    <row r="1069">
      <c r="A1069" s="8" t="n">
        <v>44001</v>
      </c>
      <c r="B1069" s="7" t="n">
        <v>5847.8</v>
      </c>
      <c r="C1069" s="7" t="n">
        <v>6006.3</v>
      </c>
      <c r="D1069" s="7" t="n">
        <v>5719.8</v>
      </c>
      <c r="E1069" s="7" t="n">
        <v>5942.6</v>
      </c>
      <c r="F1069" s="9" t="n">
        <v>6196036000</v>
      </c>
      <c r="G1069" s="9" t="n">
        <v>44016050000</v>
      </c>
      <c r="H1069">
        <f>H1068*(E1069/E1068)</f>
        <v/>
      </c>
    </row>
    <row r="1070">
      <c r="A1070" s="8" t="n">
        <v>44008</v>
      </c>
      <c r="B1070" s="7" t="n">
        <v>5942.6</v>
      </c>
      <c r="C1070" s="7" t="n">
        <v>5999.2</v>
      </c>
      <c r="D1070" s="7" t="n">
        <v>5817.7</v>
      </c>
      <c r="E1070" s="7" t="n">
        <v>5904.1</v>
      </c>
      <c r="F1070" s="9" t="n">
        <v>4279813000</v>
      </c>
      <c r="G1070" s="9" t="n">
        <v>30242130000</v>
      </c>
      <c r="H1070">
        <f>H1069*(E1070/E1069)</f>
        <v/>
      </c>
    </row>
    <row r="1071">
      <c r="A1071" s="8" t="n">
        <v>44015</v>
      </c>
      <c r="B1071" s="7" t="n">
        <v>5904.1</v>
      </c>
      <c r="C1071" s="7" t="n">
        <v>6101.4</v>
      </c>
      <c r="D1071" s="7" t="n">
        <v>5773.2</v>
      </c>
      <c r="E1071" s="7" t="n">
        <v>6057.9</v>
      </c>
      <c r="F1071" s="9" t="n">
        <v>3926256000</v>
      </c>
      <c r="G1071" s="9" t="n">
        <v>27971250000</v>
      </c>
      <c r="H1071">
        <f>H1070*(E1071/E1070)</f>
        <v/>
      </c>
    </row>
    <row r="1072">
      <c r="A1072" s="8" t="n">
        <v>44022</v>
      </c>
      <c r="B1072" s="7" t="n">
        <v>6057.9</v>
      </c>
      <c r="C1072" s="7" t="n">
        <v>6078.3</v>
      </c>
      <c r="D1072" s="7" t="n">
        <v>5899.5</v>
      </c>
      <c r="E1072" s="7" t="n">
        <v>5919.2</v>
      </c>
      <c r="F1072" s="9" t="n">
        <v>3365418000</v>
      </c>
      <c r="G1072" s="9" t="n">
        <v>25473130000</v>
      </c>
      <c r="H1072">
        <f>H1071*(E1072/E1071)</f>
        <v/>
      </c>
    </row>
    <row r="1073">
      <c r="A1073" s="8" t="n">
        <v>44029</v>
      </c>
      <c r="B1073" s="7" t="n">
        <v>5998.4</v>
      </c>
      <c r="C1073" s="7" t="n">
        <v>6078</v>
      </c>
      <c r="D1073" s="7" t="n">
        <v>5918.8</v>
      </c>
      <c r="E1073" s="7" t="n">
        <v>6033.6</v>
      </c>
      <c r="F1073" s="9" t="n">
        <v>3235487000</v>
      </c>
      <c r="G1073" s="9" t="n">
        <v>25742140000</v>
      </c>
      <c r="H1073">
        <f>H1072*(E1073/E1072)</f>
        <v/>
      </c>
    </row>
    <row r="1074">
      <c r="A1074" s="8" t="n">
        <v>44036</v>
      </c>
      <c r="B1074" s="7" t="n">
        <v>6033.6</v>
      </c>
      <c r="C1074" s="7" t="n">
        <v>6160.6</v>
      </c>
      <c r="D1074" s="7" t="n">
        <v>5991.9</v>
      </c>
      <c r="E1074" s="7" t="n">
        <v>6024</v>
      </c>
      <c r="F1074" s="9" t="n">
        <v>2962388000</v>
      </c>
      <c r="G1074" s="9" t="n">
        <v>22028310000</v>
      </c>
      <c r="H1074">
        <f>H1073*(E1074/E1073)</f>
        <v/>
      </c>
    </row>
    <row r="1075">
      <c r="A1075" s="8" t="n">
        <v>44043</v>
      </c>
      <c r="B1075" s="7" t="n">
        <v>6024</v>
      </c>
      <c r="C1075" s="7" t="n">
        <v>6113.8</v>
      </c>
      <c r="D1075" s="7" t="n">
        <v>5893.2</v>
      </c>
      <c r="E1075" s="7" t="n">
        <v>5927.8</v>
      </c>
      <c r="F1075" s="9" t="n">
        <v>3533026000</v>
      </c>
      <c r="G1075" s="9" t="n">
        <v>26986360000</v>
      </c>
      <c r="H1075">
        <f>H1074*(E1075/E1074)</f>
        <v/>
      </c>
    </row>
    <row r="1076">
      <c r="A1076" s="8" t="n">
        <v>44050</v>
      </c>
      <c r="B1076" s="7" t="n">
        <v>5927.8</v>
      </c>
      <c r="C1076" s="7" t="n">
        <v>6059.5</v>
      </c>
      <c r="D1076" s="7" t="n">
        <v>5860.7</v>
      </c>
      <c r="E1076" s="7" t="n">
        <v>6004.8</v>
      </c>
      <c r="F1076" s="9" t="n">
        <v>3414718000</v>
      </c>
      <c r="G1076" s="9" t="n">
        <v>26238120000</v>
      </c>
      <c r="H1076">
        <f>H1075*(E1076/E1075)</f>
        <v/>
      </c>
    </row>
    <row r="1077">
      <c r="A1077" s="8" t="n">
        <v>44057</v>
      </c>
      <c r="B1077" s="7" t="n">
        <v>6004.8</v>
      </c>
      <c r="C1077" s="7" t="n">
        <v>6186.1</v>
      </c>
      <c r="D1077" s="7" t="n">
        <v>6004.8</v>
      </c>
      <c r="E1077" s="7" t="n">
        <v>6126.2</v>
      </c>
      <c r="F1077" s="9" t="n">
        <v>3752733000</v>
      </c>
      <c r="G1077" s="9" t="n">
        <v>29347880000</v>
      </c>
      <c r="H1077">
        <f>H1076*(E1077/E1076)</f>
        <v/>
      </c>
    </row>
    <row r="1078">
      <c r="A1078" s="8" t="n">
        <v>44064</v>
      </c>
      <c r="B1078" s="7" t="n">
        <v>6126.2</v>
      </c>
      <c r="C1078" s="7" t="n">
        <v>6196.6</v>
      </c>
      <c r="D1078" s="7" t="n">
        <v>6059.3</v>
      </c>
      <c r="E1078" s="7" t="n">
        <v>6111.2</v>
      </c>
      <c r="F1078" s="9" t="n">
        <v>4090026000</v>
      </c>
      <c r="G1078" s="9" t="n">
        <v>31908790000</v>
      </c>
      <c r="H1078">
        <f>H1077*(E1078/E1077)</f>
        <v/>
      </c>
    </row>
    <row r="1079">
      <c r="A1079" s="8" t="n">
        <v>44071</v>
      </c>
      <c r="B1079" s="7" t="n">
        <v>6111.2</v>
      </c>
      <c r="C1079" s="7" t="n">
        <v>6199.2</v>
      </c>
      <c r="D1079" s="7" t="n">
        <v>6056</v>
      </c>
      <c r="E1079" s="7" t="n">
        <v>6073.8</v>
      </c>
      <c r="F1079" s="9" t="n">
        <v>4236599000</v>
      </c>
      <c r="G1079" s="9" t="n">
        <v>31701440000</v>
      </c>
      <c r="H1079">
        <f>H1078*(E1079/E1078)</f>
        <v/>
      </c>
    </row>
    <row r="1080">
      <c r="A1080" s="8" t="n">
        <v>44078</v>
      </c>
      <c r="B1080" s="7" t="n">
        <v>6073.8</v>
      </c>
      <c r="C1080" s="7" t="n">
        <v>6130.8</v>
      </c>
      <c r="D1080" s="7" t="n">
        <v>5908.9</v>
      </c>
      <c r="E1080" s="7" t="n">
        <v>5925.5</v>
      </c>
      <c r="F1080" s="9" t="n">
        <v>3998766000</v>
      </c>
      <c r="G1080" s="9" t="n">
        <v>30826940000</v>
      </c>
      <c r="H1080">
        <f>H1079*(E1080/E1079)</f>
        <v/>
      </c>
    </row>
    <row r="1081">
      <c r="A1081" s="8" t="n">
        <v>44085</v>
      </c>
      <c r="B1081" s="7" t="n">
        <v>5925.5</v>
      </c>
      <c r="C1081" s="7" t="n">
        <v>6025.5</v>
      </c>
      <c r="D1081" s="7" t="n">
        <v>5836.2</v>
      </c>
      <c r="E1081" s="7" t="n">
        <v>5859.4</v>
      </c>
      <c r="F1081" s="9" t="n">
        <v>3390567000</v>
      </c>
      <c r="G1081" s="9" t="n">
        <v>24661500000</v>
      </c>
      <c r="H1081">
        <f>H1080*(E1081/E1080)</f>
        <v/>
      </c>
    </row>
    <row r="1082">
      <c r="A1082" s="8" t="n">
        <v>44092</v>
      </c>
      <c r="B1082" s="7" t="n">
        <v>5859.4</v>
      </c>
      <c r="C1082" s="7" t="n">
        <v>5958.5</v>
      </c>
      <c r="D1082" s="7" t="n">
        <v>5859.4</v>
      </c>
      <c r="E1082" s="7" t="n">
        <v>5864.5</v>
      </c>
      <c r="F1082" s="9" t="n">
        <v>4691381000</v>
      </c>
      <c r="G1082" s="9" t="n">
        <v>35864300000</v>
      </c>
      <c r="H1082">
        <f>H1081*(E1082/E1081)</f>
        <v/>
      </c>
    </row>
    <row r="1083">
      <c r="A1083" s="8" t="n">
        <v>44099</v>
      </c>
      <c r="B1083" s="7" t="n">
        <v>5864.5</v>
      </c>
      <c r="C1083" s="7" t="n">
        <v>5973.7</v>
      </c>
      <c r="D1083" s="7" t="n">
        <v>5763.2</v>
      </c>
      <c r="E1083" s="7" t="n">
        <v>5964.9</v>
      </c>
      <c r="F1083" s="9" t="n">
        <v>3701911000</v>
      </c>
      <c r="G1083" s="9" t="n">
        <v>28117470000</v>
      </c>
      <c r="H1083">
        <f>H1082*(E1083/E1082)</f>
        <v/>
      </c>
    </row>
    <row r="1084">
      <c r="A1084" s="8" t="n">
        <v>44106</v>
      </c>
      <c r="B1084" s="7" t="n">
        <v>5964.9</v>
      </c>
      <c r="C1084" s="7" t="n">
        <v>5995.4</v>
      </c>
      <c r="D1084" s="7" t="n">
        <v>5779.6</v>
      </c>
      <c r="E1084" s="7" t="n">
        <v>5791.5</v>
      </c>
      <c r="F1084" s="9" t="n">
        <v>3524037000</v>
      </c>
      <c r="G1084" s="9" t="n">
        <v>26000540000</v>
      </c>
      <c r="H1084">
        <f>H1083*(E1084/E1083)</f>
        <v/>
      </c>
    </row>
    <row r="1085">
      <c r="A1085" s="8" t="n">
        <v>44113</v>
      </c>
      <c r="B1085" s="7" t="n">
        <v>5791.5</v>
      </c>
      <c r="C1085" s="7" t="n">
        <v>6127.4</v>
      </c>
      <c r="D1085" s="7" t="n">
        <v>5791.5</v>
      </c>
      <c r="E1085" s="7" t="n">
        <v>6102.2</v>
      </c>
      <c r="F1085" s="9" t="n">
        <v>2884426000</v>
      </c>
      <c r="G1085" s="9" t="n">
        <v>22339420000</v>
      </c>
      <c r="H1085">
        <f>H1084*(E1085/E1084)</f>
        <v/>
      </c>
    </row>
    <row r="1086">
      <c r="A1086" s="8" t="n">
        <v>44120</v>
      </c>
      <c r="B1086" s="7" t="n">
        <v>6102.2</v>
      </c>
      <c r="C1086" s="7" t="n">
        <v>6233.4</v>
      </c>
      <c r="D1086" s="7" t="n">
        <v>6093.1</v>
      </c>
      <c r="E1086" s="7" t="n">
        <v>6176.8</v>
      </c>
      <c r="F1086" s="9" t="n">
        <v>3091978000</v>
      </c>
      <c r="G1086" s="9" t="n">
        <v>25742590000</v>
      </c>
      <c r="H1086">
        <f>H1085*(E1086/E1085)</f>
        <v/>
      </c>
    </row>
    <row r="1087">
      <c r="A1087" s="8" t="n">
        <v>44127</v>
      </c>
      <c r="B1087" s="7" t="n">
        <v>6176.8</v>
      </c>
      <c r="C1087" s="7" t="n">
        <v>6248.3</v>
      </c>
      <c r="D1087" s="7" t="n">
        <v>6100.6</v>
      </c>
      <c r="E1087" s="7" t="n">
        <v>6167</v>
      </c>
      <c r="F1087" s="9" t="n">
        <v>2982376000</v>
      </c>
      <c r="G1087" s="9" t="n">
        <v>23834210000</v>
      </c>
      <c r="H1087">
        <f>H1086*(E1087/E1086)</f>
        <v/>
      </c>
    </row>
    <row r="1088">
      <c r="A1088" s="8" t="n">
        <v>44134</v>
      </c>
      <c r="B1088" s="7" t="n">
        <v>6167</v>
      </c>
      <c r="C1088" s="7" t="n">
        <v>6206.5</v>
      </c>
      <c r="D1088" s="7" t="n">
        <v>5927.6</v>
      </c>
      <c r="E1088" s="7" t="n">
        <v>5927.6</v>
      </c>
      <c r="F1088" s="9" t="n">
        <v>3522298000</v>
      </c>
      <c r="G1088" s="9" t="n">
        <v>26596860000</v>
      </c>
      <c r="H1088">
        <f>H1087*(E1088/E1087)</f>
        <v/>
      </c>
    </row>
    <row r="1089">
      <c r="A1089" s="8" t="n">
        <v>44141</v>
      </c>
      <c r="B1089" s="7" t="n">
        <v>5927.6</v>
      </c>
      <c r="C1089" s="7" t="n">
        <v>6202.3</v>
      </c>
      <c r="D1089" s="7" t="n">
        <v>5904.1</v>
      </c>
      <c r="E1089" s="7" t="n">
        <v>6190.2</v>
      </c>
      <c r="F1089" s="9" t="n">
        <v>3251000000</v>
      </c>
      <c r="G1089" s="9" t="n">
        <v>26306740000</v>
      </c>
      <c r="H1089">
        <f>H1088*(E1089/E1088)</f>
        <v/>
      </c>
    </row>
    <row r="1090">
      <c r="A1090" s="8" t="n">
        <v>44148</v>
      </c>
      <c r="B1090" s="7" t="n">
        <v>6190.2</v>
      </c>
      <c r="C1090" s="7" t="n">
        <v>6470.9</v>
      </c>
      <c r="D1090" s="7" t="n">
        <v>6190.2</v>
      </c>
      <c r="E1090" s="7" t="n">
        <v>6405.2</v>
      </c>
      <c r="F1090" s="9" t="n">
        <v>4404154000</v>
      </c>
      <c r="G1090" s="9" t="n">
        <v>37319670000</v>
      </c>
      <c r="H1090">
        <f>H1089*(E1090/E1089)</f>
        <v/>
      </c>
    </row>
    <row r="1091">
      <c r="A1091" s="8" t="n">
        <v>44155</v>
      </c>
      <c r="B1091" s="7" t="n">
        <v>6405.2</v>
      </c>
      <c r="C1091" s="7" t="n">
        <v>6562.1</v>
      </c>
      <c r="D1091" s="7" t="n">
        <v>6405.2</v>
      </c>
      <c r="E1091" s="7" t="n">
        <v>6539.2</v>
      </c>
      <c r="F1091" s="9" t="n">
        <v>3187019000</v>
      </c>
      <c r="G1091" s="9" t="n">
        <v>28728260000</v>
      </c>
      <c r="H1091">
        <f>H1090*(E1091/E1090)</f>
        <v/>
      </c>
    </row>
    <row r="1092">
      <c r="A1092" s="8" t="n">
        <v>44162</v>
      </c>
      <c r="B1092" s="7" t="n">
        <v>6539.2</v>
      </c>
      <c r="C1092" s="7" t="n">
        <v>6713.3</v>
      </c>
      <c r="D1092" s="7" t="n">
        <v>6539.2</v>
      </c>
      <c r="E1092" s="7" t="n">
        <v>6601.1</v>
      </c>
      <c r="F1092" s="9" t="n">
        <v>3448874000</v>
      </c>
      <c r="G1092" s="9" t="n">
        <v>29857570000</v>
      </c>
      <c r="H1092">
        <f>H1091*(E1092/E1091)</f>
        <v/>
      </c>
    </row>
    <row r="1093">
      <c r="A1093" s="8" t="n">
        <v>44169</v>
      </c>
      <c r="B1093" s="7" t="n">
        <v>6601.1</v>
      </c>
      <c r="C1093" s="7" t="n">
        <v>6650.1</v>
      </c>
      <c r="D1093" s="7" t="n">
        <v>6511.4</v>
      </c>
      <c r="E1093" s="7" t="n">
        <v>6634.1</v>
      </c>
      <c r="F1093" s="9" t="n">
        <v>3881940000</v>
      </c>
      <c r="G1093" s="9" t="n">
        <v>36288610000</v>
      </c>
      <c r="H1093">
        <f>H1092*(E1093/E1092)</f>
        <v/>
      </c>
    </row>
    <row r="1094">
      <c r="A1094" s="8" t="n">
        <v>44176</v>
      </c>
      <c r="B1094" s="7" t="n">
        <v>6634.3</v>
      </c>
      <c r="C1094" s="7" t="n">
        <v>6745.3</v>
      </c>
      <c r="D1094" s="7" t="n">
        <v>6632.3</v>
      </c>
      <c r="E1094" s="7" t="n">
        <v>6642.6</v>
      </c>
      <c r="F1094" s="9" t="n">
        <v>3233633000</v>
      </c>
      <c r="G1094" s="9" t="n">
        <v>29662580000</v>
      </c>
      <c r="H1094">
        <f>H1093*(E1094/E1093)</f>
        <v/>
      </c>
    </row>
    <row r="1095">
      <c r="A1095" s="8" t="n">
        <v>44183</v>
      </c>
      <c r="B1095" s="7" t="n">
        <v>6642.6</v>
      </c>
      <c r="C1095" s="7" t="n">
        <v>6765.7</v>
      </c>
      <c r="D1095" s="7" t="n">
        <v>6625.7</v>
      </c>
      <c r="E1095" s="7" t="n">
        <v>6675.5</v>
      </c>
      <c r="F1095" s="9" t="n">
        <v>4092623000</v>
      </c>
      <c r="G1095" s="9" t="n">
        <v>37190230000</v>
      </c>
      <c r="H1095">
        <f>H1094*(E1095/E1094)</f>
        <v/>
      </c>
    </row>
    <row r="1096">
      <c r="A1096" s="8" t="n">
        <v>44189</v>
      </c>
      <c r="B1096" s="7" t="n">
        <v>6675.5</v>
      </c>
      <c r="C1096" s="7" t="n">
        <v>6704.9</v>
      </c>
      <c r="D1096" s="7" t="n">
        <v>6585</v>
      </c>
      <c r="E1096" s="7" t="n">
        <v>6664.8</v>
      </c>
      <c r="F1096" s="9" t="n">
        <v>1800196000</v>
      </c>
      <c r="G1096" s="9" t="n">
        <v>15704750000</v>
      </c>
      <c r="H1096">
        <f>H1095*(E1096/E1095)</f>
        <v/>
      </c>
    </row>
    <row r="1097">
      <c r="A1097" s="8" t="n">
        <v>44196</v>
      </c>
      <c r="B1097" s="7" t="n">
        <v>6664.8</v>
      </c>
      <c r="C1097" s="7" t="n">
        <v>6725.1</v>
      </c>
      <c r="D1097" s="7" t="n">
        <v>6587.1</v>
      </c>
      <c r="E1097" s="7" t="n">
        <v>6587.1</v>
      </c>
      <c r="F1097" s="9" t="n">
        <v>957437200</v>
      </c>
      <c r="G1097" s="9" t="n">
        <v>7779717000</v>
      </c>
      <c r="H1097">
        <f>H1096*(E1097/E1096)</f>
        <v/>
      </c>
    </row>
    <row r="1098">
      <c r="A1098" s="8" t="n">
        <v>44204</v>
      </c>
      <c r="B1098" s="7" t="n">
        <v>6587.1</v>
      </c>
      <c r="C1098" s="7" t="n">
        <v>6757.9</v>
      </c>
      <c r="D1098" s="7" t="n">
        <v>6587.1</v>
      </c>
      <c r="E1098" s="7" t="n">
        <v>6757.9</v>
      </c>
      <c r="F1098" s="9" t="n">
        <v>2552646000</v>
      </c>
      <c r="G1098" s="9" t="n">
        <v>23025020000</v>
      </c>
      <c r="H1098">
        <f>H1097*(E1098/E1097)</f>
        <v/>
      </c>
    </row>
    <row r="1099">
      <c r="A1099" s="8" t="n">
        <v>44211</v>
      </c>
      <c r="B1099" s="7" t="n">
        <v>6757.9</v>
      </c>
      <c r="C1099" s="7" t="n">
        <v>6761</v>
      </c>
      <c r="D1099" s="7" t="n">
        <v>6657.1</v>
      </c>
      <c r="E1099" s="7" t="n">
        <v>6715.4</v>
      </c>
      <c r="F1099" s="9" t="n">
        <v>2711402000</v>
      </c>
      <c r="G1099" s="9" t="n">
        <v>23449510000</v>
      </c>
      <c r="H1099">
        <f>H1098*(E1099/E1098)</f>
        <v/>
      </c>
    </row>
    <row r="1100">
      <c r="A1100" s="8" t="n">
        <v>44218</v>
      </c>
      <c r="B1100" s="7" t="n">
        <v>6715.4</v>
      </c>
      <c r="C1100" s="7" t="n">
        <v>6829.3</v>
      </c>
      <c r="D1100" s="7" t="n">
        <v>6651.6</v>
      </c>
      <c r="E1100" s="7" t="n">
        <v>6800.4</v>
      </c>
      <c r="F1100" s="9" t="n">
        <v>2741573000</v>
      </c>
      <c r="G1100" s="9" t="n">
        <v>25866830000</v>
      </c>
      <c r="H1100">
        <f>H1099*(E1100/E1099)</f>
        <v/>
      </c>
    </row>
    <row r="1101">
      <c r="A1101" s="8" t="n">
        <v>44225</v>
      </c>
      <c r="B1101" s="7" t="n">
        <v>6800.4</v>
      </c>
      <c r="C1101" s="7" t="n">
        <v>6832.6</v>
      </c>
      <c r="D1101" s="7" t="n">
        <v>6585.3</v>
      </c>
      <c r="E1101" s="7" t="n">
        <v>6607.4</v>
      </c>
      <c r="F1101" s="9" t="n">
        <v>2484589000</v>
      </c>
      <c r="G1101" s="9" t="n">
        <v>23394740000</v>
      </c>
      <c r="H1101">
        <f>H1100*(E1101/E1100)</f>
        <v/>
      </c>
    </row>
    <row r="1102">
      <c r="A1102" s="8" t="n">
        <v>44232</v>
      </c>
      <c r="B1102" s="7" t="n">
        <v>6607.4</v>
      </c>
      <c r="C1102" s="7" t="n">
        <v>6852.9</v>
      </c>
      <c r="D1102" s="7" t="n">
        <v>6517.2</v>
      </c>
      <c r="E1102" s="7" t="n">
        <v>6840.5</v>
      </c>
      <c r="F1102" s="9" t="n">
        <v>3059102000</v>
      </c>
      <c r="G1102" s="9" t="n">
        <v>26822880000</v>
      </c>
      <c r="H1102">
        <f>H1101*(E1102/E1101)</f>
        <v/>
      </c>
    </row>
    <row r="1103">
      <c r="A1103" s="8" t="n">
        <v>44239</v>
      </c>
      <c r="B1103" s="7" t="n">
        <v>6840.5</v>
      </c>
      <c r="C1103" s="7" t="n">
        <v>6901</v>
      </c>
      <c r="D1103" s="7" t="n">
        <v>6802.4</v>
      </c>
      <c r="E1103" s="7" t="n">
        <v>6806.7</v>
      </c>
      <c r="F1103" s="9" t="n">
        <v>2547057000</v>
      </c>
      <c r="G1103" s="9" t="n">
        <v>23410380000</v>
      </c>
      <c r="H1103">
        <f>H1102*(E1103/E1102)</f>
        <v/>
      </c>
    </row>
    <row r="1104">
      <c r="A1104" s="8" t="n">
        <v>44246</v>
      </c>
      <c r="B1104" s="7" t="n">
        <v>6806.7</v>
      </c>
      <c r="C1104" s="7" t="n">
        <v>6938</v>
      </c>
      <c r="D1104" s="7" t="n">
        <v>6769.9</v>
      </c>
      <c r="E1104" s="7" t="n">
        <v>6793.8</v>
      </c>
      <c r="F1104" s="9" t="n">
        <v>3345438000</v>
      </c>
      <c r="G1104" s="9" t="n">
        <v>32677980000</v>
      </c>
      <c r="H1104">
        <f>H1103*(E1104/E1103)</f>
        <v/>
      </c>
    </row>
    <row r="1105">
      <c r="A1105" s="8" t="n">
        <v>44253</v>
      </c>
      <c r="B1105" s="7" t="n">
        <v>6793.8</v>
      </c>
      <c r="C1105" s="7" t="n">
        <v>6857.3</v>
      </c>
      <c r="D1105" s="7" t="n">
        <v>6658.9</v>
      </c>
      <c r="E1105" s="7" t="n">
        <v>6673.3</v>
      </c>
      <c r="F1105" s="9" t="n">
        <v>3976485000</v>
      </c>
      <c r="G1105" s="9" t="n">
        <v>35106750000</v>
      </c>
      <c r="H1105">
        <f>H1104*(E1105/E1104)</f>
        <v/>
      </c>
    </row>
    <row r="1106">
      <c r="A1106" s="8" t="n">
        <v>44260</v>
      </c>
      <c r="B1106" s="7" t="n">
        <v>6673.3</v>
      </c>
      <c r="C1106" s="7" t="n">
        <v>6860.7</v>
      </c>
      <c r="D1106" s="7" t="n">
        <v>6660.5</v>
      </c>
      <c r="E1106" s="7" t="n">
        <v>6710.8</v>
      </c>
      <c r="F1106" s="9" t="n">
        <v>3504848000</v>
      </c>
      <c r="G1106" s="9" t="n">
        <v>31997490000</v>
      </c>
      <c r="H1106">
        <f>H1105*(E1106/E1105)</f>
        <v/>
      </c>
    </row>
    <row r="1107">
      <c r="A1107" s="8" t="n">
        <v>44267</v>
      </c>
      <c r="B1107" s="7" t="n">
        <v>6710.8</v>
      </c>
      <c r="C1107" s="7" t="n">
        <v>6835.6</v>
      </c>
      <c r="D1107" s="7" t="n">
        <v>6648.6</v>
      </c>
      <c r="E1107" s="7" t="n">
        <v>6766.8</v>
      </c>
      <c r="F1107" s="9" t="n">
        <v>3097216000</v>
      </c>
      <c r="G1107" s="9" t="n">
        <v>28890570000</v>
      </c>
      <c r="H1107">
        <f>H1106*(E1107/E1106)</f>
        <v/>
      </c>
    </row>
    <row r="1108">
      <c r="A1108" s="8" t="n">
        <v>44274</v>
      </c>
      <c r="B1108" s="7" t="n">
        <v>6766.8</v>
      </c>
      <c r="C1108" s="7" t="n">
        <v>6858.9</v>
      </c>
      <c r="D1108" s="7" t="n">
        <v>6673.7</v>
      </c>
      <c r="E1108" s="7" t="n">
        <v>6708.2</v>
      </c>
      <c r="F1108" s="9" t="n">
        <v>3636702000</v>
      </c>
      <c r="G1108" s="9" t="n">
        <v>33965640000</v>
      </c>
      <c r="H1108">
        <f>H1107*(E1108/E1107)</f>
        <v/>
      </c>
    </row>
    <row r="1109">
      <c r="A1109" s="8" t="n">
        <v>44281</v>
      </c>
      <c r="B1109" s="7" t="n">
        <v>6708.2</v>
      </c>
      <c r="C1109" s="7" t="n">
        <v>6835</v>
      </c>
      <c r="D1109" s="7" t="n">
        <v>6688.2</v>
      </c>
      <c r="E1109" s="7" t="n">
        <v>6824.2</v>
      </c>
      <c r="F1109" s="9" t="n">
        <v>2624186000</v>
      </c>
      <c r="G1109" s="9" t="n">
        <v>22639340000</v>
      </c>
      <c r="H1109">
        <f>H1108*(E1109/E1108)</f>
        <v/>
      </c>
    </row>
    <row r="1110">
      <c r="A1110" s="8" t="n">
        <v>44287</v>
      </c>
      <c r="B1110" s="7" t="n">
        <v>6824.2</v>
      </c>
      <c r="C1110" s="7" t="n">
        <v>6862.6</v>
      </c>
      <c r="D1110" s="7" t="n">
        <v>6738.4</v>
      </c>
      <c r="E1110" s="7" t="n">
        <v>6828.7</v>
      </c>
      <c r="F1110" s="9" t="n">
        <v>2206701000</v>
      </c>
      <c r="G1110" s="9" t="n">
        <v>19269230000</v>
      </c>
      <c r="H1110">
        <f>H1109*(E1110/E1109)</f>
        <v/>
      </c>
    </row>
    <row r="1111">
      <c r="A1111" s="8" t="n">
        <v>44295</v>
      </c>
      <c r="B1111" s="7" t="n">
        <v>6828.7</v>
      </c>
      <c r="C1111" s="7" t="n">
        <v>7012.4</v>
      </c>
      <c r="D1111" s="7" t="n">
        <v>6828.7</v>
      </c>
      <c r="E1111" s="7" t="n">
        <v>6995.2</v>
      </c>
      <c r="F1111" s="9" t="n">
        <v>2101078000</v>
      </c>
      <c r="G1111" s="9" t="n">
        <v>18802710000</v>
      </c>
      <c r="H1111">
        <f>H1110*(E1111/E1110)</f>
        <v/>
      </c>
    </row>
    <row r="1112">
      <c r="A1112" s="8" t="n">
        <v>44302</v>
      </c>
      <c r="B1112" s="7" t="n">
        <v>6996.7</v>
      </c>
      <c r="C1112" s="7" t="n">
        <v>7071.5</v>
      </c>
      <c r="D1112" s="7" t="n">
        <v>6957.4</v>
      </c>
      <c r="E1112" s="7" t="n">
        <v>7063.5</v>
      </c>
      <c r="F1112" s="9" t="n">
        <v>2802662000</v>
      </c>
      <c r="G1112" s="9" t="n">
        <v>24620630000</v>
      </c>
      <c r="H1112">
        <f>H1111*(E1112/E1111)</f>
        <v/>
      </c>
    </row>
    <row r="1113">
      <c r="A1113" s="8" t="n">
        <v>44309</v>
      </c>
      <c r="B1113" s="7" t="n">
        <v>7063.5</v>
      </c>
      <c r="C1113" s="7" t="n">
        <v>7094.8</v>
      </c>
      <c r="D1113" s="7" t="n">
        <v>6905.4</v>
      </c>
      <c r="E1113" s="7" t="n">
        <v>7060.7</v>
      </c>
      <c r="F1113" s="9" t="n">
        <v>2866637000</v>
      </c>
      <c r="G1113" s="9" t="n">
        <v>23838550000</v>
      </c>
      <c r="H1113">
        <f>H1112*(E1113/E1112)</f>
        <v/>
      </c>
    </row>
    <row r="1114">
      <c r="A1114" s="8" t="n">
        <v>44316</v>
      </c>
      <c r="B1114" s="7" t="n">
        <v>7060.7</v>
      </c>
      <c r="C1114" s="7" t="n">
        <v>7096.9</v>
      </c>
      <c r="D1114" s="7" t="n">
        <v>7005.9</v>
      </c>
      <c r="E1114" s="7" t="n">
        <v>7025.8</v>
      </c>
      <c r="F1114" s="9" t="n">
        <v>2894940000</v>
      </c>
      <c r="G1114" s="9" t="n">
        <v>24476850000</v>
      </c>
      <c r="H1114">
        <f>H1113*(E1114/E1113)</f>
        <v/>
      </c>
    </row>
    <row r="1115">
      <c r="A1115" s="8" t="n">
        <v>44323</v>
      </c>
      <c r="B1115" s="7" t="n">
        <v>7025.8</v>
      </c>
      <c r="C1115" s="7" t="n">
        <v>7122</v>
      </c>
      <c r="D1115" s="7" t="n">
        <v>7022</v>
      </c>
      <c r="E1115" s="7" t="n">
        <v>7080.8</v>
      </c>
      <c r="F1115" s="9" t="n">
        <v>2620289000</v>
      </c>
      <c r="G1115" s="9" t="n">
        <v>24528910000</v>
      </c>
      <c r="H1115">
        <f>H1114*(E1115/E1114)</f>
        <v/>
      </c>
    </row>
    <row r="1116">
      <c r="A1116" s="8" t="n">
        <v>44330</v>
      </c>
      <c r="B1116" s="7" t="n">
        <v>7080.8</v>
      </c>
      <c r="C1116" s="7" t="n">
        <v>7172.8</v>
      </c>
      <c r="D1116" s="7" t="n">
        <v>6966.5</v>
      </c>
      <c r="E1116" s="7" t="n">
        <v>7014.2</v>
      </c>
      <c r="F1116" s="9" t="n">
        <v>2930089000</v>
      </c>
      <c r="G1116" s="9" t="n">
        <v>26472200000</v>
      </c>
      <c r="H1116">
        <f>H1115*(E1116/E1115)</f>
        <v/>
      </c>
    </row>
    <row r="1117">
      <c r="A1117" s="8" t="n">
        <v>44337</v>
      </c>
      <c r="B1117" s="7" t="n">
        <v>7014.2</v>
      </c>
      <c r="C1117" s="7" t="n">
        <v>7083.6</v>
      </c>
      <c r="D1117" s="7" t="n">
        <v>6917.3</v>
      </c>
      <c r="E1117" s="7" t="n">
        <v>7030.3</v>
      </c>
      <c r="F1117" s="9" t="n">
        <v>2934607000</v>
      </c>
      <c r="G1117" s="9" t="n">
        <v>26290030000</v>
      </c>
      <c r="H1117">
        <f>H1116*(E1117/E1116)</f>
        <v/>
      </c>
    </row>
    <row r="1118">
      <c r="A1118" s="8" t="n">
        <v>44344</v>
      </c>
      <c r="B1118" s="7" t="n">
        <v>7030.3</v>
      </c>
      <c r="C1118" s="7" t="n">
        <v>7186.8</v>
      </c>
      <c r="D1118" s="7" t="n">
        <v>7015.5</v>
      </c>
      <c r="E1118" s="7" t="n">
        <v>7179.5</v>
      </c>
      <c r="F1118" s="9" t="n">
        <v>3459779000</v>
      </c>
      <c r="G1118" s="9" t="n">
        <v>30290560000</v>
      </c>
      <c r="H1118">
        <f>H1117*(E1118/E1117)</f>
        <v/>
      </c>
    </row>
    <row r="1119">
      <c r="A1119" s="8" t="n">
        <v>44351</v>
      </c>
      <c r="B1119" s="7" t="n">
        <v>7179.5</v>
      </c>
      <c r="C1119" s="7" t="n">
        <v>7300.5</v>
      </c>
      <c r="D1119" s="7" t="n">
        <v>7117.5</v>
      </c>
      <c r="E1119" s="7" t="n">
        <v>7295.4</v>
      </c>
      <c r="F1119" s="9" t="n">
        <v>2727909000</v>
      </c>
      <c r="G1119" s="9" t="n">
        <v>23510300000</v>
      </c>
      <c r="H1119">
        <f>H1118*(E1119/E1118)</f>
        <v/>
      </c>
    </row>
    <row r="1120">
      <c r="A1120" s="8" t="n">
        <v>44358</v>
      </c>
      <c r="B1120" s="7" t="n">
        <v>7295.4</v>
      </c>
      <c r="C1120" s="7" t="n">
        <v>7334.9</v>
      </c>
      <c r="D1120" s="7" t="n">
        <v>7265.6</v>
      </c>
      <c r="E1120" s="7" t="n">
        <v>7312.3</v>
      </c>
      <c r="F1120" s="9" t="n">
        <v>2730603000</v>
      </c>
      <c r="G1120" s="9" t="n">
        <v>23500440000</v>
      </c>
      <c r="H1120">
        <f>H1119*(E1120/E1119)</f>
        <v/>
      </c>
    </row>
    <row r="1121">
      <c r="A1121" s="8" t="n">
        <v>44365</v>
      </c>
      <c r="B1121" s="7" t="n">
        <v>7312.3</v>
      </c>
      <c r="C1121" s="7" t="n">
        <v>7406.2</v>
      </c>
      <c r="D1121" s="7" t="n">
        <v>7312.3</v>
      </c>
      <c r="E1121" s="7" t="n">
        <v>7368.9</v>
      </c>
      <c r="F1121" s="9" t="n">
        <v>3273882000</v>
      </c>
      <c r="G1121" s="9" t="n">
        <v>30534820000</v>
      </c>
      <c r="H1121">
        <f>H1120*(E1121/E1120)</f>
        <v/>
      </c>
    </row>
    <row r="1122">
      <c r="A1122" s="8" t="n">
        <v>44372</v>
      </c>
      <c r="B1122" s="7" t="n">
        <v>7368.9</v>
      </c>
      <c r="C1122" s="7" t="n">
        <v>7368.9</v>
      </c>
      <c r="D1122" s="7" t="n">
        <v>7216.6</v>
      </c>
      <c r="E1122" s="7" t="n">
        <v>7308</v>
      </c>
      <c r="F1122" s="9" t="n">
        <v>3129485000</v>
      </c>
      <c r="G1122" s="9" t="n">
        <v>28329640000</v>
      </c>
      <c r="H1122">
        <f>H1121*(E1122/E1121)</f>
        <v/>
      </c>
    </row>
    <row r="1123">
      <c r="A1123" s="8" t="n">
        <v>44379</v>
      </c>
      <c r="B1123" s="7" t="n">
        <v>7308</v>
      </c>
      <c r="C1123" s="7" t="n">
        <v>7370.1</v>
      </c>
      <c r="D1123" s="7" t="n">
        <v>7241.5</v>
      </c>
      <c r="E1123" s="7" t="n">
        <v>7308.6</v>
      </c>
      <c r="F1123" s="9" t="n">
        <v>2779872000</v>
      </c>
      <c r="G1123" s="9" t="n">
        <v>24011350000</v>
      </c>
      <c r="H1123">
        <f>H1122*(E1123/E1122)</f>
        <v/>
      </c>
    </row>
    <row r="1124">
      <c r="A1124" s="8" t="n">
        <v>44386</v>
      </c>
      <c r="B1124" s="7" t="n">
        <v>7308.6</v>
      </c>
      <c r="C1124" s="7" t="n">
        <v>7381.9</v>
      </c>
      <c r="D1124" s="7" t="n">
        <v>7226</v>
      </c>
      <c r="E1124" s="7" t="n">
        <v>7273.3</v>
      </c>
      <c r="F1124" s="9" t="n">
        <v>3003712000</v>
      </c>
      <c r="G1124" s="9" t="n">
        <v>26469790000</v>
      </c>
      <c r="H1124">
        <f>H1123*(E1124/E1123)</f>
        <v/>
      </c>
    </row>
    <row r="1125">
      <c r="A1125" s="8" t="n">
        <v>44393</v>
      </c>
      <c r="B1125" s="7" t="n">
        <v>7273.3</v>
      </c>
      <c r="C1125" s="7" t="n">
        <v>7382.2</v>
      </c>
      <c r="D1125" s="7" t="n">
        <v>7273.3</v>
      </c>
      <c r="E1125" s="7" t="n">
        <v>7348.1</v>
      </c>
      <c r="F1125" s="9" t="n">
        <v>2885482000</v>
      </c>
      <c r="G1125" s="9" t="n">
        <v>26842780000</v>
      </c>
      <c r="H1125">
        <f>H1124*(E1125/E1124)</f>
        <v/>
      </c>
    </row>
    <row r="1126">
      <c r="A1126" s="8" t="n">
        <v>44400</v>
      </c>
      <c r="B1126" s="7" t="n">
        <v>7348.1</v>
      </c>
      <c r="C1126" s="7" t="n">
        <v>7398.7</v>
      </c>
      <c r="D1126" s="7" t="n">
        <v>7205</v>
      </c>
      <c r="E1126" s="7" t="n">
        <v>7394.4</v>
      </c>
      <c r="F1126" s="9" t="n">
        <v>2775577000</v>
      </c>
      <c r="G1126" s="9" t="n">
        <v>24211550000</v>
      </c>
      <c r="H1126">
        <f>H1125*(E1126/E1125)</f>
        <v/>
      </c>
    </row>
    <row r="1127">
      <c r="A1127" s="8" t="n">
        <v>44407</v>
      </c>
      <c r="B1127" s="7" t="n">
        <v>7394.4</v>
      </c>
      <c r="C1127" s="7" t="n">
        <v>7447.9</v>
      </c>
      <c r="D1127" s="7" t="n">
        <v>7368.3</v>
      </c>
      <c r="E1127" s="7" t="n">
        <v>7392.6</v>
      </c>
      <c r="F1127" s="9" t="n">
        <v>2841126000</v>
      </c>
      <c r="G1127" s="9" t="n">
        <v>25315560000</v>
      </c>
      <c r="H1127">
        <f>H1126*(E1127/E1126)</f>
        <v/>
      </c>
    </row>
    <row r="1128">
      <c r="A1128" s="8" t="n">
        <v>44414</v>
      </c>
      <c r="B1128" s="7" t="n">
        <v>7415.9</v>
      </c>
      <c r="C1128" s="7" t="n">
        <v>7538.4</v>
      </c>
      <c r="D1128" s="7" t="n">
        <v>7414.9</v>
      </c>
      <c r="E1128" s="7" t="n">
        <v>7538.4</v>
      </c>
      <c r="F1128" s="9" t="n">
        <v>2748956000</v>
      </c>
      <c r="G1128" s="9" t="n">
        <v>28084510000</v>
      </c>
      <c r="H1128">
        <f>H1127*(E1128/E1127)</f>
        <v/>
      </c>
    </row>
    <row r="1129">
      <c r="A1129" s="8" t="n">
        <v>44421</v>
      </c>
      <c r="B1129" s="7" t="n">
        <v>7538.4</v>
      </c>
      <c r="C1129" s="7" t="n">
        <v>7632.8</v>
      </c>
      <c r="D1129" s="7" t="n">
        <v>7532.8</v>
      </c>
      <c r="E1129" s="7" t="n">
        <v>7628.9</v>
      </c>
      <c r="F1129" s="9" t="n">
        <v>2928004000</v>
      </c>
      <c r="G1129" s="9" t="n">
        <v>27472220000</v>
      </c>
      <c r="H1129">
        <f>H1128*(E1129/E1128)</f>
        <v/>
      </c>
    </row>
    <row r="1130">
      <c r="A1130" s="8" t="n">
        <v>44428</v>
      </c>
      <c r="B1130" s="7" t="n">
        <v>7628.9</v>
      </c>
      <c r="C1130" s="7" t="n">
        <v>7629</v>
      </c>
      <c r="D1130" s="7" t="n">
        <v>7429.2</v>
      </c>
      <c r="E1130" s="7" t="n">
        <v>7460.9</v>
      </c>
      <c r="F1130" s="9" t="n">
        <v>3319998000</v>
      </c>
      <c r="G1130" s="9" t="n">
        <v>34605880000</v>
      </c>
      <c r="H1130">
        <f>H1129*(E1130/E1129)</f>
        <v/>
      </c>
    </row>
    <row r="1131">
      <c r="A1131" s="8" t="n">
        <v>44435</v>
      </c>
      <c r="B1131" s="7" t="n">
        <v>7460.9</v>
      </c>
      <c r="C1131" s="7" t="n">
        <v>7542.4</v>
      </c>
      <c r="D1131" s="7" t="n">
        <v>7460.9</v>
      </c>
      <c r="E1131" s="7" t="n">
        <v>7488.3</v>
      </c>
      <c r="F1131" s="9" t="n">
        <v>3548741000</v>
      </c>
      <c r="G1131" s="9" t="n">
        <v>31679820000</v>
      </c>
      <c r="H1131">
        <f>H1130*(E1131/E1130)</f>
        <v/>
      </c>
    </row>
    <row r="1132">
      <c r="A1132" s="8" t="n">
        <v>44442</v>
      </c>
      <c r="B1132" s="7" t="n">
        <v>7488.3</v>
      </c>
      <c r="C1132" s="7" t="n">
        <v>7555.9</v>
      </c>
      <c r="D1132" s="7" t="n">
        <v>7437.2</v>
      </c>
      <c r="E1132" s="7" t="n">
        <v>7522.9</v>
      </c>
      <c r="F1132" s="9" t="n">
        <v>3291160000</v>
      </c>
      <c r="G1132" s="9" t="n">
        <v>30884410000</v>
      </c>
      <c r="H1132">
        <f>H1131*(E1132/E1131)</f>
        <v/>
      </c>
    </row>
    <row r="1133">
      <c r="A1133" s="8" t="n">
        <v>44449</v>
      </c>
      <c r="B1133" s="7" t="n">
        <v>7522.9</v>
      </c>
      <c r="C1133" s="7" t="n">
        <v>7536.9</v>
      </c>
      <c r="D1133" s="7" t="n">
        <v>7344.3</v>
      </c>
      <c r="E1133" s="7" t="n">
        <v>7406.6</v>
      </c>
      <c r="F1133" s="9" t="n">
        <v>3427717000</v>
      </c>
      <c r="G1133" s="9" t="n">
        <v>29443010000</v>
      </c>
      <c r="H1133">
        <f>H1132*(E1133/E1132)</f>
        <v/>
      </c>
    </row>
    <row r="1134">
      <c r="A1134" s="8" t="n">
        <v>44456</v>
      </c>
      <c r="B1134" s="7" t="n">
        <v>7406.6</v>
      </c>
      <c r="C1134" s="7" t="n">
        <v>7487.6</v>
      </c>
      <c r="D1134" s="7" t="n">
        <v>7376.1</v>
      </c>
      <c r="E1134" s="7" t="n">
        <v>7403.7</v>
      </c>
      <c r="F1134" s="9" t="n">
        <v>4705844000</v>
      </c>
      <c r="G1134" s="9" t="n">
        <v>40237640000</v>
      </c>
      <c r="H1134">
        <f>H1133*(E1134/E1133)</f>
        <v/>
      </c>
    </row>
    <row r="1135">
      <c r="A1135" s="8" t="n">
        <v>44463</v>
      </c>
      <c r="B1135" s="7" t="n">
        <v>7390.4</v>
      </c>
      <c r="C1135" s="7" t="n">
        <v>7390.4</v>
      </c>
      <c r="D1135" s="7" t="n">
        <v>7191.7</v>
      </c>
      <c r="E1135" s="7" t="n">
        <v>7342.6</v>
      </c>
      <c r="F1135" s="9" t="n">
        <v>3488233000</v>
      </c>
      <c r="G1135" s="9" t="n">
        <v>30745360000</v>
      </c>
      <c r="H1135">
        <f>H1134*(E1135/E1134)</f>
        <v/>
      </c>
    </row>
    <row r="1136">
      <c r="A1136" s="8" t="n">
        <v>44470</v>
      </c>
      <c r="B1136" s="7" t="n">
        <v>7342.6</v>
      </c>
      <c r="C1136" s="7" t="n">
        <v>7416.4</v>
      </c>
      <c r="D1136" s="7" t="n">
        <v>7145.7</v>
      </c>
      <c r="E1136" s="7" t="n">
        <v>7185.5</v>
      </c>
      <c r="F1136" s="9" t="n">
        <v>3822158000</v>
      </c>
      <c r="G1136" s="9" t="n">
        <v>34739400000</v>
      </c>
      <c r="H1136">
        <f>H1135*(E1136/E1135)</f>
        <v/>
      </c>
    </row>
    <row r="1137">
      <c r="A1137" s="8" t="n">
        <v>44477</v>
      </c>
      <c r="B1137" s="7" t="n">
        <v>7185.5</v>
      </c>
      <c r="C1137" s="7" t="n">
        <v>7322</v>
      </c>
      <c r="D1137" s="7" t="n">
        <v>7183.5</v>
      </c>
      <c r="E1137" s="7" t="n">
        <v>7320.1</v>
      </c>
      <c r="F1137" s="9" t="n">
        <v>3276190000</v>
      </c>
      <c r="G1137" s="9" t="n">
        <v>30425330000</v>
      </c>
      <c r="H1137">
        <f>H1136*(E1137/E1136)</f>
        <v/>
      </c>
    </row>
    <row r="1138">
      <c r="A1138" s="8" t="n">
        <v>44484</v>
      </c>
      <c r="B1138" s="7" t="n">
        <v>7320.1</v>
      </c>
      <c r="C1138" s="7" t="n">
        <v>7373.2</v>
      </c>
      <c r="D1138" s="7" t="n">
        <v>7250</v>
      </c>
      <c r="E1138" s="7" t="n">
        <v>7362</v>
      </c>
      <c r="F1138" s="9" t="n">
        <v>3085840000</v>
      </c>
      <c r="G1138" s="9" t="n">
        <v>27791700000</v>
      </c>
      <c r="H1138">
        <f>H1137*(E1138/E1137)</f>
        <v/>
      </c>
    </row>
    <row r="1139">
      <c r="A1139" s="8" t="n">
        <v>44491</v>
      </c>
      <c r="B1139" s="7" t="n">
        <v>7362</v>
      </c>
      <c r="C1139" s="7" t="n">
        <v>7449.5</v>
      </c>
      <c r="D1139" s="7" t="n">
        <v>7354.1</v>
      </c>
      <c r="E1139" s="7" t="n">
        <v>7415.5</v>
      </c>
      <c r="F1139" s="9" t="n">
        <v>3282618000</v>
      </c>
      <c r="G1139" s="9" t="n">
        <v>31315650000</v>
      </c>
      <c r="H1139">
        <f>H1138*(E1139/E1138)</f>
        <v/>
      </c>
    </row>
    <row r="1140">
      <c r="A1140" s="8" t="n">
        <v>44498</v>
      </c>
      <c r="B1140" s="7" t="n">
        <v>7415.5</v>
      </c>
      <c r="C1140" s="7" t="n">
        <v>7473.9</v>
      </c>
      <c r="D1140" s="7" t="n">
        <v>7318.8</v>
      </c>
      <c r="E1140" s="7" t="n">
        <v>7323.7</v>
      </c>
      <c r="F1140" s="9" t="n">
        <v>2852675000</v>
      </c>
      <c r="G1140" s="9" t="n">
        <v>26811240000</v>
      </c>
      <c r="H1140">
        <f>H1139*(E1140/E1139)</f>
        <v/>
      </c>
    </row>
    <row r="1141">
      <c r="A1141" s="8" t="n">
        <v>44505</v>
      </c>
      <c r="B1141" s="7" t="n">
        <v>7323.7</v>
      </c>
      <c r="C1141" s="7" t="n">
        <v>7477.2</v>
      </c>
      <c r="D1141" s="7" t="n">
        <v>7311.6</v>
      </c>
      <c r="E1141" s="7" t="n">
        <v>7456.9</v>
      </c>
      <c r="F1141" s="9" t="n">
        <v>2917453000</v>
      </c>
      <c r="G1141" s="9" t="n">
        <v>28435520000</v>
      </c>
      <c r="H1141">
        <f>H1140*(E1141/E1140)</f>
        <v/>
      </c>
    </row>
    <row r="1142">
      <c r="A1142" s="8" t="n">
        <v>44512</v>
      </c>
      <c r="B1142" s="7" t="n">
        <v>7456.9</v>
      </c>
      <c r="C1142" s="7" t="n">
        <v>7474.3</v>
      </c>
      <c r="D1142" s="7" t="n">
        <v>7329.5</v>
      </c>
      <c r="E1142" s="7" t="n">
        <v>7443</v>
      </c>
      <c r="F1142" s="9" t="n">
        <v>2913619000</v>
      </c>
      <c r="G1142" s="9" t="n">
        <v>27677910000</v>
      </c>
      <c r="H1142">
        <f>H1141*(E1142/E1141)</f>
        <v/>
      </c>
    </row>
    <row r="1143">
      <c r="A1143" s="8" t="n">
        <v>44519</v>
      </c>
      <c r="B1143" s="7" t="n">
        <v>7443</v>
      </c>
      <c r="C1143" s="7" t="n">
        <v>7479.1</v>
      </c>
      <c r="D1143" s="7" t="n">
        <v>7342.9</v>
      </c>
      <c r="E1143" s="7" t="n">
        <v>7396.5</v>
      </c>
      <c r="F1143" s="9" t="n">
        <v>2911138000</v>
      </c>
      <c r="G1143" s="9" t="n">
        <v>29106510000</v>
      </c>
      <c r="H1143">
        <f>H1142*(E1143/E1142)</f>
        <v/>
      </c>
    </row>
    <row r="1144">
      <c r="A1144" s="8" t="n">
        <v>44526</v>
      </c>
      <c r="B1144" s="7" t="n">
        <v>7396.5</v>
      </c>
      <c r="C1144" s="7" t="n">
        <v>7425</v>
      </c>
      <c r="D1144" s="7" t="n">
        <v>7260.3</v>
      </c>
      <c r="E1144" s="7" t="n">
        <v>7279.3</v>
      </c>
      <c r="F1144" s="9" t="n">
        <v>2862824000</v>
      </c>
      <c r="G1144" s="9" t="n">
        <v>26498180000</v>
      </c>
      <c r="H1144">
        <f>H1143*(E1144/E1143)</f>
        <v/>
      </c>
    </row>
    <row r="1145">
      <c r="A1145" s="8" t="n">
        <v>44533</v>
      </c>
      <c r="B1145" s="7" t="n">
        <v>7279.3</v>
      </c>
      <c r="C1145" s="7" t="n">
        <v>7332.6</v>
      </c>
      <c r="D1145" s="7" t="n">
        <v>7168.9</v>
      </c>
      <c r="E1145" s="7" t="n">
        <v>7241.2</v>
      </c>
      <c r="F1145" s="9" t="n">
        <v>3875334000</v>
      </c>
      <c r="G1145" s="9" t="n">
        <v>36787460000</v>
      </c>
      <c r="H1145">
        <f>H1144*(E1145/E1144)</f>
        <v/>
      </c>
    </row>
    <row r="1146">
      <c r="A1146" s="8" t="n">
        <v>44540</v>
      </c>
      <c r="B1146" s="7" t="n">
        <v>7241.2</v>
      </c>
      <c r="C1146" s="7" t="n">
        <v>7443.4</v>
      </c>
      <c r="D1146" s="7" t="n">
        <v>7207.8</v>
      </c>
      <c r="E1146" s="7" t="n">
        <v>7353.5</v>
      </c>
      <c r="F1146" s="9" t="n">
        <v>3072701000</v>
      </c>
      <c r="G1146" s="9" t="n">
        <v>28043740000</v>
      </c>
      <c r="H1146">
        <f>H1145*(E1146/E1145)</f>
        <v/>
      </c>
    </row>
    <row r="1147">
      <c r="A1147" s="8" t="n">
        <v>44547</v>
      </c>
      <c r="B1147" s="7" t="n">
        <v>7353.5</v>
      </c>
      <c r="C1147" s="7" t="n">
        <v>7417.7</v>
      </c>
      <c r="D1147" s="7" t="n">
        <v>7277.1</v>
      </c>
      <c r="E1147" s="7" t="n">
        <v>7304</v>
      </c>
      <c r="F1147" s="9" t="n">
        <v>3556214000</v>
      </c>
      <c r="G1147" s="9" t="n">
        <v>36242490000</v>
      </c>
      <c r="H1147">
        <f>H1146*(E1147/E1146)</f>
        <v/>
      </c>
    </row>
    <row r="1148">
      <c r="A1148" s="8" t="n">
        <v>44554</v>
      </c>
      <c r="B1148" s="7" t="n">
        <v>7304</v>
      </c>
      <c r="C1148" s="7" t="n">
        <v>7435.9</v>
      </c>
      <c r="D1148" s="7" t="n">
        <v>7257.8</v>
      </c>
      <c r="E1148" s="7" t="n">
        <v>7420.3</v>
      </c>
      <c r="F1148" s="9" t="n">
        <v>2274899000</v>
      </c>
      <c r="G1148" s="9" t="n">
        <v>21748020000</v>
      </c>
      <c r="H1148">
        <f>H1147*(E1148/E1147)</f>
        <v/>
      </c>
    </row>
    <row r="1149">
      <c r="A1149" s="8" t="n">
        <v>44561</v>
      </c>
      <c r="B1149" s="7" t="n">
        <v>7420.3</v>
      </c>
      <c r="C1149" s="7" t="n">
        <v>7520.6</v>
      </c>
      <c r="D1149" s="7" t="n">
        <v>7420.3</v>
      </c>
      <c r="E1149" s="7" t="n">
        <v>7444.6</v>
      </c>
      <c r="F1149" s="9" t="n">
        <v>1066360000</v>
      </c>
      <c r="G1149" s="9" t="n">
        <v>8996238000</v>
      </c>
      <c r="H1149">
        <f>H1148*(E1149/E1148)</f>
        <v/>
      </c>
    </row>
    <row r="1150">
      <c r="A1150" s="8" t="n">
        <v>44568</v>
      </c>
      <c r="B1150" s="7" t="n">
        <v>7444.6</v>
      </c>
      <c r="C1150" s="7" t="n">
        <v>7620.2</v>
      </c>
      <c r="D1150" s="7" t="n">
        <v>7340.4</v>
      </c>
      <c r="E1150" s="7" t="n">
        <v>7453.3</v>
      </c>
      <c r="F1150" s="9" t="n">
        <v>2069232000</v>
      </c>
      <c r="G1150" s="9" t="n">
        <v>19377690000</v>
      </c>
      <c r="H1150">
        <f>H1149*(E1150/E1149)</f>
        <v/>
      </c>
    </row>
    <row r="1151">
      <c r="A1151" s="8" t="n">
        <v>44575</v>
      </c>
      <c r="B1151" s="7" t="n">
        <v>7453.3</v>
      </c>
      <c r="C1151" s="7" t="n">
        <v>7487.3</v>
      </c>
      <c r="D1151" s="7" t="n">
        <v>7376.8</v>
      </c>
      <c r="E1151" s="7" t="n">
        <v>7393.9</v>
      </c>
      <c r="F1151" s="9" t="n">
        <v>2754333000</v>
      </c>
      <c r="G1151" s="9" t="n">
        <v>27923820000</v>
      </c>
      <c r="H1151">
        <f>H1150*(E1151/E1150)</f>
        <v/>
      </c>
    </row>
    <row r="1152">
      <c r="A1152" s="8" t="n">
        <v>44582</v>
      </c>
      <c r="B1152" s="7" t="n">
        <v>7393.9</v>
      </c>
      <c r="C1152" s="7" t="n">
        <v>7445.1</v>
      </c>
      <c r="D1152" s="7" t="n">
        <v>7153.3</v>
      </c>
      <c r="E1152" s="7" t="n">
        <v>7175.8</v>
      </c>
      <c r="F1152" s="9" t="n">
        <v>3315308000</v>
      </c>
      <c r="G1152" s="9" t="n">
        <v>34742150000</v>
      </c>
      <c r="H1152">
        <f>H1151*(E1152/E1151)</f>
        <v/>
      </c>
    </row>
    <row r="1153">
      <c r="A1153" s="8" t="n">
        <v>44589</v>
      </c>
      <c r="B1153" s="7" t="n">
        <v>7173.7</v>
      </c>
      <c r="C1153" s="7" t="n">
        <v>7173.7</v>
      </c>
      <c r="D1153" s="7" t="n">
        <v>6758.2</v>
      </c>
      <c r="E1153" s="7" t="n">
        <v>6988.1</v>
      </c>
      <c r="F1153" s="9" t="n">
        <v>5131653000</v>
      </c>
      <c r="G1153" s="9" t="n">
        <v>61388340000</v>
      </c>
      <c r="H1153">
        <f>H1152*(E1153/E1152)</f>
        <v/>
      </c>
    </row>
    <row r="1154">
      <c r="A1154" s="8" t="n">
        <v>44596</v>
      </c>
      <c r="B1154" s="7" t="n">
        <v>6988.1</v>
      </c>
      <c r="C1154" s="7" t="n">
        <v>7120.2</v>
      </c>
      <c r="D1154" s="7" t="n">
        <v>6932.7</v>
      </c>
      <c r="E1154" s="7" t="n">
        <v>7120.2</v>
      </c>
      <c r="F1154" s="9" t="n">
        <v>3550980000</v>
      </c>
      <c r="G1154" s="9" t="n">
        <v>35905830000</v>
      </c>
      <c r="H1154">
        <f>H1153*(E1154/E1153)</f>
        <v/>
      </c>
    </row>
    <row r="1155">
      <c r="A1155" s="8" t="n">
        <v>44603</v>
      </c>
      <c r="B1155" s="7" t="n">
        <v>7120.2</v>
      </c>
      <c r="C1155" s="7" t="n">
        <v>7336.6</v>
      </c>
      <c r="D1155" s="7" t="n">
        <v>7046.5</v>
      </c>
      <c r="E1155" s="7" t="n">
        <v>7217.3</v>
      </c>
      <c r="F1155" s="9" t="n">
        <v>3883726000</v>
      </c>
      <c r="G1155" s="9" t="n">
        <v>41663350000</v>
      </c>
      <c r="H1155">
        <f>H1154*(E1155/E1154)</f>
        <v/>
      </c>
    </row>
    <row r="1156">
      <c r="A1156" s="8" t="n">
        <v>44610</v>
      </c>
      <c r="B1156" s="7" t="n">
        <v>7217.3</v>
      </c>
      <c r="C1156" s="7" t="n">
        <v>7356.8</v>
      </c>
      <c r="D1156" s="7" t="n">
        <v>7181.7</v>
      </c>
      <c r="E1156" s="7" t="n">
        <v>7221.7</v>
      </c>
      <c r="F1156" s="9" t="n">
        <v>3886255000</v>
      </c>
      <c r="G1156" s="9" t="n">
        <v>38954480000</v>
      </c>
      <c r="H1156">
        <f>H1155*(E1156/E1155)</f>
        <v/>
      </c>
    </row>
    <row r="1157">
      <c r="A1157" s="8" t="n">
        <v>44617</v>
      </c>
      <c r="B1157" s="7" t="n">
        <v>7220.4</v>
      </c>
      <c r="C1157" s="7" t="n">
        <v>7248.8</v>
      </c>
      <c r="D1157" s="7" t="n">
        <v>6959.3</v>
      </c>
      <c r="E1157" s="7" t="n">
        <v>6997.8</v>
      </c>
      <c r="F1157" s="9" t="n">
        <v>4362401000</v>
      </c>
      <c r="G1157" s="9" t="n">
        <v>37769290000</v>
      </c>
      <c r="H1157">
        <f>H1156*(E1157/E1156)</f>
        <v/>
      </c>
    </row>
    <row r="1158">
      <c r="A1158" s="8" t="n">
        <v>44624</v>
      </c>
      <c r="B1158" s="7" t="n">
        <v>6997.8</v>
      </c>
      <c r="C1158" s="7" t="n">
        <v>7198.1</v>
      </c>
      <c r="D1158" s="7" t="n">
        <v>6979.4</v>
      </c>
      <c r="E1158" s="7" t="n">
        <v>7110.8</v>
      </c>
      <c r="F1158" s="9" t="n">
        <v>4590142000</v>
      </c>
      <c r="G1158" s="9" t="n">
        <v>43103770000</v>
      </c>
      <c r="H1158">
        <f>H1157*(E1158/E1157)</f>
        <v/>
      </c>
    </row>
    <row r="1159">
      <c r="A1159" s="8" t="n">
        <v>44631</v>
      </c>
      <c r="B1159" s="7" t="n">
        <v>7110.8</v>
      </c>
      <c r="C1159" s="7" t="n">
        <v>7161</v>
      </c>
      <c r="D1159" s="7" t="n">
        <v>6968.9</v>
      </c>
      <c r="E1159" s="7" t="n">
        <v>7063.6</v>
      </c>
      <c r="F1159" s="9" t="n">
        <v>4862151000</v>
      </c>
      <c r="G1159" s="9" t="n">
        <v>40277050000</v>
      </c>
      <c r="H1159">
        <f>H1158*(E1159/E1158)</f>
        <v/>
      </c>
    </row>
    <row r="1160">
      <c r="A1160" s="8" t="n">
        <v>44638</v>
      </c>
      <c r="B1160" s="7" t="n">
        <v>7063.6</v>
      </c>
      <c r="C1160" s="7" t="n">
        <v>7296.8</v>
      </c>
      <c r="D1160" s="7" t="n">
        <v>7063.6</v>
      </c>
      <c r="E1160" s="7" t="n">
        <v>7294.4</v>
      </c>
      <c r="F1160" s="9" t="n">
        <v>4488579000</v>
      </c>
      <c r="G1160" s="9" t="n">
        <v>40782710000</v>
      </c>
      <c r="H1160">
        <f>H1159*(E1160/E1159)</f>
        <v/>
      </c>
    </row>
    <row r="1161">
      <c r="A1161" s="8" t="n">
        <v>44645</v>
      </c>
      <c r="B1161" s="7" t="n">
        <v>7294.4</v>
      </c>
      <c r="C1161" s="7" t="n">
        <v>7431.3</v>
      </c>
      <c r="D1161" s="7" t="n">
        <v>7278.5</v>
      </c>
      <c r="E1161" s="7" t="n">
        <v>7406.2</v>
      </c>
      <c r="F1161" s="9" t="n">
        <v>3132639000</v>
      </c>
      <c r="G1161" s="9" t="n">
        <v>26746990000</v>
      </c>
      <c r="H1161">
        <f>H1160*(E1161/E1160)</f>
        <v/>
      </c>
    </row>
    <row r="1162">
      <c r="A1162" s="8" t="n">
        <v>44652</v>
      </c>
      <c r="B1162" s="7" t="n">
        <v>7406.2</v>
      </c>
      <c r="C1162" s="7" t="n">
        <v>7556.6</v>
      </c>
      <c r="D1162" s="7" t="n">
        <v>7406.2</v>
      </c>
      <c r="E1162" s="7" t="n">
        <v>7493.8</v>
      </c>
      <c r="F1162" s="9" t="n">
        <v>3411024000</v>
      </c>
      <c r="G1162" s="9" t="n">
        <v>31213450000</v>
      </c>
      <c r="H1162">
        <f>H1161*(E1162/E1161)</f>
        <v/>
      </c>
    </row>
    <row r="1163">
      <c r="A1163" s="8" t="n">
        <v>44659</v>
      </c>
      <c r="B1163" s="7" t="n">
        <v>7493.8</v>
      </c>
      <c r="C1163" s="7" t="n">
        <v>7573.4</v>
      </c>
      <c r="D1163" s="7" t="n">
        <v>7437.5</v>
      </c>
      <c r="E1163" s="7" t="n">
        <v>7478</v>
      </c>
      <c r="F1163" s="9" t="n">
        <v>3175003000</v>
      </c>
      <c r="G1163" s="9" t="n">
        <v>27005720000</v>
      </c>
      <c r="H1163">
        <f>H1162*(E1163/E1162)</f>
        <v/>
      </c>
    </row>
    <row r="1164">
      <c r="A1164" s="8" t="n">
        <v>44665</v>
      </c>
      <c r="B1164" s="7" t="n">
        <v>7478</v>
      </c>
      <c r="C1164" s="7" t="n">
        <v>7529.2</v>
      </c>
      <c r="D1164" s="7" t="n">
        <v>7430.8</v>
      </c>
      <c r="E1164" s="7" t="n">
        <v>7523.4</v>
      </c>
      <c r="F1164" s="9" t="n">
        <v>2462082000</v>
      </c>
      <c r="G1164" s="9" t="n">
        <v>19736170000</v>
      </c>
      <c r="H1164">
        <f>H1163*(E1164/E1163)</f>
        <v/>
      </c>
    </row>
    <row r="1165">
      <c r="A1165" s="8" t="n">
        <v>44673</v>
      </c>
      <c r="B1165" s="7" t="n">
        <v>7523.5</v>
      </c>
      <c r="C1165" s="7" t="n">
        <v>7624.8</v>
      </c>
      <c r="D1165" s="7" t="n">
        <v>7455</v>
      </c>
      <c r="E1165" s="7" t="n">
        <v>7473.3</v>
      </c>
      <c r="F1165" s="9" t="n">
        <v>2587969000</v>
      </c>
      <c r="G1165" s="9" t="n">
        <v>25131720000</v>
      </c>
      <c r="H1165">
        <f>H1164*(E1165/E1164)</f>
        <v/>
      </c>
    </row>
    <row r="1166">
      <c r="A1166" s="8" t="n">
        <v>44680</v>
      </c>
      <c r="B1166" s="7" t="n">
        <v>7473.3</v>
      </c>
      <c r="C1166" s="7" t="n">
        <v>7473.3</v>
      </c>
      <c r="D1166" s="7" t="n">
        <v>7233.3</v>
      </c>
      <c r="E1166" s="7" t="n">
        <v>7435</v>
      </c>
      <c r="F1166" s="9" t="n">
        <v>3152068000</v>
      </c>
      <c r="G1166" s="9" t="n">
        <v>26800490000</v>
      </c>
      <c r="H1166">
        <f>H1165*(E1166/E1165)</f>
        <v/>
      </c>
    </row>
    <row r="1167">
      <c r="A1167" s="8" t="n">
        <v>44687</v>
      </c>
      <c r="B1167" s="7" t="n">
        <v>7435</v>
      </c>
      <c r="C1167" s="7" t="n">
        <v>7435</v>
      </c>
      <c r="D1167" s="7" t="n">
        <v>7161.4</v>
      </c>
      <c r="E1167" s="7" t="n">
        <v>7205.6</v>
      </c>
      <c r="F1167" s="9" t="n">
        <v>3541493000</v>
      </c>
      <c r="G1167" s="9" t="n">
        <v>28886740000</v>
      </c>
      <c r="H1167">
        <f>H1166*(E1167/E1166)</f>
        <v/>
      </c>
    </row>
    <row r="1168">
      <c r="A1168" s="8" t="n">
        <v>44694</v>
      </c>
      <c r="B1168" s="7" t="n">
        <v>7205.6</v>
      </c>
      <c r="C1168" s="7" t="n">
        <v>7205.6</v>
      </c>
      <c r="D1168" s="7" t="n">
        <v>6930.2</v>
      </c>
      <c r="E1168" s="7" t="n">
        <v>7075.1</v>
      </c>
      <c r="F1168" s="9" t="n">
        <v>3860966000</v>
      </c>
      <c r="G1168" s="9" t="n">
        <v>33675000000</v>
      </c>
      <c r="H1168">
        <f>H1167*(E1168/E1167)</f>
        <v/>
      </c>
    </row>
    <row r="1169">
      <c r="A1169" s="8" t="n">
        <v>44701</v>
      </c>
      <c r="B1169" s="7" t="n">
        <v>7075.1</v>
      </c>
      <c r="C1169" s="7" t="n">
        <v>7199</v>
      </c>
      <c r="D1169" s="7" t="n">
        <v>7037.6</v>
      </c>
      <c r="E1169" s="7" t="n">
        <v>7145.6</v>
      </c>
      <c r="F1169" s="9" t="n">
        <v>3341418000</v>
      </c>
      <c r="G1169" s="9" t="n">
        <v>30987990000</v>
      </c>
      <c r="H1169">
        <f>H1168*(E1169/E1168)</f>
        <v/>
      </c>
    </row>
    <row r="1170">
      <c r="A1170" s="8" t="n">
        <v>44708</v>
      </c>
      <c r="B1170" s="7" t="n">
        <v>7145.6</v>
      </c>
      <c r="C1170" s="7" t="n">
        <v>7218.6</v>
      </c>
      <c r="D1170" s="7" t="n">
        <v>7105.9</v>
      </c>
      <c r="E1170" s="7" t="n">
        <v>7182.7</v>
      </c>
      <c r="F1170" s="9" t="n">
        <v>3300388000</v>
      </c>
      <c r="G1170" s="9" t="n">
        <v>26825260000</v>
      </c>
      <c r="H1170">
        <f>H1169*(E1170/E1169)</f>
        <v/>
      </c>
    </row>
    <row r="1171">
      <c r="A1171" s="8" t="n">
        <v>44715</v>
      </c>
      <c r="B1171" s="7" t="n">
        <v>7182.7</v>
      </c>
      <c r="C1171" s="7" t="n">
        <v>7288.4</v>
      </c>
      <c r="D1171" s="7" t="n">
        <v>7150.5</v>
      </c>
      <c r="E1171" s="7" t="n">
        <v>7238.8</v>
      </c>
      <c r="F1171" s="9" t="n">
        <v>4156920000</v>
      </c>
      <c r="G1171" s="9" t="n">
        <v>38188070000</v>
      </c>
      <c r="H1171">
        <f>H1170*(E1171/E1170)</f>
        <v/>
      </c>
    </row>
    <row r="1172">
      <c r="A1172" s="8" t="n">
        <v>44722</v>
      </c>
      <c r="B1172" s="7" t="n">
        <v>7238.8</v>
      </c>
      <c r="C1172" s="7" t="n">
        <v>7238.8</v>
      </c>
      <c r="D1172" s="7" t="n">
        <v>6926.9</v>
      </c>
      <c r="E1172" s="7" t="n">
        <v>6932</v>
      </c>
      <c r="F1172" s="9" t="n">
        <v>3383475000</v>
      </c>
      <c r="G1172" s="9" t="n">
        <v>30952070000</v>
      </c>
      <c r="H1172">
        <f>H1171*(E1172/E1171)</f>
        <v/>
      </c>
    </row>
    <row r="1173">
      <c r="A1173" s="8" t="n">
        <v>44729</v>
      </c>
      <c r="B1173" s="7" t="n">
        <v>6932</v>
      </c>
      <c r="C1173" s="7" t="n">
        <v>6932</v>
      </c>
      <c r="D1173" s="7" t="n">
        <v>6410.4</v>
      </c>
      <c r="E1173" s="7" t="n">
        <v>6474.8</v>
      </c>
      <c r="F1173" s="9" t="n">
        <v>4904579000</v>
      </c>
      <c r="G1173" s="9" t="n">
        <v>42217800000</v>
      </c>
      <c r="H1173">
        <f>H1172*(E1173/E1172)</f>
        <v/>
      </c>
    </row>
    <row r="1174">
      <c r="A1174" s="8" t="n">
        <v>44736</v>
      </c>
      <c r="B1174" s="7" t="n">
        <v>6474.8</v>
      </c>
      <c r="C1174" s="7" t="n">
        <v>6585.1</v>
      </c>
      <c r="D1174" s="7" t="n">
        <v>6407</v>
      </c>
      <c r="E1174" s="7" t="n">
        <v>6578.7</v>
      </c>
      <c r="F1174" s="9" t="n">
        <v>4392835000</v>
      </c>
      <c r="G1174" s="9" t="n">
        <v>29177590000</v>
      </c>
      <c r="H1174">
        <f>H1173*(E1174/E1173)</f>
        <v/>
      </c>
    </row>
    <row r="1175">
      <c r="A1175" s="8" t="n">
        <v>44743</v>
      </c>
      <c r="B1175" s="7" t="n">
        <v>6578.7</v>
      </c>
      <c r="C1175" s="7" t="n">
        <v>6763.6</v>
      </c>
      <c r="D1175" s="7" t="n">
        <v>6539.9</v>
      </c>
      <c r="E1175" s="7" t="n">
        <v>6539.9</v>
      </c>
      <c r="F1175" s="9" t="n">
        <v>3960433000</v>
      </c>
      <c r="G1175" s="9" t="n">
        <v>28744920000</v>
      </c>
      <c r="H1175">
        <f>H1174*(E1175/E1174)</f>
        <v/>
      </c>
    </row>
    <row r="1176">
      <c r="A1176" s="8" t="n">
        <v>44750</v>
      </c>
      <c r="B1176" s="7" t="n">
        <v>6539.9</v>
      </c>
      <c r="C1176" s="7" t="n">
        <v>6715</v>
      </c>
      <c r="D1176" s="7" t="n">
        <v>6539.9</v>
      </c>
      <c r="E1176" s="7" t="n">
        <v>6678</v>
      </c>
      <c r="F1176" s="9" t="n">
        <v>3146683000</v>
      </c>
      <c r="G1176" s="9" t="n">
        <v>24992670000</v>
      </c>
      <c r="H1176">
        <f>H1175*(E1176/E1175)</f>
        <v/>
      </c>
    </row>
    <row r="1177">
      <c r="A1177" s="8" t="n">
        <v>44757</v>
      </c>
      <c r="B1177" s="7" t="n">
        <v>6678</v>
      </c>
      <c r="C1177" s="7" t="n">
        <v>6678</v>
      </c>
      <c r="D1177" s="7" t="n">
        <v>6537.2</v>
      </c>
      <c r="E1177" s="7" t="n">
        <v>6605.6</v>
      </c>
      <c r="F1177" s="9" t="n">
        <v>3209454000</v>
      </c>
      <c r="G1177" s="9" t="n">
        <v>25208520000</v>
      </c>
      <c r="H1177">
        <f>H1176*(E1177/E1176)</f>
        <v/>
      </c>
    </row>
    <row r="1178">
      <c r="A1178" s="8" t="n">
        <v>44764</v>
      </c>
      <c r="B1178" s="7" t="n">
        <v>6605.6</v>
      </c>
      <c r="C1178" s="7" t="n">
        <v>6816.1</v>
      </c>
      <c r="D1178" s="7" t="n">
        <v>6605.6</v>
      </c>
      <c r="E1178" s="7" t="n">
        <v>6791.5</v>
      </c>
      <c r="F1178" s="9" t="n">
        <v>3590223000</v>
      </c>
      <c r="G1178" s="9" t="n">
        <v>27162730000</v>
      </c>
      <c r="H1178">
        <f>H1177*(E1178/E1177)</f>
        <v/>
      </c>
    </row>
    <row r="1179">
      <c r="A1179" s="8" t="n">
        <v>44771</v>
      </c>
      <c r="B1179" s="7" t="n">
        <v>6791.5</v>
      </c>
      <c r="C1179" s="7" t="n">
        <v>6973.6</v>
      </c>
      <c r="D1179" s="7" t="n">
        <v>6775.7</v>
      </c>
      <c r="E1179" s="7" t="n">
        <v>6945.2</v>
      </c>
      <c r="F1179" s="9" t="n">
        <v>3479533000</v>
      </c>
      <c r="G1179" s="9" t="n">
        <v>26021420000</v>
      </c>
      <c r="H1179">
        <f>H1178*(E1179/E1178)</f>
        <v/>
      </c>
    </row>
    <row r="1180">
      <c r="A1180" s="8" t="n">
        <v>44778</v>
      </c>
      <c r="B1180" s="7" t="n">
        <v>6945.2</v>
      </c>
      <c r="C1180" s="7" t="n">
        <v>7021.1</v>
      </c>
      <c r="D1180" s="7" t="n">
        <v>6918.2</v>
      </c>
      <c r="E1180" s="7" t="n">
        <v>7015.6</v>
      </c>
      <c r="F1180" s="9" t="n">
        <v>3260179000</v>
      </c>
      <c r="G1180" s="9" t="n">
        <v>24617150000</v>
      </c>
      <c r="H1180">
        <f>H1179*(E1180/E1179)</f>
        <v/>
      </c>
    </row>
    <row r="1181">
      <c r="A1181" s="8" t="n">
        <v>44785</v>
      </c>
      <c r="B1181" s="7" t="n">
        <v>7015.6</v>
      </c>
      <c r="C1181" s="7" t="n">
        <v>7077.1</v>
      </c>
      <c r="D1181" s="7" t="n">
        <v>6985.7</v>
      </c>
      <c r="E1181" s="7" t="n">
        <v>7032.5</v>
      </c>
      <c r="F1181" s="9" t="n">
        <v>3567774000</v>
      </c>
      <c r="G1181" s="9" t="n">
        <v>25652750000</v>
      </c>
      <c r="H1181">
        <f>H1180*(E1181/E1180)</f>
        <v/>
      </c>
    </row>
    <row r="1182">
      <c r="A1182" s="8" t="n">
        <v>44792</v>
      </c>
      <c r="B1182" s="7" t="n">
        <v>7032.5</v>
      </c>
      <c r="C1182" s="7" t="n">
        <v>7137.5</v>
      </c>
      <c r="D1182" s="7" t="n">
        <v>7032.5</v>
      </c>
      <c r="E1182" s="7" t="n">
        <v>7114.5</v>
      </c>
      <c r="F1182" s="9" t="n">
        <v>3444227000</v>
      </c>
      <c r="G1182" s="9" t="n">
        <v>28290370000</v>
      </c>
      <c r="H1182">
        <f>H1181*(E1182/E1181)</f>
        <v/>
      </c>
    </row>
    <row r="1183">
      <c r="A1183" s="8" t="n">
        <v>44799</v>
      </c>
      <c r="B1183" s="7" t="n">
        <v>7114.5</v>
      </c>
      <c r="C1183" s="7" t="n">
        <v>7130</v>
      </c>
      <c r="D1183" s="7" t="n">
        <v>6961.8</v>
      </c>
      <c r="E1183" s="7" t="n">
        <v>7104.1</v>
      </c>
      <c r="F1183" s="9" t="n">
        <v>3574700000</v>
      </c>
      <c r="G1183" s="9" t="n">
        <v>28442130000</v>
      </c>
      <c r="H1183">
        <f>H1182*(E1183/E1182)</f>
        <v/>
      </c>
    </row>
    <row r="1184">
      <c r="A1184" s="8" t="n">
        <v>44806</v>
      </c>
      <c r="B1184" s="7" t="n">
        <v>7104.1</v>
      </c>
      <c r="C1184" s="7" t="n">
        <v>7104.1</v>
      </c>
      <c r="D1184" s="7" t="n">
        <v>6820.5</v>
      </c>
      <c r="E1184" s="7" t="n">
        <v>6828.7</v>
      </c>
      <c r="F1184" s="9" t="n">
        <v>3844035000</v>
      </c>
      <c r="G1184" s="9" t="n">
        <v>31749650000</v>
      </c>
      <c r="H1184">
        <f>H1183*(E1184/E1183)</f>
        <v/>
      </c>
    </row>
    <row r="1185">
      <c r="A1185" s="8" t="n">
        <v>44813</v>
      </c>
      <c r="B1185" s="7" t="n">
        <v>6828.7</v>
      </c>
      <c r="C1185" s="7" t="n">
        <v>6898.5</v>
      </c>
      <c r="D1185" s="7" t="n">
        <v>6719.6</v>
      </c>
      <c r="E1185" s="7" t="n">
        <v>6894.2</v>
      </c>
      <c r="F1185" s="9" t="n">
        <v>3721787000</v>
      </c>
      <c r="G1185" s="9" t="n">
        <v>28765950000</v>
      </c>
      <c r="H1185">
        <f>H1184*(E1185/E1184)</f>
        <v/>
      </c>
    </row>
    <row r="1186">
      <c r="A1186" s="8" t="n">
        <v>44820</v>
      </c>
      <c r="B1186" s="7" t="n">
        <v>6894.2</v>
      </c>
      <c r="C1186" s="7" t="n">
        <v>7015.2</v>
      </c>
      <c r="D1186" s="7" t="n">
        <v>6736.3</v>
      </c>
      <c r="E1186" s="7" t="n">
        <v>6739.1</v>
      </c>
      <c r="F1186" s="9" t="n">
        <v>4849587000</v>
      </c>
      <c r="G1186" s="9" t="n">
        <v>36477230000</v>
      </c>
      <c r="H1186">
        <f>H1185*(E1186/E1185)</f>
        <v/>
      </c>
    </row>
    <row r="1187">
      <c r="A1187" s="8" t="n">
        <v>44827</v>
      </c>
      <c r="B1187" s="7" t="n">
        <v>6739.1</v>
      </c>
      <c r="C1187" s="7" t="n">
        <v>6808.3</v>
      </c>
      <c r="D1187" s="7" t="n">
        <v>6544.9</v>
      </c>
      <c r="E1187" s="7" t="n">
        <v>6574.7</v>
      </c>
      <c r="F1187" s="9" t="n">
        <v>3175678000</v>
      </c>
      <c r="G1187" s="9" t="n">
        <v>20812950000</v>
      </c>
      <c r="H1187">
        <f>H1186*(E1187/E1186)</f>
        <v/>
      </c>
    </row>
    <row r="1188">
      <c r="A1188" s="8" t="n">
        <v>44834</v>
      </c>
      <c r="B1188" s="7" t="n">
        <v>6574.7</v>
      </c>
      <c r="C1188" s="7" t="n">
        <v>6594.7</v>
      </c>
      <c r="D1188" s="7" t="n">
        <v>6433.1</v>
      </c>
      <c r="E1188" s="7" t="n">
        <v>6474.2</v>
      </c>
      <c r="F1188" s="9" t="n">
        <v>4928126000</v>
      </c>
      <c r="G1188" s="9" t="n">
        <v>32600390000</v>
      </c>
      <c r="H1188">
        <f>H1187*(E1188/E1187)</f>
        <v/>
      </c>
    </row>
    <row r="1189">
      <c r="A1189" s="8" t="n">
        <v>44841</v>
      </c>
      <c r="B1189" s="7" t="n">
        <v>6474.2</v>
      </c>
      <c r="C1189" s="7" t="n">
        <v>6828.3</v>
      </c>
      <c r="D1189" s="7" t="n">
        <v>6411.9</v>
      </c>
      <c r="E1189" s="7" t="n">
        <v>6762.8</v>
      </c>
      <c r="F1189" s="9" t="n">
        <v>4220003000</v>
      </c>
      <c r="G1189" s="9" t="n">
        <v>28546760000</v>
      </c>
      <c r="H1189">
        <f>H1188*(E1189/E1188)</f>
        <v/>
      </c>
    </row>
    <row r="1190">
      <c r="A1190" s="8" t="n">
        <v>44848</v>
      </c>
      <c r="B1190" s="7" t="n">
        <v>6762.8</v>
      </c>
      <c r="C1190" s="7" t="n">
        <v>6772.6</v>
      </c>
      <c r="D1190" s="7" t="n">
        <v>6633</v>
      </c>
      <c r="E1190" s="7" t="n">
        <v>6758.8</v>
      </c>
      <c r="F1190" s="9" t="n">
        <v>3449389000</v>
      </c>
      <c r="G1190" s="9" t="n">
        <v>26005270000</v>
      </c>
      <c r="H1190">
        <f>H1189*(E1190/E1189)</f>
        <v/>
      </c>
    </row>
    <row r="1191">
      <c r="A1191" s="8" t="n">
        <v>44855</v>
      </c>
      <c r="B1191" s="7" t="n">
        <v>6758.9</v>
      </c>
      <c r="C1191" s="7" t="n">
        <v>6822.2</v>
      </c>
      <c r="D1191" s="7" t="n">
        <v>6645.2</v>
      </c>
      <c r="E1191" s="7" t="n">
        <v>6676.8</v>
      </c>
      <c r="F1191" s="9" t="n">
        <v>3934175000</v>
      </c>
      <c r="G1191" s="9" t="n">
        <v>28985170000</v>
      </c>
      <c r="H1191">
        <f>H1190*(E1191/E1190)</f>
        <v/>
      </c>
    </row>
    <row r="1192">
      <c r="A1192" s="8" t="n">
        <v>44862</v>
      </c>
      <c r="B1192" s="7" t="n">
        <v>6676.8</v>
      </c>
      <c r="C1192" s="7" t="n">
        <v>6873.8</v>
      </c>
      <c r="D1192" s="7" t="n">
        <v>6676.8</v>
      </c>
      <c r="E1192" s="7" t="n">
        <v>6785.7</v>
      </c>
      <c r="F1192" s="9" t="n">
        <v>3821963000</v>
      </c>
      <c r="G1192" s="9" t="n">
        <v>26294670000</v>
      </c>
      <c r="H1192">
        <f>H1191*(E1192/E1191)</f>
        <v/>
      </c>
    </row>
    <row r="1193">
      <c r="A1193" s="8" t="n">
        <v>44869</v>
      </c>
      <c r="B1193" s="7" t="n">
        <v>6785.7</v>
      </c>
      <c r="C1193" s="7" t="n">
        <v>7011.7</v>
      </c>
      <c r="D1193" s="7" t="n">
        <v>6785.7</v>
      </c>
      <c r="E1193" s="7" t="n">
        <v>6892.5</v>
      </c>
      <c r="F1193" s="9" t="n">
        <v>3914762000</v>
      </c>
      <c r="G1193" s="9" t="n">
        <v>28748140000</v>
      </c>
      <c r="H1193">
        <f>H1192*(E1193/E1192)</f>
        <v/>
      </c>
    </row>
    <row r="1194">
      <c r="A1194" s="8" t="n">
        <v>44876</v>
      </c>
      <c r="B1194" s="7" t="n">
        <v>6892.5</v>
      </c>
      <c r="C1194" s="7" t="n">
        <v>7170.6</v>
      </c>
      <c r="D1194" s="7" t="n">
        <v>6892.5</v>
      </c>
      <c r="E1194" s="7" t="n">
        <v>7158</v>
      </c>
      <c r="F1194" s="9" t="n">
        <v>4073062000</v>
      </c>
      <c r="G1194" s="9" t="n">
        <v>32391600000</v>
      </c>
      <c r="H1194">
        <f>H1193*(E1194/E1193)</f>
        <v/>
      </c>
    </row>
    <row r="1195">
      <c r="A1195" s="8" t="n">
        <v>44883</v>
      </c>
      <c r="B1195" s="7" t="n">
        <v>7158</v>
      </c>
      <c r="C1195" s="7" t="n">
        <v>7196.5</v>
      </c>
      <c r="D1195" s="7" t="n">
        <v>7102.9</v>
      </c>
      <c r="E1195" s="7" t="n">
        <v>7151.8</v>
      </c>
      <c r="F1195" s="9" t="n">
        <v>4166162000</v>
      </c>
      <c r="G1195" s="9" t="n">
        <v>31729220000</v>
      </c>
      <c r="H1195">
        <f>H1194*(E1195/E1194)</f>
        <v/>
      </c>
    </row>
    <row r="1196">
      <c r="A1196" s="8" t="n">
        <v>44890</v>
      </c>
      <c r="B1196" s="7" t="n">
        <v>7151.8</v>
      </c>
      <c r="C1196" s="7" t="n">
        <v>7268.5</v>
      </c>
      <c r="D1196" s="7" t="n">
        <v>7131.7</v>
      </c>
      <c r="E1196" s="7" t="n">
        <v>7259.5</v>
      </c>
      <c r="F1196" s="9" t="n">
        <v>2997240000</v>
      </c>
      <c r="G1196" s="9" t="n">
        <v>23782610000</v>
      </c>
      <c r="H1196">
        <f>H1195*(E1196/E1195)</f>
        <v/>
      </c>
    </row>
    <row r="1197">
      <c r="A1197" s="8" t="n">
        <v>44897</v>
      </c>
      <c r="B1197" s="7" t="n">
        <v>7259.5</v>
      </c>
      <c r="C1197" s="7" t="n">
        <v>7375.2</v>
      </c>
      <c r="D1197" s="7" t="n">
        <v>7200.9</v>
      </c>
      <c r="E1197" s="7" t="n">
        <v>7301.5</v>
      </c>
      <c r="F1197" s="9" t="n">
        <v>4658551000</v>
      </c>
      <c r="G1197" s="9" t="n">
        <v>38476910000</v>
      </c>
      <c r="H1197">
        <f>H1196*(E1197/E1196)</f>
        <v/>
      </c>
    </row>
    <row r="1198">
      <c r="A1198" s="8" t="n">
        <v>44904</v>
      </c>
      <c r="B1198" s="7" t="n">
        <v>7301.5</v>
      </c>
      <c r="C1198" s="7" t="n">
        <v>7351</v>
      </c>
      <c r="D1198" s="7" t="n">
        <v>7170</v>
      </c>
      <c r="E1198" s="7" t="n">
        <v>7213.2</v>
      </c>
      <c r="F1198" s="9" t="n">
        <v>3717502000</v>
      </c>
      <c r="G1198" s="9" t="n">
        <v>29952960000</v>
      </c>
      <c r="H1198">
        <f>H1197*(E1198/E1197)</f>
        <v/>
      </c>
    </row>
    <row r="1199">
      <c r="A1199" s="8" t="n">
        <v>44911</v>
      </c>
      <c r="B1199" s="7" t="n">
        <v>7213.2</v>
      </c>
      <c r="C1199" s="7" t="n">
        <v>7253.5</v>
      </c>
      <c r="D1199" s="7" t="n">
        <v>7117.6</v>
      </c>
      <c r="E1199" s="7" t="n">
        <v>7148.7</v>
      </c>
      <c r="F1199" s="9" t="n">
        <v>4387481000</v>
      </c>
      <c r="G1199" s="9" t="n">
        <v>32691730000</v>
      </c>
      <c r="H1199">
        <f>H1198*(E1199/E1198)</f>
        <v/>
      </c>
    </row>
    <row r="1200">
      <c r="A1200" s="8" t="n">
        <v>44918</v>
      </c>
      <c r="B1200" s="7" t="n">
        <v>7148.7</v>
      </c>
      <c r="C1200" s="7" t="n">
        <v>7167.2</v>
      </c>
      <c r="D1200" s="7" t="n">
        <v>7019.5</v>
      </c>
      <c r="E1200" s="7" t="n">
        <v>7107.7</v>
      </c>
      <c r="F1200" s="9" t="n">
        <v>2827006000</v>
      </c>
      <c r="G1200" s="9" t="n">
        <v>20954580000</v>
      </c>
      <c r="H1200">
        <f>H1199*(E1200/E1199)</f>
        <v/>
      </c>
    </row>
    <row r="1201">
      <c r="A1201" s="8" t="n">
        <v>44925</v>
      </c>
      <c r="B1201" s="7" t="n">
        <v>7107.7</v>
      </c>
      <c r="C1201" s="7" t="n">
        <v>7124</v>
      </c>
      <c r="D1201" s="7" t="n">
        <v>6993.8</v>
      </c>
      <c r="E1201" s="7" t="n">
        <v>7038.7</v>
      </c>
      <c r="F1201" s="9" t="n">
        <v>1350444000</v>
      </c>
      <c r="G1201" s="9" t="n">
        <v>9411730000</v>
      </c>
      <c r="H1201">
        <f>H1200*(E1201/E1200)</f>
        <v/>
      </c>
    </row>
    <row r="1202">
      <c r="A1202" s="8" t="n">
        <v>44932</v>
      </c>
      <c r="B1202" s="7" t="n">
        <v>7038.7</v>
      </c>
      <c r="C1202" s="7" t="n">
        <v>7116.8</v>
      </c>
      <c r="D1202" s="7" t="n">
        <v>6905.3</v>
      </c>
      <c r="E1202" s="7" t="n">
        <v>7109.6</v>
      </c>
      <c r="F1202" s="9" t="n">
        <v>2113760000</v>
      </c>
      <c r="G1202" s="9" t="n">
        <v>16659930000</v>
      </c>
      <c r="H1202">
        <f>H1201*(E1202/E1201)</f>
        <v/>
      </c>
    </row>
    <row r="1203">
      <c r="A1203" s="8" t="n">
        <v>44939</v>
      </c>
      <c r="B1203" s="7" t="n">
        <v>7109.6</v>
      </c>
      <c r="C1203" s="7" t="n">
        <v>7357.8</v>
      </c>
      <c r="D1203" s="7" t="n">
        <v>7109.6</v>
      </c>
      <c r="E1203" s="7" t="n">
        <v>7328.1</v>
      </c>
      <c r="F1203" s="9" t="n">
        <v>2645156000</v>
      </c>
      <c r="G1203" s="9" t="n">
        <v>21610610000</v>
      </c>
      <c r="H1203">
        <f>H1202*(E1203/E1202)</f>
        <v/>
      </c>
    </row>
    <row r="1204">
      <c r="A1204" s="8" t="n">
        <v>44946</v>
      </c>
      <c r="B1204" s="7" t="n">
        <v>7328.1</v>
      </c>
      <c r="C1204" s="7" t="n">
        <v>7457.8</v>
      </c>
      <c r="D1204" s="7" t="n">
        <v>7328.1</v>
      </c>
      <c r="E1204" s="7" t="n">
        <v>7452.2</v>
      </c>
      <c r="F1204" s="9" t="n">
        <v>3066362000</v>
      </c>
      <c r="G1204" s="9" t="n">
        <v>26983940000</v>
      </c>
      <c r="H1204">
        <f>H1203*(E1204/E1203)</f>
        <v/>
      </c>
    </row>
    <row r="1205">
      <c r="A1205" s="8" t="n">
        <v>44953</v>
      </c>
      <c r="B1205" s="7" t="n">
        <v>7452.2</v>
      </c>
      <c r="C1205" s="7" t="n">
        <v>7508.5</v>
      </c>
      <c r="D1205" s="7" t="n">
        <v>7434.5</v>
      </c>
      <c r="E1205" s="7" t="n">
        <v>7493.8</v>
      </c>
      <c r="F1205" s="9" t="n">
        <v>2553843000</v>
      </c>
      <c r="G1205" s="9" t="n">
        <v>20428600000</v>
      </c>
      <c r="H1205">
        <f>H1204*(E1205/E1204)</f>
        <v/>
      </c>
    </row>
    <row r="1206">
      <c r="A1206" s="8" t="n">
        <v>44960</v>
      </c>
      <c r="B1206" s="7" t="n">
        <v>7493.8</v>
      </c>
      <c r="C1206" s="7" t="n">
        <v>7565</v>
      </c>
      <c r="D1206" s="7" t="n">
        <v>7463.7</v>
      </c>
      <c r="E1206" s="7" t="n">
        <v>7558.1</v>
      </c>
      <c r="F1206" s="9" t="n">
        <v>3926964000</v>
      </c>
      <c r="G1206" s="9" t="n">
        <v>29962630000</v>
      </c>
      <c r="H1206">
        <f>H1205*(E1206/E1205)</f>
        <v/>
      </c>
    </row>
    <row r="1207">
      <c r="A1207" s="8" t="n">
        <v>44967</v>
      </c>
      <c r="B1207" s="7" t="n">
        <v>7558.1</v>
      </c>
      <c r="C1207" s="7" t="n">
        <v>7567.7</v>
      </c>
      <c r="D1207" s="7" t="n">
        <v>7428.8</v>
      </c>
      <c r="E1207" s="7" t="n">
        <v>7433.7</v>
      </c>
      <c r="F1207" s="9" t="n">
        <v>3051103000</v>
      </c>
      <c r="G1207" s="9" t="n">
        <v>24387760000</v>
      </c>
      <c r="H1207">
        <f>H1206*(E1207/E1206)</f>
        <v/>
      </c>
    </row>
    <row r="1208">
      <c r="A1208" s="8" t="n">
        <v>44974</v>
      </c>
      <c r="B1208" s="7" t="n">
        <v>7433.7</v>
      </c>
      <c r="C1208" s="7" t="n">
        <v>7476.6</v>
      </c>
      <c r="D1208" s="7" t="n">
        <v>7337</v>
      </c>
      <c r="E1208" s="7" t="n">
        <v>7346.8</v>
      </c>
      <c r="F1208" s="9" t="n">
        <v>3770761000</v>
      </c>
      <c r="G1208" s="9" t="n">
        <v>32007020000</v>
      </c>
      <c r="H1208">
        <f>H1207*(E1208/E1207)</f>
        <v/>
      </c>
    </row>
    <row r="1209">
      <c r="A1209" s="8" t="n">
        <v>44981</v>
      </c>
      <c r="B1209" s="7" t="n">
        <v>7346.8</v>
      </c>
      <c r="C1209" s="7" t="n">
        <v>7357.5</v>
      </c>
      <c r="D1209" s="7" t="n">
        <v>7267.8</v>
      </c>
      <c r="E1209" s="7" t="n">
        <v>7307</v>
      </c>
      <c r="F1209" s="9" t="n">
        <v>3386871000</v>
      </c>
      <c r="G1209" s="9" t="n">
        <v>26221130000</v>
      </c>
      <c r="H1209">
        <f>H1208*(E1209/E1208)</f>
        <v/>
      </c>
    </row>
    <row r="1210">
      <c r="A1210" s="8" t="n">
        <v>44988</v>
      </c>
      <c r="B1210" s="7" t="n">
        <v>7307</v>
      </c>
      <c r="C1210" s="7" t="n">
        <v>7307</v>
      </c>
      <c r="D1210" s="7" t="n">
        <v>7193.4</v>
      </c>
      <c r="E1210" s="7" t="n">
        <v>7283.6</v>
      </c>
      <c r="F1210" s="9" t="n">
        <v>3889838000</v>
      </c>
      <c r="G1210" s="9" t="n">
        <v>33401860000</v>
      </c>
      <c r="H1210">
        <f>H1209*(E1210/E1209)</f>
        <v/>
      </c>
    </row>
    <row r="1211">
      <c r="A1211" s="8" t="n">
        <v>44995</v>
      </c>
      <c r="B1211" s="7" t="n">
        <v>7291.2</v>
      </c>
      <c r="C1211" s="7" t="n">
        <v>7370.3</v>
      </c>
      <c r="D1211" s="7" t="n">
        <v>7134.5</v>
      </c>
      <c r="E1211" s="7" t="n">
        <v>7144.7</v>
      </c>
      <c r="F1211" s="9" t="n">
        <v>3415586000</v>
      </c>
      <c r="G1211" s="9" t="n">
        <v>28153390000</v>
      </c>
      <c r="H1211">
        <f>H1210*(E1211/E1210)</f>
        <v/>
      </c>
    </row>
    <row r="1212">
      <c r="A1212" s="8" t="n">
        <v>45002</v>
      </c>
      <c r="B1212" s="7" t="n">
        <v>7144.7</v>
      </c>
      <c r="C1212" s="7" t="n">
        <v>7151.4</v>
      </c>
      <c r="D1212" s="7" t="n">
        <v>6911.1</v>
      </c>
      <c r="E1212" s="7" t="n">
        <v>6994.8</v>
      </c>
      <c r="F1212" s="9" t="n">
        <v>5229192000</v>
      </c>
      <c r="G1212" s="9" t="n">
        <v>43574570000</v>
      </c>
      <c r="H1212">
        <f>H1211*(E1212/E1211)</f>
        <v/>
      </c>
    </row>
    <row r="1213">
      <c r="A1213" s="8" t="n">
        <v>45009</v>
      </c>
      <c r="B1213" s="7" t="n">
        <v>6994.3</v>
      </c>
      <c r="C1213" s="7" t="n">
        <v>7032</v>
      </c>
      <c r="D1213" s="7" t="n">
        <v>6895</v>
      </c>
      <c r="E1213" s="7" t="n">
        <v>6955.2</v>
      </c>
      <c r="F1213" s="9" t="n">
        <v>3348767000</v>
      </c>
      <c r="G1213" s="9" t="n">
        <v>25075110000</v>
      </c>
      <c r="H1213">
        <f>H1212*(E1213/E1212)</f>
        <v/>
      </c>
    </row>
    <row r="1214">
      <c r="A1214" s="8" t="n">
        <v>45016</v>
      </c>
      <c r="B1214" s="7" t="n">
        <v>6955.2</v>
      </c>
      <c r="C1214" s="7" t="n">
        <v>7183.1</v>
      </c>
      <c r="D1214" s="7" t="n">
        <v>6955.2</v>
      </c>
      <c r="E1214" s="7" t="n">
        <v>7177.8</v>
      </c>
      <c r="F1214" s="9" t="n">
        <v>3883788000</v>
      </c>
      <c r="G1214" s="9" t="n">
        <v>29201870000</v>
      </c>
      <c r="H1214">
        <f>H1213*(E1214/E1213)</f>
        <v/>
      </c>
    </row>
    <row r="1215">
      <c r="A1215" s="8" t="n">
        <v>45022</v>
      </c>
      <c r="B1215" s="7" t="n">
        <v>7177.8</v>
      </c>
      <c r="C1215" s="7" t="n">
        <v>7262.1</v>
      </c>
      <c r="D1215" s="7" t="n">
        <v>7177.8</v>
      </c>
      <c r="E1215" s="7" t="n">
        <v>7219</v>
      </c>
      <c r="F1215" s="9" t="n">
        <v>2806114000</v>
      </c>
      <c r="G1215" s="9" t="n">
        <v>21392010000</v>
      </c>
      <c r="H1215">
        <f>H1214*(E1215/E1214)</f>
        <v/>
      </c>
    </row>
    <row r="1216">
      <c r="A1216" s="8" t="n">
        <v>45030</v>
      </c>
      <c r="B1216" s="7" t="n">
        <v>7219</v>
      </c>
      <c r="C1216" s="7" t="n">
        <v>7370.1</v>
      </c>
      <c r="D1216" s="7" t="n">
        <v>7219</v>
      </c>
      <c r="E1216" s="7" t="n">
        <v>7361.6</v>
      </c>
      <c r="F1216" s="9" t="n">
        <v>2607247000</v>
      </c>
      <c r="G1216" s="9" t="n">
        <v>21028460000</v>
      </c>
      <c r="H1216">
        <f>H1215*(E1216/E1215)</f>
        <v/>
      </c>
    </row>
    <row r="1217">
      <c r="A1217" s="8" t="n">
        <v>45037</v>
      </c>
      <c r="B1217" s="7" t="n">
        <v>7361.6</v>
      </c>
      <c r="C1217" s="7" t="n">
        <v>7391.2</v>
      </c>
      <c r="D1217" s="7" t="n">
        <v>7314.9</v>
      </c>
      <c r="E1217" s="7" t="n">
        <v>7330.4</v>
      </c>
      <c r="F1217" s="9" t="n">
        <v>3400534000</v>
      </c>
      <c r="G1217" s="9" t="n">
        <v>26893320000</v>
      </c>
      <c r="H1217">
        <f>H1216*(E1217/E1216)</f>
        <v/>
      </c>
    </row>
    <row r="1218">
      <c r="A1218" s="8" t="n">
        <v>45044</v>
      </c>
      <c r="B1218" s="7" t="n">
        <v>7330.4</v>
      </c>
      <c r="C1218" s="7" t="n">
        <v>7332.6</v>
      </c>
      <c r="D1218" s="7" t="n">
        <v>7275.3</v>
      </c>
      <c r="E1218" s="7" t="n">
        <v>7309.2</v>
      </c>
      <c r="F1218" s="9" t="n">
        <v>2617892000</v>
      </c>
      <c r="G1218" s="9" t="n">
        <v>21319060000</v>
      </c>
      <c r="H1218">
        <f>H1217*(E1218/E1217)</f>
        <v/>
      </c>
    </row>
    <row r="1219">
      <c r="A1219" s="8" t="n">
        <v>45051</v>
      </c>
      <c r="B1219" s="7" t="n">
        <v>7309.2</v>
      </c>
      <c r="C1219" s="7" t="n">
        <v>7368</v>
      </c>
      <c r="D1219" s="7" t="n">
        <v>7141.8</v>
      </c>
      <c r="E1219" s="7" t="n">
        <v>7220</v>
      </c>
      <c r="F1219" s="9" t="n">
        <v>3244136000</v>
      </c>
      <c r="G1219" s="9" t="n">
        <v>27057230000</v>
      </c>
      <c r="H1219">
        <f>H1218*(E1219/E1218)</f>
        <v/>
      </c>
    </row>
    <row r="1220">
      <c r="A1220" s="8" t="n">
        <v>45058</v>
      </c>
      <c r="B1220" s="7" t="n">
        <v>7220.2</v>
      </c>
      <c r="C1220" s="7" t="n">
        <v>7292.4</v>
      </c>
      <c r="D1220" s="7" t="n">
        <v>7220.2</v>
      </c>
      <c r="E1220" s="7" t="n">
        <v>7256.7</v>
      </c>
      <c r="F1220" s="9" t="n">
        <v>3240298000</v>
      </c>
      <c r="G1220" s="9" t="n">
        <v>26103590000</v>
      </c>
      <c r="H1220">
        <f>H1219*(E1220/E1219)</f>
        <v/>
      </c>
    </row>
    <row r="1221">
      <c r="A1221" s="8" t="n">
        <v>45065</v>
      </c>
      <c r="B1221" s="7" t="n">
        <v>7256.7</v>
      </c>
      <c r="C1221" s="7" t="n">
        <v>7292.6</v>
      </c>
      <c r="D1221" s="7" t="n">
        <v>7159.8</v>
      </c>
      <c r="E1221" s="7" t="n">
        <v>7279.5</v>
      </c>
      <c r="F1221" s="9" t="n">
        <v>3148357000</v>
      </c>
      <c r="G1221" s="9" t="n">
        <v>24281140000</v>
      </c>
      <c r="H1221">
        <f>H1220*(E1221/E1220)</f>
        <v/>
      </c>
    </row>
    <row r="1222">
      <c r="A1222" s="8" t="n">
        <v>45072</v>
      </c>
      <c r="B1222" s="7" t="n">
        <v>7279.5</v>
      </c>
      <c r="C1222" s="7" t="n">
        <v>7288.1</v>
      </c>
      <c r="D1222" s="7" t="n">
        <v>7129</v>
      </c>
      <c r="E1222" s="7" t="n">
        <v>7154.8</v>
      </c>
      <c r="F1222" s="9" t="n">
        <v>2912438000</v>
      </c>
      <c r="G1222" s="9" t="n">
        <v>24271860000</v>
      </c>
      <c r="H1222">
        <f>H1221*(E1222/E1221)</f>
        <v/>
      </c>
    </row>
    <row r="1223">
      <c r="A1223" s="8" t="n">
        <v>45079</v>
      </c>
      <c r="B1223" s="7" t="n">
        <v>7154.8</v>
      </c>
      <c r="C1223" s="7" t="n">
        <v>7254.8</v>
      </c>
      <c r="D1223" s="7" t="n">
        <v>7077.9</v>
      </c>
      <c r="E1223" s="7" t="n">
        <v>7145.1</v>
      </c>
      <c r="F1223" s="9" t="n">
        <v>4041506000</v>
      </c>
      <c r="G1223" s="9" t="n">
        <v>33600610000</v>
      </c>
      <c r="H1223">
        <f>H1222*(E1223/E1222)</f>
        <v/>
      </c>
    </row>
    <row r="1224">
      <c r="A1224" s="8" t="n">
        <v>45086</v>
      </c>
      <c r="B1224" s="7" t="n">
        <v>7145.1</v>
      </c>
      <c r="C1224" s="7" t="n">
        <v>7233.2</v>
      </c>
      <c r="D1224" s="7" t="n">
        <v>7093.5</v>
      </c>
      <c r="E1224" s="7" t="n">
        <v>7122.5</v>
      </c>
      <c r="F1224" s="9" t="n">
        <v>3418987000</v>
      </c>
      <c r="G1224" s="9" t="n">
        <v>26723790000</v>
      </c>
      <c r="H1224">
        <f>H1223*(E1224/E1223)</f>
        <v/>
      </c>
    </row>
    <row r="1225">
      <c r="A1225" s="8" t="n">
        <v>45093</v>
      </c>
      <c r="B1225" s="7" t="n">
        <v>7122.5</v>
      </c>
      <c r="C1225" s="7" t="n">
        <v>7262.1</v>
      </c>
      <c r="D1225" s="7" t="n">
        <v>7101.3</v>
      </c>
      <c r="E1225" s="7" t="n">
        <v>7251.2</v>
      </c>
      <c r="F1225" s="9" t="n">
        <v>3761908000</v>
      </c>
      <c r="G1225" s="9" t="n">
        <v>33952440000</v>
      </c>
      <c r="H1225">
        <f>H1224*(E1225/E1224)</f>
        <v/>
      </c>
    </row>
    <row r="1226">
      <c r="A1226" s="8" t="n">
        <v>45100</v>
      </c>
      <c r="B1226" s="7" t="n">
        <v>7251.2</v>
      </c>
      <c r="C1226" s="7" t="n">
        <v>7368.4</v>
      </c>
      <c r="D1226" s="7" t="n">
        <v>7087.9</v>
      </c>
      <c r="E1226" s="7" t="n">
        <v>7099.2</v>
      </c>
      <c r="F1226" s="9" t="n">
        <v>3312264000</v>
      </c>
      <c r="G1226" s="9" t="n">
        <v>26454480000</v>
      </c>
      <c r="H1226">
        <f>H1225*(E1226/E1225)</f>
        <v/>
      </c>
    </row>
    <row r="1227">
      <c r="A1227" s="8" t="n">
        <v>45107</v>
      </c>
      <c r="B1227" s="7" t="n">
        <v>7099.2</v>
      </c>
      <c r="C1227" s="7" t="n">
        <v>7223.2</v>
      </c>
      <c r="D1227" s="7" t="n">
        <v>7054.8</v>
      </c>
      <c r="E1227" s="7" t="n">
        <v>7203.3</v>
      </c>
      <c r="F1227" s="9" t="n">
        <v>3148526000</v>
      </c>
      <c r="G1227" s="9" t="n">
        <v>25034120000</v>
      </c>
      <c r="H1227">
        <f>H1226*(E1227/E1226)</f>
        <v/>
      </c>
    </row>
    <row r="1228">
      <c r="A1228" s="8" t="n">
        <v>45114</v>
      </c>
      <c r="B1228" s="7" t="n">
        <v>7203.3</v>
      </c>
      <c r="C1228" s="7" t="n">
        <v>7285.8</v>
      </c>
      <c r="D1228" s="7" t="n">
        <v>7023.6</v>
      </c>
      <c r="E1228" s="7" t="n">
        <v>7042.3</v>
      </c>
      <c r="F1228" s="9" t="n">
        <v>2847109000</v>
      </c>
      <c r="G1228" s="9" t="n">
        <v>23357120000</v>
      </c>
      <c r="H1228">
        <f>H1227*(E1228/E1227)</f>
        <v/>
      </c>
    </row>
    <row r="1229">
      <c r="A1229" s="8" t="n">
        <v>45121</v>
      </c>
      <c r="B1229" s="7" t="n">
        <v>7042.3</v>
      </c>
      <c r="C1229" s="7" t="n">
        <v>7313.7</v>
      </c>
      <c r="D1229" s="7" t="n">
        <v>6998.1</v>
      </c>
      <c r="E1229" s="7" t="n">
        <v>7303.1</v>
      </c>
      <c r="F1229" s="9" t="n">
        <v>2716256000</v>
      </c>
      <c r="G1229" s="9" t="n">
        <v>23324140000</v>
      </c>
      <c r="H1229">
        <f>H1228*(E1229/E1228)</f>
        <v/>
      </c>
    </row>
    <row r="1230">
      <c r="A1230" s="8" t="n">
        <v>45128</v>
      </c>
      <c r="B1230" s="7" t="n">
        <v>7303.1</v>
      </c>
      <c r="C1230" s="7" t="n">
        <v>7383.3</v>
      </c>
      <c r="D1230" s="7" t="n">
        <v>7261.1</v>
      </c>
      <c r="E1230" s="7" t="n">
        <v>7313.9</v>
      </c>
      <c r="F1230" s="9" t="n">
        <v>3078286000</v>
      </c>
      <c r="G1230" s="9" t="n">
        <v>27434560000</v>
      </c>
      <c r="H1230">
        <f>H1229*(E1230/E1229)</f>
        <v/>
      </c>
    </row>
    <row r="1231">
      <c r="A1231" s="8" t="n">
        <v>45135</v>
      </c>
      <c r="B1231" s="7" t="n">
        <v>7313.9</v>
      </c>
      <c r="C1231" s="7" t="n">
        <v>7472.3</v>
      </c>
      <c r="D1231" s="7" t="n">
        <v>7306.4</v>
      </c>
      <c r="E1231" s="7" t="n">
        <v>7403.6</v>
      </c>
      <c r="F1231" s="9" t="n">
        <v>3279632000</v>
      </c>
      <c r="G1231" s="9" t="n">
        <v>25877890000</v>
      </c>
      <c r="H1231">
        <f>H1230*(E1231/E1230)</f>
        <v/>
      </c>
    </row>
    <row r="1232">
      <c r="A1232" s="8" t="n">
        <v>45142</v>
      </c>
      <c r="B1232" s="7" t="n">
        <v>7403.6</v>
      </c>
      <c r="C1232" s="7" t="n">
        <v>7470.1</v>
      </c>
      <c r="D1232" s="7" t="n">
        <v>7285.5</v>
      </c>
      <c r="E1232" s="7" t="n">
        <v>7325.3</v>
      </c>
      <c r="F1232" s="9" t="n">
        <v>2840952000</v>
      </c>
      <c r="G1232" s="9" t="n">
        <v>23905460000</v>
      </c>
      <c r="H1232">
        <f>H1231*(E1232/E1231)</f>
        <v/>
      </c>
    </row>
    <row r="1233">
      <c r="A1233" s="8" t="n">
        <v>45149</v>
      </c>
      <c r="B1233" s="7" t="n">
        <v>7325.3</v>
      </c>
      <c r="C1233" s="7" t="n">
        <v>7361.2</v>
      </c>
      <c r="D1233" s="7" t="n">
        <v>7294.6</v>
      </c>
      <c r="E1233" s="7" t="n">
        <v>7340.1</v>
      </c>
      <c r="F1233" s="9" t="n">
        <v>2910892000</v>
      </c>
      <c r="G1233" s="9" t="n">
        <v>23327700000</v>
      </c>
      <c r="H1233">
        <f>H1232*(E1233/E1232)</f>
        <v/>
      </c>
    </row>
    <row r="1234">
      <c r="A1234" s="8" t="n">
        <v>45156</v>
      </c>
      <c r="B1234" s="7" t="n">
        <v>7340.1</v>
      </c>
      <c r="C1234" s="7" t="n">
        <v>7340.1</v>
      </c>
      <c r="D1234" s="7" t="n">
        <v>7106.8</v>
      </c>
      <c r="E1234" s="7" t="n">
        <v>7148.1</v>
      </c>
      <c r="F1234" s="9" t="n">
        <v>3636100000</v>
      </c>
      <c r="G1234" s="9" t="n">
        <v>29239900000</v>
      </c>
      <c r="H1234">
        <f>H1233*(E1234/E1233)</f>
        <v/>
      </c>
    </row>
    <row r="1235">
      <c r="A1235" s="8" t="n">
        <v>45163</v>
      </c>
      <c r="B1235" s="7" t="n">
        <v>7148.1</v>
      </c>
      <c r="C1235" s="7" t="n">
        <v>7194.4</v>
      </c>
      <c r="D1235" s="7" t="n">
        <v>7090</v>
      </c>
      <c r="E1235" s="7" t="n">
        <v>7115.2</v>
      </c>
      <c r="F1235" s="9" t="n">
        <v>3713947000</v>
      </c>
      <c r="G1235" s="9" t="n">
        <v>29725540000</v>
      </c>
      <c r="H1235">
        <f>H1234*(E1235/E1234)</f>
        <v/>
      </c>
    </row>
    <row r="1236">
      <c r="A1236" s="8" t="n">
        <v>45170</v>
      </c>
      <c r="B1236" s="7" t="n">
        <v>7115.2</v>
      </c>
      <c r="C1236" s="7" t="n">
        <v>7317.9</v>
      </c>
      <c r="D1236" s="7" t="n">
        <v>7115.2</v>
      </c>
      <c r="E1236" s="7" t="n">
        <v>7278.3</v>
      </c>
      <c r="F1236" s="9" t="n">
        <v>4275500000</v>
      </c>
      <c r="G1236" s="9" t="n">
        <v>29529710000</v>
      </c>
      <c r="H1236">
        <f>H1235*(E1236/E1235)</f>
        <v/>
      </c>
    </row>
    <row r="1237">
      <c r="A1237" s="8" t="n">
        <v>45177</v>
      </c>
      <c r="B1237" s="7" t="n">
        <v>7278.3</v>
      </c>
      <c r="C1237" s="7" t="n">
        <v>7340.9</v>
      </c>
      <c r="D1237" s="7" t="n">
        <v>7134.8</v>
      </c>
      <c r="E1237" s="7" t="n">
        <v>7156.7</v>
      </c>
      <c r="F1237" s="9" t="n">
        <v>3140717000</v>
      </c>
      <c r="G1237" s="9" t="n">
        <v>23701810000</v>
      </c>
      <c r="H1237">
        <f>H1236*(E1237/E1236)</f>
        <v/>
      </c>
    </row>
    <row r="1238">
      <c r="A1238" s="8" t="n">
        <v>45184</v>
      </c>
      <c r="B1238" s="7" t="n">
        <v>7156.7</v>
      </c>
      <c r="C1238" s="7" t="n">
        <v>7319.8</v>
      </c>
      <c r="D1238" s="7" t="n">
        <v>7134</v>
      </c>
      <c r="E1238" s="7" t="n">
        <v>7279</v>
      </c>
      <c r="F1238" s="9" t="n">
        <v>4959511000</v>
      </c>
      <c r="G1238" s="9" t="n">
        <v>30387280000</v>
      </c>
      <c r="H1238">
        <f>H1237*(E1238/E1237)</f>
        <v/>
      </c>
    </row>
    <row r="1239">
      <c r="A1239" s="8" t="n">
        <v>45191</v>
      </c>
      <c r="B1239" s="7" t="n">
        <v>7279</v>
      </c>
      <c r="C1239" s="7" t="n">
        <v>7279</v>
      </c>
      <c r="D1239" s="7" t="n">
        <v>6957.2</v>
      </c>
      <c r="E1239" s="7" t="n">
        <v>7068.8</v>
      </c>
      <c r="F1239" s="9" t="n">
        <v>3584165000</v>
      </c>
      <c r="G1239" s="9" t="n">
        <v>28579040000</v>
      </c>
      <c r="H1239">
        <f>H1238*(E1239/E1238)</f>
        <v/>
      </c>
    </row>
    <row r="1240">
      <c r="A1240" s="8" t="n">
        <v>45198</v>
      </c>
      <c r="B1240" s="7" t="n">
        <v>7068.8</v>
      </c>
      <c r="C1240" s="7" t="n">
        <v>7076.5</v>
      </c>
      <c r="D1240" s="7" t="n">
        <v>7002.8</v>
      </c>
      <c r="E1240" s="7" t="n">
        <v>7048.6</v>
      </c>
      <c r="F1240" s="9" t="n">
        <v>3426048000</v>
      </c>
      <c r="G1240" s="9" t="n">
        <v>23940740000</v>
      </c>
      <c r="H1240">
        <f>H1239*(E1240/E1239)</f>
        <v/>
      </c>
    </row>
    <row r="1241">
      <c r="A1241" s="8" t="n">
        <v>45205</v>
      </c>
      <c r="B1241" s="7" t="n">
        <v>7048.6</v>
      </c>
      <c r="C1241" s="7" t="n">
        <v>7051.5</v>
      </c>
      <c r="D1241" s="7" t="n">
        <v>6871</v>
      </c>
      <c r="E1241" s="7" t="n">
        <v>6954.2</v>
      </c>
      <c r="F1241" s="9" t="n">
        <v>3402043000</v>
      </c>
      <c r="G1241" s="9" t="n">
        <v>24441450000</v>
      </c>
      <c r="H1241">
        <f>H1240*(E1241/E1240)</f>
        <v/>
      </c>
    </row>
    <row r="1242">
      <c r="A1242" s="8" t="n">
        <v>45212</v>
      </c>
      <c r="B1242" s="7" t="n">
        <v>6954.2</v>
      </c>
      <c r="C1242" s="7" t="n">
        <v>7112.7</v>
      </c>
      <c r="D1242" s="7" t="n">
        <v>6954.2</v>
      </c>
      <c r="E1242" s="7" t="n">
        <v>7051</v>
      </c>
      <c r="F1242" s="9" t="n">
        <v>3506913000</v>
      </c>
      <c r="G1242" s="9" t="n">
        <v>25088860000</v>
      </c>
      <c r="H1242">
        <f>H1241*(E1242/E1241)</f>
        <v/>
      </c>
    </row>
    <row r="1243">
      <c r="A1243" s="8" t="n">
        <v>45219</v>
      </c>
      <c r="B1243" s="7" t="n">
        <v>7051</v>
      </c>
      <c r="C1243" s="7" t="n">
        <v>7100.3</v>
      </c>
      <c r="D1243" s="7" t="n">
        <v>6878.3</v>
      </c>
      <c r="E1243" s="7" t="n">
        <v>6900.7</v>
      </c>
      <c r="F1243" s="9" t="n">
        <v>3276528000</v>
      </c>
      <c r="G1243" s="9" t="n">
        <v>24950490000</v>
      </c>
      <c r="H1243">
        <f>H1242*(E1243/E1242)</f>
        <v/>
      </c>
    </row>
    <row r="1244">
      <c r="A1244" s="8" t="n">
        <v>45226</v>
      </c>
      <c r="B1244" s="7" t="n">
        <v>6900.7</v>
      </c>
      <c r="C1244" s="7" t="n">
        <v>6900.7</v>
      </c>
      <c r="D1244" s="7" t="n">
        <v>6777.4</v>
      </c>
      <c r="E1244" s="7" t="n">
        <v>6826.9</v>
      </c>
      <c r="F1244" s="9" t="n">
        <v>3452106000</v>
      </c>
      <c r="G1244" s="9" t="n">
        <v>26457070000</v>
      </c>
      <c r="H1244">
        <f>H1243*(E1244/E1243)</f>
        <v/>
      </c>
    </row>
    <row r="1245">
      <c r="A1245" s="8" t="n">
        <v>45233</v>
      </c>
      <c r="B1245" s="7" t="n">
        <v>6826.9</v>
      </c>
      <c r="C1245" s="7" t="n">
        <v>6989.4</v>
      </c>
      <c r="D1245" s="7" t="n">
        <v>6751.3</v>
      </c>
      <c r="E1245" s="7" t="n">
        <v>6978.2</v>
      </c>
      <c r="F1245" s="9" t="n">
        <v>3769993000</v>
      </c>
      <c r="G1245" s="9" t="n">
        <v>25784620000</v>
      </c>
      <c r="H1245">
        <f>H1244*(E1245/E1244)</f>
        <v/>
      </c>
    </row>
    <row r="1246">
      <c r="A1246" s="8" t="n">
        <v>45240</v>
      </c>
      <c r="B1246" s="7" t="n">
        <v>6978.2</v>
      </c>
      <c r="C1246" s="7" t="n">
        <v>7045.5</v>
      </c>
      <c r="D1246" s="7" t="n">
        <v>6951.9</v>
      </c>
      <c r="E1246" s="7" t="n">
        <v>6976.5</v>
      </c>
      <c r="F1246" s="9" t="n">
        <v>3272082000</v>
      </c>
      <c r="G1246" s="9" t="n">
        <v>25823830000</v>
      </c>
      <c r="H1246">
        <f>H1245*(E1246/E1245)</f>
        <v/>
      </c>
    </row>
    <row r="1247">
      <c r="A1247" s="8" t="n">
        <v>45247</v>
      </c>
      <c r="B1247" s="7" t="n">
        <v>6976.5</v>
      </c>
      <c r="C1247" s="7" t="n">
        <v>7125.6</v>
      </c>
      <c r="D1247" s="7" t="n">
        <v>6948.8</v>
      </c>
      <c r="E1247" s="7" t="n">
        <v>7049.4</v>
      </c>
      <c r="F1247" s="9" t="n">
        <v>3207877000</v>
      </c>
      <c r="G1247" s="9" t="n">
        <v>27066020000</v>
      </c>
      <c r="H1247">
        <f>H1246*(E1247/E1246)</f>
        <v/>
      </c>
    </row>
    <row r="1248">
      <c r="A1248" s="8" t="n">
        <v>45254</v>
      </c>
      <c r="B1248" s="7" t="n">
        <v>7049.4</v>
      </c>
      <c r="C1248" s="7" t="n">
        <v>7090.4</v>
      </c>
      <c r="D1248" s="7" t="n">
        <v>7026.9</v>
      </c>
      <c r="E1248" s="7" t="n">
        <v>7040.8</v>
      </c>
      <c r="F1248" s="9" t="n">
        <v>2639407000</v>
      </c>
      <c r="G1248" s="9" t="n">
        <v>19934860000</v>
      </c>
      <c r="H1248">
        <f>H1247*(E1248/E1247)</f>
        <v/>
      </c>
    </row>
    <row r="1249">
      <c r="A1249" s="8" t="n">
        <v>45261</v>
      </c>
      <c r="B1249" s="7" t="n">
        <v>7040.8</v>
      </c>
      <c r="C1249" s="7" t="n">
        <v>7087.3</v>
      </c>
      <c r="D1249" s="7" t="n">
        <v>6985.5</v>
      </c>
      <c r="E1249" s="7" t="n">
        <v>7073.2</v>
      </c>
      <c r="F1249" s="9" t="n">
        <v>3688430000</v>
      </c>
      <c r="G1249" s="9" t="n">
        <v>27996930000</v>
      </c>
      <c r="H1249">
        <f>H1248*(E1249/E1248)</f>
        <v/>
      </c>
    </row>
    <row r="1250">
      <c r="A1250" s="8" t="n">
        <v>45268</v>
      </c>
      <c r="B1250" s="7" t="n">
        <v>7073.2</v>
      </c>
      <c r="C1250" s="7" t="n">
        <v>7194.9</v>
      </c>
      <c r="D1250" s="7" t="n">
        <v>7041.1</v>
      </c>
      <c r="E1250" s="7" t="n">
        <v>7194.9</v>
      </c>
      <c r="F1250" s="9" t="n">
        <v>4185461000</v>
      </c>
      <c r="G1250" s="9" t="n">
        <v>26930800000</v>
      </c>
      <c r="H1250">
        <f>H1249*(E1250/E1249)</f>
        <v/>
      </c>
    </row>
    <row r="1251">
      <c r="A1251" s="8" t="n">
        <v>45275</v>
      </c>
      <c r="B1251" s="7" t="n">
        <v>7194.9</v>
      </c>
      <c r="C1251" s="7" t="n">
        <v>7462.2</v>
      </c>
      <c r="D1251" s="7" t="n">
        <v>7189.9</v>
      </c>
      <c r="E1251" s="7" t="n">
        <v>7442.7</v>
      </c>
      <c r="F1251" s="9" t="n">
        <v>4923276000</v>
      </c>
      <c r="G1251" s="9" t="n">
        <v>37294170000</v>
      </c>
      <c r="H1251">
        <f>H1250*(E1251/E1250)</f>
        <v/>
      </c>
    </row>
    <row r="1252">
      <c r="A1252" s="8" t="n">
        <v>45282</v>
      </c>
      <c r="B1252" s="7" t="n">
        <v>7442.7</v>
      </c>
      <c r="C1252" s="7" t="n">
        <v>7552.3</v>
      </c>
      <c r="D1252" s="7" t="n">
        <v>7406.4</v>
      </c>
      <c r="E1252" s="7" t="n">
        <v>7501.6</v>
      </c>
      <c r="F1252" s="9" t="n">
        <v>3487124000</v>
      </c>
      <c r="G1252" s="9" t="n">
        <v>27071590000</v>
      </c>
      <c r="H1252">
        <f>H1251*(E1252/E1251)</f>
        <v/>
      </c>
    </row>
    <row r="1253">
      <c r="A1253" s="8" t="n">
        <v>45289</v>
      </c>
      <c r="B1253" s="7" t="n">
        <v>7501.6</v>
      </c>
      <c r="C1253" s="7" t="n">
        <v>7614.3</v>
      </c>
      <c r="D1253" s="7" t="n">
        <v>7501.6</v>
      </c>
      <c r="E1253" s="7" t="n">
        <v>7590.8</v>
      </c>
      <c r="F1253" s="9" t="n">
        <v>1181727000</v>
      </c>
      <c r="G1253" s="9" t="n">
        <v>8933445000</v>
      </c>
      <c r="H1253">
        <f>H1252*(E1253/E1252)</f>
        <v/>
      </c>
    </row>
    <row r="1254">
      <c r="A1254" s="8" t="n">
        <v>45296</v>
      </c>
      <c r="B1254" s="7" t="n">
        <v>7590.8</v>
      </c>
      <c r="C1254" s="7" t="n">
        <v>7632.7</v>
      </c>
      <c r="D1254" s="7" t="n">
        <v>7481.1</v>
      </c>
      <c r="E1254" s="7" t="n">
        <v>7489.1</v>
      </c>
      <c r="F1254" s="9" t="n">
        <v>1691965000</v>
      </c>
      <c r="G1254" s="9" t="n">
        <v>13466550000</v>
      </c>
      <c r="H1254">
        <f>H1253*(E1254/E1253)</f>
        <v/>
      </c>
    </row>
    <row r="1255">
      <c r="A1255" s="8" t="n">
        <v>45303</v>
      </c>
      <c r="B1255" s="7" t="n">
        <v>7489.1</v>
      </c>
      <c r="C1255" s="7" t="n">
        <v>7541.9</v>
      </c>
      <c r="D1255" s="7" t="n">
        <v>7441.8</v>
      </c>
      <c r="E1255" s="7" t="n">
        <v>7498.3</v>
      </c>
      <c r="F1255" s="9" t="n">
        <v>2803061000</v>
      </c>
      <c r="G1255" s="9" t="n">
        <v>19398250000</v>
      </c>
      <c r="H1255">
        <f>H1254*(E1255/E1254)</f>
        <v/>
      </c>
    </row>
    <row r="1256">
      <c r="A1256" s="8" t="n">
        <v>45310</v>
      </c>
      <c r="B1256" s="7" t="n">
        <v>7498.3</v>
      </c>
      <c r="C1256" s="7" t="n">
        <v>7505.1</v>
      </c>
      <c r="D1256" s="7" t="n">
        <v>7322</v>
      </c>
      <c r="E1256" s="7" t="n">
        <v>7421.2</v>
      </c>
      <c r="F1256" s="9" t="n">
        <v>3199967000</v>
      </c>
      <c r="G1256" s="9" t="n">
        <v>23731720000</v>
      </c>
      <c r="H1256">
        <f>H1255*(E1256/E1255)</f>
        <v/>
      </c>
    </row>
    <row r="1257">
      <c r="A1257" s="8" t="n">
        <v>45316</v>
      </c>
      <c r="B1257" s="7" t="n">
        <v>7421.2</v>
      </c>
      <c r="C1257" s="7" t="n">
        <v>7558.8</v>
      </c>
      <c r="D1257" s="7" t="n">
        <v>7421.2</v>
      </c>
      <c r="E1257" s="7" t="n">
        <v>7555.4</v>
      </c>
      <c r="F1257" s="9" t="n">
        <v>2403871000</v>
      </c>
      <c r="G1257" s="9" t="n">
        <v>18161820000</v>
      </c>
      <c r="H1257">
        <f>H1256*(E1257/E1256)</f>
        <v/>
      </c>
    </row>
    <row r="1258">
      <c r="A1258" s="8" t="n">
        <v>45324</v>
      </c>
      <c r="B1258" s="7" t="n">
        <v>7555.4</v>
      </c>
      <c r="C1258" s="7" t="n">
        <v>7703.6</v>
      </c>
      <c r="D1258" s="7" t="n">
        <v>7544.3</v>
      </c>
      <c r="E1258" s="7" t="n">
        <v>7699.4</v>
      </c>
      <c r="F1258" s="9" t="n">
        <v>3445047000</v>
      </c>
      <c r="G1258" s="9" t="n">
        <v>27670750000</v>
      </c>
      <c r="H1258">
        <f>H1257*(E1258/E1257)</f>
        <v/>
      </c>
    </row>
    <row r="1259">
      <c r="A1259" s="8" t="n">
        <v>45331</v>
      </c>
      <c r="B1259" s="7" t="n">
        <v>7699.4</v>
      </c>
      <c r="C1259" s="7" t="n">
        <v>7699.4</v>
      </c>
      <c r="D1259" s="7" t="n">
        <v>7542</v>
      </c>
      <c r="E1259" s="7" t="n">
        <v>7644.8</v>
      </c>
      <c r="F1259" s="9" t="n">
        <v>2888982000</v>
      </c>
      <c r="G1259" s="9" t="n">
        <v>24146740000</v>
      </c>
      <c r="H1259">
        <f>H1258*(E1259/E1258)</f>
        <v/>
      </c>
    </row>
    <row r="1260">
      <c r="A1260" s="8" t="n">
        <v>45338</v>
      </c>
      <c r="B1260" s="7" t="n">
        <v>7644.8</v>
      </c>
      <c r="C1260" s="7" t="n">
        <v>7681.1</v>
      </c>
      <c r="D1260" s="7" t="n">
        <v>7489.4</v>
      </c>
      <c r="E1260" s="7" t="n">
        <v>7658.3</v>
      </c>
      <c r="F1260" s="9" t="n">
        <v>3777022000</v>
      </c>
      <c r="G1260" s="9" t="n">
        <v>28346060000</v>
      </c>
      <c r="H1260">
        <f>H1259*(E1260/E1259)</f>
        <v/>
      </c>
    </row>
    <row r="1261">
      <c r="A1261" s="8" t="n">
        <v>45345</v>
      </c>
      <c r="B1261" s="7" t="n">
        <v>7658.3</v>
      </c>
      <c r="C1261" s="7" t="n">
        <v>7683.3</v>
      </c>
      <c r="D1261" s="7" t="n">
        <v>7584.7</v>
      </c>
      <c r="E1261" s="7" t="n">
        <v>7643.6</v>
      </c>
      <c r="F1261" s="9" t="n">
        <v>4852742000</v>
      </c>
      <c r="G1261" s="9" t="n">
        <v>30096330000</v>
      </c>
      <c r="H1261">
        <f>H1260*(E1261/E1260)</f>
        <v/>
      </c>
    </row>
    <row r="1262">
      <c r="A1262" s="8" t="n">
        <v>45352</v>
      </c>
      <c r="B1262" s="7" t="n">
        <v>7643.6</v>
      </c>
      <c r="C1262" s="7" t="n">
        <v>7745.6</v>
      </c>
      <c r="D1262" s="7" t="n">
        <v>7610.8</v>
      </c>
      <c r="E1262" s="7" t="n">
        <v>7745.6</v>
      </c>
      <c r="F1262" s="9" t="n">
        <v>5311381000</v>
      </c>
      <c r="G1262" s="9" t="n">
        <v>35563150000</v>
      </c>
      <c r="H1262">
        <f>H1261*(E1262/E1261)</f>
        <v/>
      </c>
    </row>
    <row r="1263">
      <c r="A1263" s="8" t="n">
        <v>45359</v>
      </c>
      <c r="B1263" s="7" t="n">
        <v>7745.6</v>
      </c>
      <c r="C1263" s="7" t="n">
        <v>7853.1</v>
      </c>
      <c r="D1263" s="7" t="n">
        <v>7695.2</v>
      </c>
      <c r="E1263" s="7" t="n">
        <v>7847</v>
      </c>
      <c r="F1263" s="9" t="n">
        <v>3785026000</v>
      </c>
      <c r="G1263" s="9" t="n">
        <v>29361380000</v>
      </c>
      <c r="H1263">
        <f>H1262*(E1263/E1262)</f>
        <v/>
      </c>
    </row>
    <row r="1264">
      <c r="A1264" s="8" t="n">
        <v>45366</v>
      </c>
      <c r="B1264" s="7" t="n">
        <v>7847</v>
      </c>
      <c r="C1264" s="7" t="n">
        <v>7847</v>
      </c>
      <c r="D1264" s="7" t="n">
        <v>7591.4</v>
      </c>
      <c r="E1264" s="7" t="n">
        <v>7670.3</v>
      </c>
      <c r="F1264" s="9" t="n">
        <v>5019539000</v>
      </c>
      <c r="G1264" s="9" t="n">
        <v>38683680000</v>
      </c>
      <c r="H1264">
        <f>H1263*(E1264/E1263)</f>
        <v/>
      </c>
    </row>
    <row r="1265">
      <c r="A1265" s="8" t="n">
        <v>45373</v>
      </c>
      <c r="B1265" s="7" t="n">
        <v>7670.3</v>
      </c>
      <c r="C1265" s="7" t="n">
        <v>7787.2</v>
      </c>
      <c r="D1265" s="7" t="n">
        <v>7642</v>
      </c>
      <c r="E1265" s="7" t="n">
        <v>7770.6</v>
      </c>
      <c r="F1265" s="9" t="n">
        <v>3086422000</v>
      </c>
      <c r="G1265" s="9" t="n">
        <v>29177890000</v>
      </c>
      <c r="H1265">
        <f>H1264*(E1265/E1264)</f>
        <v/>
      </c>
    </row>
    <row r="1266">
      <c r="A1266" s="8" t="n">
        <v>45379</v>
      </c>
      <c r="B1266" s="7" t="n">
        <v>7770.6</v>
      </c>
      <c r="C1266" s="7" t="n">
        <v>7901.2</v>
      </c>
      <c r="D1266" s="7" t="n">
        <v>7770.6</v>
      </c>
      <c r="E1266" s="7" t="n">
        <v>7896.9</v>
      </c>
      <c r="F1266" s="9" t="n">
        <v>2220318000</v>
      </c>
      <c r="G1266" s="9" t="n">
        <v>20308190000</v>
      </c>
      <c r="H1266">
        <f>H1265*(E1266/E1265)</f>
        <v/>
      </c>
    </row>
    <row r="1267">
      <c r="A1267" s="8" t="n">
        <v>45387</v>
      </c>
      <c r="B1267" s="7" t="n">
        <v>7896.9</v>
      </c>
      <c r="C1267" s="7" t="n">
        <v>7910.5</v>
      </c>
      <c r="D1267" s="7" t="n">
        <v>7741.5</v>
      </c>
      <c r="E1267" s="7" t="n">
        <v>7773.3</v>
      </c>
      <c r="F1267" s="9" t="n">
        <v>2324015000</v>
      </c>
      <c r="G1267" s="9" t="n">
        <v>20604450000</v>
      </c>
      <c r="H1267">
        <f>H1266*(E1267/E1266)</f>
        <v/>
      </c>
    </row>
    <row r="1268">
      <c r="A1268" s="8" t="n">
        <v>45394</v>
      </c>
      <c r="B1268" s="7" t="n">
        <v>7773.3</v>
      </c>
      <c r="C1268" s="7" t="n">
        <v>7869.3</v>
      </c>
      <c r="D1268" s="7" t="n">
        <v>7752.1</v>
      </c>
      <c r="E1268" s="7" t="n">
        <v>7788.1</v>
      </c>
      <c r="F1268" s="9" t="n">
        <v>2668391000</v>
      </c>
      <c r="G1268" s="9" t="n">
        <v>23484570000</v>
      </c>
      <c r="H1268">
        <f>H1267*(E1268/E1267)</f>
        <v/>
      </c>
    </row>
    <row r="1269">
      <c r="A1269" s="8" t="n">
        <v>45401</v>
      </c>
      <c r="B1269" s="7" t="n">
        <v>7788.1</v>
      </c>
      <c r="C1269" s="7" t="n">
        <v>7788.9</v>
      </c>
      <c r="D1269" s="7" t="n">
        <v>7492.6</v>
      </c>
      <c r="E1269" s="7" t="n">
        <v>7567.3</v>
      </c>
      <c r="F1269" s="9" t="n">
        <v>3280276000</v>
      </c>
      <c r="G1269" s="9" t="n">
        <v>29781390000</v>
      </c>
      <c r="H1269">
        <f>H1268*(E1269/E1268)</f>
        <v/>
      </c>
    </row>
    <row r="1270">
      <c r="A1270" s="8" t="n">
        <v>45408</v>
      </c>
      <c r="B1270" s="7" t="n">
        <v>7567.3</v>
      </c>
      <c r="C1270" s="7" t="n">
        <v>7724</v>
      </c>
      <c r="D1270" s="7" t="n">
        <v>7567.3</v>
      </c>
      <c r="E1270" s="7" t="n">
        <v>7575.9</v>
      </c>
      <c r="F1270" s="9" t="n">
        <v>2143823000</v>
      </c>
      <c r="G1270" s="9" t="n">
        <v>19976270000</v>
      </c>
      <c r="H1270">
        <f>H1269*(E1270/E1269)</f>
        <v/>
      </c>
    </row>
    <row r="1271">
      <c r="A1271" s="8" t="n">
        <v>45415</v>
      </c>
      <c r="B1271" s="7" t="n">
        <v>7575.9</v>
      </c>
      <c r="C1271" s="7" t="n">
        <v>7664.1</v>
      </c>
      <c r="D1271" s="7" t="n">
        <v>7556.5</v>
      </c>
      <c r="E1271" s="7" t="n">
        <v>7629</v>
      </c>
      <c r="F1271" s="9" t="n">
        <v>3098678000</v>
      </c>
      <c r="G1271" s="9" t="n">
        <v>27528700000</v>
      </c>
      <c r="H1271">
        <f>H1270*(E1271/E1270)</f>
        <v/>
      </c>
    </row>
    <row r="1272">
      <c r="A1272" s="8" t="n">
        <v>45422</v>
      </c>
      <c r="B1272" s="7" t="n">
        <v>7629</v>
      </c>
      <c r="C1272" s="7" t="n">
        <v>7814.9</v>
      </c>
      <c r="D1272" s="7" t="n">
        <v>7629</v>
      </c>
      <c r="E1272" s="7" t="n">
        <v>7749</v>
      </c>
      <c r="F1272" s="9" t="n">
        <v>2597032000</v>
      </c>
      <c r="G1272" s="9" t="n">
        <v>25919180000</v>
      </c>
      <c r="H1272">
        <f>H1271*(E1272/E1271)</f>
        <v/>
      </c>
    </row>
    <row r="1273">
      <c r="A1273" s="8" t="n">
        <v>45429</v>
      </c>
      <c r="B1273" s="7" t="n">
        <v>7749</v>
      </c>
      <c r="C1273" s="7" t="n">
        <v>7900.2</v>
      </c>
      <c r="D1273" s="7" t="n">
        <v>7714.6</v>
      </c>
      <c r="E1273" s="7" t="n">
        <v>7814.4</v>
      </c>
      <c r="F1273" s="9" t="n">
        <v>2502793000</v>
      </c>
      <c r="G1273" s="9" t="n">
        <v>25375760000</v>
      </c>
      <c r="H1273">
        <f>H1272*(E1273/E1272)</f>
        <v/>
      </c>
    </row>
    <row r="1274">
      <c r="A1274" s="8" t="n">
        <v>45436</v>
      </c>
      <c r="B1274" s="7" t="n">
        <v>7814.4</v>
      </c>
      <c r="C1274" s="7" t="n">
        <v>7879.6</v>
      </c>
      <c r="D1274" s="7" t="n">
        <v>7716.9</v>
      </c>
      <c r="E1274" s="7" t="n">
        <v>7727.6</v>
      </c>
      <c r="F1274" s="9" t="n">
        <v>3062356000</v>
      </c>
      <c r="G1274" s="9" t="n">
        <v>26211090000</v>
      </c>
      <c r="H1274">
        <f>H1273*(E1274/E1273)</f>
        <v/>
      </c>
    </row>
    <row r="1275">
      <c r="A1275" s="8" t="n">
        <v>45443</v>
      </c>
      <c r="B1275" s="7" t="n">
        <v>7734.3</v>
      </c>
      <c r="C1275" s="7" t="n">
        <v>7801.4</v>
      </c>
      <c r="D1275" s="7" t="n">
        <v>7601.5</v>
      </c>
      <c r="E1275" s="7" t="n">
        <v>7701.7</v>
      </c>
      <c r="F1275" s="9" t="n">
        <v>3612681000</v>
      </c>
      <c r="G1275" s="9" t="n">
        <v>33228710000</v>
      </c>
      <c r="H1275">
        <f>H1274*(E1275/E1274)</f>
        <v/>
      </c>
    </row>
    <row r="1276">
      <c r="A1276" s="8" t="n">
        <v>45450</v>
      </c>
      <c r="B1276" s="7" t="n">
        <v>7701.7</v>
      </c>
      <c r="C1276" s="7" t="n">
        <v>7861.8</v>
      </c>
      <c r="D1276" s="7" t="n">
        <v>7701.7</v>
      </c>
      <c r="E1276" s="7" t="n">
        <v>7860</v>
      </c>
      <c r="F1276" s="9" t="n">
        <v>2546461000</v>
      </c>
      <c r="G1276" s="9" t="n">
        <v>25244470000</v>
      </c>
      <c r="H1276">
        <f>H1275*(E1276/E1275)</f>
        <v/>
      </c>
    </row>
    <row r="1277">
      <c r="A1277" s="8" t="n">
        <v>45457</v>
      </c>
      <c r="B1277" s="7" t="n">
        <v>7860</v>
      </c>
      <c r="C1277" s="7" t="n">
        <v>7860</v>
      </c>
      <c r="D1277" s="7" t="n">
        <v>7699.2</v>
      </c>
      <c r="E1277" s="7" t="n">
        <v>7724.3</v>
      </c>
      <c r="F1277" s="9" t="n">
        <v>2450790000</v>
      </c>
      <c r="G1277" s="9" t="n">
        <v>21316350000</v>
      </c>
      <c r="H1277">
        <f>H1276*(E1277/E1276)</f>
        <v/>
      </c>
    </row>
    <row r="1278">
      <c r="A1278" s="8" t="n">
        <v>45464</v>
      </c>
      <c r="B1278" s="7" t="n">
        <v>7724.3</v>
      </c>
      <c r="C1278" s="7" t="n">
        <v>7796.9</v>
      </c>
      <c r="D1278" s="7" t="n">
        <v>7698.2</v>
      </c>
      <c r="E1278" s="7" t="n">
        <v>7796</v>
      </c>
      <c r="F1278" s="9" t="n">
        <v>4386069000</v>
      </c>
      <c r="G1278" s="9" t="n">
        <v>37853630000</v>
      </c>
      <c r="H1278">
        <f>H1277*(E1278/E1277)</f>
        <v/>
      </c>
    </row>
    <row r="1279">
      <c r="A1279" s="8" t="n">
        <v>45471</v>
      </c>
      <c r="B1279" s="7" t="n">
        <v>7796</v>
      </c>
      <c r="C1279" s="7" t="n">
        <v>7838.8</v>
      </c>
      <c r="D1279" s="7" t="n">
        <v>7654.2</v>
      </c>
      <c r="E1279" s="7" t="n">
        <v>7767.5</v>
      </c>
      <c r="F1279" s="9" t="n">
        <v>3368589000</v>
      </c>
      <c r="G1279" s="9" t="n">
        <v>27773770000</v>
      </c>
      <c r="H1279">
        <f>H1278*(E1279/E1278)</f>
        <v/>
      </c>
    </row>
    <row r="1280">
      <c r="A1280" s="8" t="n">
        <v>45478</v>
      </c>
      <c r="B1280" s="7" t="n">
        <v>7767.5</v>
      </c>
      <c r="C1280" s="7" t="n">
        <v>7835.7</v>
      </c>
      <c r="D1280" s="7" t="n">
        <v>7702.5</v>
      </c>
      <c r="E1280" s="7" t="n">
        <v>7822.3</v>
      </c>
      <c r="F1280" s="9" t="n">
        <v>2509361000</v>
      </c>
      <c r="G1280" s="9" t="n">
        <v>21193020000</v>
      </c>
      <c r="H1280">
        <f>H1279*(E1280/E1279)</f>
        <v/>
      </c>
    </row>
    <row r="1281">
      <c r="A1281" s="8" t="n">
        <v>45485</v>
      </c>
      <c r="B1281" s="7" t="n">
        <v>7822.3</v>
      </c>
      <c r="C1281" s="7" t="n">
        <v>7969.1</v>
      </c>
      <c r="D1281" s="7" t="n">
        <v>7759.5</v>
      </c>
      <c r="E1281" s="7" t="n">
        <v>7959.3</v>
      </c>
      <c r="F1281" s="9" t="n">
        <v>2561558000</v>
      </c>
      <c r="G1281" s="9" t="n">
        <v>22217600000</v>
      </c>
      <c r="H1281">
        <f>H1280*(E1281/E1280)</f>
        <v/>
      </c>
    </row>
    <row r="1282">
      <c r="A1282" s="8" t="n">
        <v>45492</v>
      </c>
      <c r="B1282" s="7" t="n">
        <v>7959.3</v>
      </c>
      <c r="C1282" s="7" t="n">
        <v>8083.7</v>
      </c>
      <c r="D1282" s="7" t="n">
        <v>7923.6</v>
      </c>
      <c r="E1282" s="7" t="n">
        <v>7971.6</v>
      </c>
      <c r="F1282" s="9" t="n">
        <v>2790884000</v>
      </c>
      <c r="G1282" s="9" t="n">
        <v>27476160000</v>
      </c>
      <c r="H1282">
        <f>H1281*(E1282/E1281)</f>
        <v/>
      </c>
    </row>
    <row r="1283">
      <c r="A1283" s="8" t="n">
        <v>45499</v>
      </c>
      <c r="B1283" s="7" t="n">
        <v>7971.6</v>
      </c>
      <c r="C1283" s="7" t="n">
        <v>7993.3</v>
      </c>
      <c r="D1283" s="7" t="n">
        <v>7861.2</v>
      </c>
      <c r="E1283" s="7" t="n">
        <v>7921.3</v>
      </c>
      <c r="F1283" s="9" t="n">
        <v>3086665000</v>
      </c>
      <c r="G1283" s="9" t="n">
        <v>25170290000</v>
      </c>
      <c r="H1283">
        <f>H1282*(E1283/E1282)</f>
        <v/>
      </c>
    </row>
    <row r="1284">
      <c r="A1284" s="8" t="n">
        <v>45506</v>
      </c>
      <c r="B1284" s="7" t="n">
        <v>7921.3</v>
      </c>
      <c r="C1284" s="7" t="n">
        <v>8148.7</v>
      </c>
      <c r="D1284" s="7" t="n">
        <v>7894.3</v>
      </c>
      <c r="E1284" s="7" t="n">
        <v>7943.2</v>
      </c>
      <c r="F1284" s="9" t="n">
        <v>3117006000</v>
      </c>
      <c r="G1284" s="9" t="n">
        <v>28459550000</v>
      </c>
      <c r="H1284">
        <f>H1283*(E1284/E1283)</f>
        <v/>
      </c>
    </row>
    <row r="1285">
      <c r="A1285" s="8" t="n">
        <v>45513</v>
      </c>
      <c r="B1285" s="7" t="n">
        <v>7943.2</v>
      </c>
      <c r="C1285" s="7" t="n">
        <v>7943.2</v>
      </c>
      <c r="D1285" s="7" t="n">
        <v>7628.1</v>
      </c>
      <c r="E1285" s="7" t="n">
        <v>7777.7</v>
      </c>
      <c r="F1285" s="9" t="n">
        <v>3678624000</v>
      </c>
      <c r="G1285" s="9" t="n">
        <v>28214590000</v>
      </c>
      <c r="H1285">
        <f>H1284*(E1285/E1284)</f>
        <v/>
      </c>
    </row>
    <row r="1286">
      <c r="A1286" s="8" t="n">
        <v>45520</v>
      </c>
      <c r="B1286" s="7" t="n">
        <v>7777.7</v>
      </c>
      <c r="C1286" s="7" t="n">
        <v>7976.9</v>
      </c>
      <c r="D1286" s="7" t="n">
        <v>7777.7</v>
      </c>
      <c r="E1286" s="7" t="n">
        <v>7971.1</v>
      </c>
      <c r="F1286" s="9" t="n">
        <v>3162250000</v>
      </c>
      <c r="G1286" s="9" t="n">
        <v>27978220000</v>
      </c>
      <c r="H1286">
        <f>H1285*(E1286/E1285)</f>
        <v/>
      </c>
    </row>
    <row r="1287">
      <c r="A1287" s="8" t="n">
        <v>45527</v>
      </c>
      <c r="B1287" s="7" t="n">
        <v>7971.1</v>
      </c>
      <c r="C1287" s="7" t="n">
        <v>8039.7</v>
      </c>
      <c r="D1287" s="7" t="n">
        <v>7950.6</v>
      </c>
      <c r="E1287" s="7" t="n">
        <v>8023.9</v>
      </c>
      <c r="F1287" s="9" t="n">
        <v>3019790000</v>
      </c>
      <c r="G1287" s="9" t="n">
        <v>27329210000</v>
      </c>
      <c r="H1287">
        <f>H1286*(E1287/E1286)</f>
        <v/>
      </c>
    </row>
    <row r="1288">
      <c r="A1288" s="8" t="n">
        <v>45534</v>
      </c>
      <c r="B1288" s="7" t="n">
        <v>8023.9</v>
      </c>
      <c r="C1288" s="7" t="n">
        <v>8107.3</v>
      </c>
      <c r="D1288" s="7" t="n">
        <v>8008.9</v>
      </c>
      <c r="E1288" s="7" t="n">
        <v>8091.9</v>
      </c>
      <c r="F1288" s="9" t="n">
        <v>3895691000</v>
      </c>
      <c r="G1288" s="9" t="n">
        <v>34052270000</v>
      </c>
      <c r="H1288">
        <f>H1287*(E1288/E1287)</f>
        <v/>
      </c>
    </row>
    <row r="1289">
      <c r="A1289" s="8" t="n">
        <v>45541</v>
      </c>
      <c r="B1289" s="7" t="n">
        <v>8091.8</v>
      </c>
      <c r="C1289" s="7" t="n">
        <v>8116.9</v>
      </c>
      <c r="D1289" s="7" t="n">
        <v>7928.5</v>
      </c>
      <c r="E1289" s="7" t="n">
        <v>8013.4</v>
      </c>
      <c r="F1289" s="9" t="n">
        <v>3416267000</v>
      </c>
      <c r="G1289" s="9" t="n">
        <v>28215780000</v>
      </c>
      <c r="H1289">
        <f>H1288*(E1289/E1288)</f>
        <v/>
      </c>
    </row>
    <row r="1290">
      <c r="A1290" s="8" t="n">
        <v>45548</v>
      </c>
      <c r="B1290" s="7" t="n">
        <v>8013.4</v>
      </c>
      <c r="C1290" s="7" t="n">
        <v>8143.6</v>
      </c>
      <c r="D1290" s="7" t="n">
        <v>7918.9</v>
      </c>
      <c r="E1290" s="7" t="n">
        <v>8099.9</v>
      </c>
      <c r="F1290" s="9" t="n">
        <v>3373126000</v>
      </c>
      <c r="G1290" s="9" t="n">
        <v>28934350000</v>
      </c>
      <c r="H1290">
        <f>H1289*(E1290/E1289)</f>
        <v/>
      </c>
    </row>
    <row r="1291">
      <c r="A1291" s="8" t="n">
        <v>45555</v>
      </c>
      <c r="B1291" s="7" t="n">
        <v>8099.9</v>
      </c>
      <c r="C1291" s="7" t="n">
        <v>8246.200000000001</v>
      </c>
      <c r="D1291" s="7" t="n">
        <v>8099.9</v>
      </c>
      <c r="E1291" s="7" t="n">
        <v>8209.5</v>
      </c>
      <c r="F1291" s="9" t="n">
        <v>4472164000</v>
      </c>
      <c r="G1291" s="9" t="n">
        <v>39612100000</v>
      </c>
      <c r="H1291">
        <f>H1290*(E1291/E1290)</f>
        <v/>
      </c>
    </row>
    <row r="1292">
      <c r="A1292" s="8" t="n">
        <v>45562</v>
      </c>
      <c r="B1292" s="7" t="n">
        <v>8209.5</v>
      </c>
      <c r="C1292" s="7" t="n">
        <v>8225.5</v>
      </c>
      <c r="D1292" s="7" t="n">
        <v>8111.3</v>
      </c>
      <c r="E1292" s="7" t="n">
        <v>8212.200000000001</v>
      </c>
      <c r="F1292" s="9" t="n">
        <v>3581673000</v>
      </c>
      <c r="G1292" s="9" t="n">
        <v>32225700000</v>
      </c>
      <c r="H1292">
        <f>H1291*(E1292/E1291)</f>
        <v/>
      </c>
    </row>
    <row r="1293">
      <c r="A1293" s="8" t="n">
        <v>45569</v>
      </c>
      <c r="B1293" s="7" t="n">
        <v>8212.200000000001</v>
      </c>
      <c r="C1293" s="7" t="n">
        <v>8285.700000000001</v>
      </c>
      <c r="D1293" s="7" t="n">
        <v>8107.6</v>
      </c>
      <c r="E1293" s="7" t="n">
        <v>8150</v>
      </c>
      <c r="F1293" s="9" t="n">
        <v>3242337000</v>
      </c>
      <c r="G1293" s="9" t="n">
        <v>30160560000</v>
      </c>
      <c r="H1293">
        <f>H1292*(E1293/E1292)</f>
        <v/>
      </c>
    </row>
    <row r="1294">
      <c r="A1294" s="8" t="n">
        <v>45576</v>
      </c>
      <c r="B1294" s="7" t="n">
        <v>8150</v>
      </c>
      <c r="C1294" s="7" t="n">
        <v>8242.799999999999</v>
      </c>
      <c r="D1294" s="7" t="n">
        <v>8147.5</v>
      </c>
      <c r="E1294" s="7" t="n">
        <v>8214.5</v>
      </c>
      <c r="F1294" s="9" t="n">
        <v>2595630000</v>
      </c>
      <c r="G1294" s="9" t="n">
        <v>23317010000</v>
      </c>
      <c r="H1294">
        <f>H1293*(E1294/E1293)</f>
        <v/>
      </c>
    </row>
    <row r="1295">
      <c r="A1295" s="8" t="n">
        <v>45583</v>
      </c>
      <c r="B1295" s="7" t="n">
        <v>8214.5</v>
      </c>
      <c r="C1295" s="7" t="n">
        <v>8384.5</v>
      </c>
      <c r="D1295" s="7" t="n">
        <v>8214.5</v>
      </c>
      <c r="E1295" s="7" t="n">
        <v>8283.200000000001</v>
      </c>
      <c r="F1295" s="9" t="n">
        <v>3098488000</v>
      </c>
      <c r="G1295" s="9" t="n">
        <v>29082500000</v>
      </c>
      <c r="H1295">
        <f>H1294*(E1295/E1294)</f>
        <v/>
      </c>
    </row>
    <row r="1296">
      <c r="A1296" s="8" t="n">
        <v>45590</v>
      </c>
      <c r="B1296" s="7" t="n">
        <v>8283.799999999999</v>
      </c>
      <c r="C1296" s="7" t="n">
        <v>8356.4</v>
      </c>
      <c r="D1296" s="7" t="n">
        <v>8183.8</v>
      </c>
      <c r="E1296" s="7" t="n">
        <v>8211.299999999999</v>
      </c>
      <c r="F1296" s="9" t="n">
        <v>2763583000</v>
      </c>
      <c r="G1296" s="9" t="n">
        <v>25568120000</v>
      </c>
      <c r="H1296">
        <f>H1295*(E1296/E1295)</f>
        <v/>
      </c>
    </row>
    <row r="1297">
      <c r="A1297" s="8" t="n">
        <v>45597</v>
      </c>
      <c r="B1297" s="7" t="n">
        <v>8211.299999999999</v>
      </c>
      <c r="C1297" s="7" t="n">
        <v>8272.1</v>
      </c>
      <c r="D1297" s="7" t="n">
        <v>8063.2</v>
      </c>
      <c r="E1297" s="7" t="n">
        <v>8118.8</v>
      </c>
      <c r="F1297" s="9" t="n">
        <v>2980036000</v>
      </c>
      <c r="G1297" s="9" t="n">
        <v>27012110000</v>
      </c>
      <c r="H1297">
        <f>H1296*(E1297/E1296)</f>
        <v/>
      </c>
    </row>
    <row r="1298">
      <c r="A1298" s="8" t="n">
        <v>45604</v>
      </c>
      <c r="B1298" s="7" t="n">
        <v>8118.8</v>
      </c>
      <c r="C1298" s="7" t="n">
        <v>8319.4</v>
      </c>
      <c r="D1298" s="7" t="n">
        <v>8113.4</v>
      </c>
      <c r="E1298" s="7" t="n">
        <v>8295.1</v>
      </c>
      <c r="F1298" s="9" t="n">
        <v>2661492000</v>
      </c>
      <c r="G1298" s="9" t="n">
        <v>24176930000</v>
      </c>
      <c r="H1298">
        <f>H1297*(E1298/E1297)</f>
        <v/>
      </c>
    </row>
    <row r="1299">
      <c r="A1299" s="8" t="n">
        <v>45611</v>
      </c>
      <c r="B1299" s="7" t="n">
        <v>8295.1</v>
      </c>
      <c r="C1299" s="7" t="n">
        <v>8295.1</v>
      </c>
      <c r="D1299" s="7" t="n">
        <v>8139.1</v>
      </c>
      <c r="E1299" s="7" t="n">
        <v>8285.200000000001</v>
      </c>
      <c r="F1299" s="9" t="n">
        <v>2754699000</v>
      </c>
      <c r="G1299" s="9" t="n">
        <v>27239550000</v>
      </c>
      <c r="H1299">
        <f>H1298*(E1299/E1298)</f>
        <v/>
      </c>
    </row>
    <row r="1300">
      <c r="A1300" s="8" t="n">
        <v>45618</v>
      </c>
      <c r="B1300" s="7" t="n">
        <v>8285.200000000001</v>
      </c>
      <c r="C1300" s="7" t="n">
        <v>8446.4</v>
      </c>
      <c r="D1300" s="7" t="n">
        <v>8244.299999999999</v>
      </c>
      <c r="E1300" s="7" t="n">
        <v>8393.799999999999</v>
      </c>
      <c r="F1300" s="9" t="n">
        <v>2681145000</v>
      </c>
      <c r="G1300" s="9" t="n">
        <v>28034870000</v>
      </c>
      <c r="H1300">
        <f>H1299*(E1300/E1299)</f>
        <v/>
      </c>
    </row>
    <row r="1301">
      <c r="A1301" s="8" t="n">
        <v>45625</v>
      </c>
      <c r="B1301" s="7" t="n">
        <v>8393.799999999999</v>
      </c>
      <c r="C1301" s="7" t="n">
        <v>8477.1</v>
      </c>
      <c r="D1301" s="7" t="n">
        <v>8352.799999999999</v>
      </c>
      <c r="E1301" s="7" t="n">
        <v>8436.200000000001</v>
      </c>
      <c r="F1301" s="9" t="n">
        <v>3566451000</v>
      </c>
      <c r="G1301" s="9" t="n">
        <v>33898840000</v>
      </c>
      <c r="H1301">
        <f>H1300*(E1301/E1300)</f>
        <v/>
      </c>
    </row>
    <row r="1302">
      <c r="A1302" s="8" t="n">
        <v>45632</v>
      </c>
      <c r="B1302" s="7" t="n">
        <v>8436.200000000001</v>
      </c>
      <c r="C1302" s="7" t="n">
        <v>8514.5</v>
      </c>
      <c r="D1302" s="7" t="n">
        <v>8419.1</v>
      </c>
      <c r="E1302" s="7" t="n">
        <v>8420.9</v>
      </c>
      <c r="F1302" s="9" t="n">
        <v>2900121000</v>
      </c>
      <c r="G1302" s="9" t="n">
        <v>26451990000</v>
      </c>
      <c r="H1302">
        <f>H1301*(E1302/E1301)</f>
        <v/>
      </c>
    </row>
    <row r="1303">
      <c r="A1303" s="8" t="n">
        <v>45639</v>
      </c>
      <c r="B1303" s="7" t="n">
        <v>8420.9</v>
      </c>
      <c r="C1303" s="7" t="n">
        <v>8447.700000000001</v>
      </c>
      <c r="D1303" s="7" t="n">
        <v>8263.5</v>
      </c>
      <c r="E1303" s="7" t="n">
        <v>8296</v>
      </c>
      <c r="F1303" s="9" t="n">
        <v>3023133000</v>
      </c>
      <c r="G1303" s="9" t="n">
        <v>26176870000</v>
      </c>
      <c r="H1303">
        <f>H1302*(E1303/E1302)</f>
        <v/>
      </c>
    </row>
    <row r="1304">
      <c r="A1304" s="8" t="n">
        <v>45646</v>
      </c>
      <c r="B1304" s="7" t="n">
        <v>8296</v>
      </c>
      <c r="C1304" s="7" t="n">
        <v>8342.9</v>
      </c>
      <c r="D1304" s="7" t="n">
        <v>8051.2</v>
      </c>
      <c r="E1304" s="7" t="n">
        <v>8067</v>
      </c>
      <c r="F1304" s="9" t="n">
        <v>3807308000</v>
      </c>
      <c r="G1304" s="9" t="n">
        <v>36601540000</v>
      </c>
      <c r="H1304">
        <f>H1303*(E1304/E1303)</f>
        <v/>
      </c>
    </row>
    <row r="1305">
      <c r="A1305" s="8" t="n">
        <v>45653</v>
      </c>
      <c r="B1305" s="7" t="n">
        <v>8067</v>
      </c>
      <c r="C1305" s="7" t="n">
        <v>8281.4</v>
      </c>
      <c r="D1305" s="7" t="n">
        <v>8067</v>
      </c>
      <c r="E1305" s="7" t="n">
        <v>8261.799999999999</v>
      </c>
      <c r="F1305" s="9" t="n">
        <v>830094300</v>
      </c>
      <c r="G1305" s="9" t="n">
        <v>7368209000</v>
      </c>
      <c r="H1305">
        <f>H1304*(E1305/E1304)</f>
        <v/>
      </c>
    </row>
    <row r="1306">
      <c r="A1306" s="8" t="n">
        <v>45660</v>
      </c>
      <c r="B1306" s="7" t="n">
        <v>8261.799999999999</v>
      </c>
      <c r="C1306" s="7" t="n">
        <v>8263.9</v>
      </c>
      <c r="D1306" s="7" t="n">
        <v>8146.6</v>
      </c>
      <c r="E1306" s="7" t="n">
        <v>8250.5</v>
      </c>
      <c r="F1306" s="9" t="n">
        <v>1217952000</v>
      </c>
      <c r="G1306" s="9" t="n">
        <v>10137020000</v>
      </c>
      <c r="H1306">
        <f>H1305*(E1306/E1305)</f>
        <v/>
      </c>
    </row>
    <row r="1307">
      <c r="A1307" s="8" t="n">
        <v>45667</v>
      </c>
      <c r="B1307" s="7" t="n">
        <v>8250.5</v>
      </c>
      <c r="C1307" s="7" t="n">
        <v>8370.700000000001</v>
      </c>
      <c r="D1307" s="7" t="n">
        <v>8242.4</v>
      </c>
      <c r="E1307" s="7" t="n">
        <v>8294.1</v>
      </c>
      <c r="F1307" s="9" t="n">
        <v>2453222000</v>
      </c>
      <c r="G1307" s="9" t="n">
        <v>19420110000</v>
      </c>
      <c r="H1307">
        <f>H1306*(E1307/E1306)</f>
        <v/>
      </c>
    </row>
    <row r="1308">
      <c r="A1308" s="8" t="n">
        <v>45674</v>
      </c>
      <c r="B1308" s="7" t="n">
        <v>8294.1</v>
      </c>
      <c r="C1308" s="7" t="n">
        <v>8346.799999999999</v>
      </c>
      <c r="D1308" s="7" t="n">
        <v>8160.7</v>
      </c>
      <c r="E1308" s="7" t="n">
        <v>8310.4</v>
      </c>
      <c r="F1308" s="9" t="n">
        <v>2603642000</v>
      </c>
      <c r="G1308" s="9" t="n">
        <v>22748010000</v>
      </c>
      <c r="H1308">
        <f>H1307*(E1308/E1307)</f>
        <v/>
      </c>
    </row>
    <row r="1309">
      <c r="A1309" s="8" t="n">
        <v>45681</v>
      </c>
      <c r="B1309" s="7" t="n">
        <v>8310.4</v>
      </c>
      <c r="C1309" s="7" t="n">
        <v>8455.6</v>
      </c>
      <c r="D1309" s="7" t="n">
        <v>8310.4</v>
      </c>
      <c r="E1309" s="7" t="n">
        <v>8408.9</v>
      </c>
      <c r="F1309" s="9" t="n">
        <v>2509727000</v>
      </c>
      <c r="G1309" s="9" t="n">
        <v>20876710000</v>
      </c>
      <c r="H1309">
        <f>H1308*(E1309/E1308)</f>
        <v/>
      </c>
    </row>
    <row r="1310">
      <c r="A1310" s="8" t="n">
        <v>45688</v>
      </c>
      <c r="B1310" s="7" t="n">
        <v>8408.9</v>
      </c>
      <c r="C1310" s="7" t="n">
        <v>8566.9</v>
      </c>
      <c r="D1310" s="7" t="n">
        <v>8386.5</v>
      </c>
      <c r="E1310" s="7" t="n">
        <v>8532.299999999999</v>
      </c>
      <c r="F1310" s="9" t="n">
        <v>2536158000</v>
      </c>
      <c r="G1310" s="9" t="n">
        <v>21052140000</v>
      </c>
      <c r="H1310">
        <f>H1309*(E1310/E1309)</f>
        <v/>
      </c>
    </row>
    <row r="1311">
      <c r="A1311" s="8" t="n">
        <v>45695</v>
      </c>
      <c r="B1311" s="7" t="n">
        <v>8532.299999999999</v>
      </c>
      <c r="C1311" s="7" t="n">
        <v>8532.6</v>
      </c>
      <c r="D1311" s="7" t="n">
        <v>8353.9</v>
      </c>
      <c r="E1311" s="7" t="n">
        <v>8511.4</v>
      </c>
      <c r="F1311" s="9" t="n">
        <v>2882899000</v>
      </c>
      <c r="G1311" s="9" t="n">
        <v>25335420000</v>
      </c>
      <c r="H1311">
        <f>H1310*(E1311/E1310)</f>
        <v/>
      </c>
    </row>
    <row r="1312">
      <c r="A1312" s="8" t="n">
        <v>45702</v>
      </c>
      <c r="B1312" s="7" t="n">
        <v>8511.4</v>
      </c>
      <c r="C1312" s="7" t="n">
        <v>8615.200000000001</v>
      </c>
      <c r="D1312" s="7" t="n">
        <v>8445.299999999999</v>
      </c>
      <c r="E1312" s="7" t="n">
        <v>8555.799999999999</v>
      </c>
      <c r="F1312" s="9" t="n">
        <v>3358219000</v>
      </c>
      <c r="G1312" s="9" t="n">
        <v>28902840000</v>
      </c>
      <c r="H1312">
        <f>H1311*(E1312/E1311)</f>
        <v/>
      </c>
    </row>
    <row r="1313">
      <c r="A1313" s="8" t="n">
        <v>45709</v>
      </c>
      <c r="B1313" s="7" t="n">
        <v>8555.799999999999</v>
      </c>
      <c r="C1313" s="7" t="n">
        <v>8555.799999999999</v>
      </c>
      <c r="D1313" s="7" t="n">
        <v>8287.799999999999</v>
      </c>
      <c r="E1313" s="7" t="n">
        <v>8296.200000000001</v>
      </c>
      <c r="F1313" s="9" t="n">
        <v>3639494000</v>
      </c>
      <c r="G1313" s="9" t="n">
        <v>36987380000</v>
      </c>
      <c r="H1313">
        <f>H1312*(E1313/E1312)</f>
        <v/>
      </c>
    </row>
    <row r="1314">
      <c r="A1314" s="8" t="n">
        <v>45716</v>
      </c>
      <c r="B1314" s="7" t="n">
        <v>8296.200000000001</v>
      </c>
      <c r="C1314" s="7" t="n">
        <v>8310</v>
      </c>
      <c r="D1314" s="7" t="n">
        <v>8155.5</v>
      </c>
      <c r="E1314" s="7" t="n">
        <v>8172.4</v>
      </c>
      <c r="F1314" s="9" t="n">
        <v>4867165000</v>
      </c>
      <c r="G1314" s="9" t="n">
        <v>44955500000</v>
      </c>
      <c r="H1314">
        <f>H1313*(E1314/E1313)</f>
        <v/>
      </c>
    </row>
    <row r="1315">
      <c r="A1315" s="8" t="n">
        <v>45723</v>
      </c>
      <c r="B1315" s="7" t="n">
        <v>8172.4</v>
      </c>
      <c r="C1315" s="7" t="n">
        <v>8251.9</v>
      </c>
      <c r="D1315" s="7" t="n">
        <v>7946.4</v>
      </c>
      <c r="E1315" s="7" t="n">
        <v>7948.2</v>
      </c>
      <c r="F1315" s="9" t="n">
        <v>3555088000</v>
      </c>
      <c r="G1315" s="9" t="n">
        <v>32541840000</v>
      </c>
      <c r="H1315">
        <f>H1314*(E1315/E1314)</f>
        <v/>
      </c>
    </row>
    <row r="1316">
      <c r="A1316" s="8" t="n">
        <v>45730</v>
      </c>
      <c r="B1316" s="7" t="n">
        <v>7948.2</v>
      </c>
      <c r="C1316" s="7" t="n">
        <v>7978.6</v>
      </c>
      <c r="D1316" s="7" t="n">
        <v>7733.5</v>
      </c>
      <c r="E1316" s="7" t="n">
        <v>7789.7</v>
      </c>
      <c r="F1316" s="9" t="n">
        <v>4189201000</v>
      </c>
      <c r="G1316" s="9" t="n">
        <v>33386350000</v>
      </c>
      <c r="H1316">
        <f>H1315*(E1316/E1315)</f>
        <v/>
      </c>
    </row>
    <row r="1317">
      <c r="A1317" s="8" t="n">
        <v>45737</v>
      </c>
      <c r="B1317" s="7" t="n">
        <v>7792.3</v>
      </c>
      <c r="C1317" s="7" t="n">
        <v>7962.6</v>
      </c>
      <c r="D1317" s="7" t="n">
        <v>7792.3</v>
      </c>
      <c r="E1317" s="7" t="n">
        <v>7931.2</v>
      </c>
      <c r="F1317" s="9" t="n">
        <v>5353260000</v>
      </c>
      <c r="G1317" s="9" t="n">
        <v>43915300000</v>
      </c>
      <c r="H1317">
        <f>H1316*(E1317/E1316)</f>
        <v/>
      </c>
    </row>
    <row r="1318">
      <c r="A1318" s="8" t="n">
        <v>45744</v>
      </c>
      <c r="B1318" s="7" t="n">
        <v>7931.2</v>
      </c>
      <c r="C1318" s="7" t="n">
        <v>8014.9</v>
      </c>
      <c r="D1318" s="7" t="n">
        <v>7899.5</v>
      </c>
      <c r="E1318" s="7" t="n">
        <v>7982</v>
      </c>
      <c r="F1318" s="9" t="n">
        <v>3311388000</v>
      </c>
      <c r="G1318" s="9" t="n">
        <v>28774470000</v>
      </c>
      <c r="H1318">
        <f>H1317*(E1318/E1317)</f>
        <v/>
      </c>
    </row>
    <row r="1319">
      <c r="A1319" s="8" t="n">
        <v>45751</v>
      </c>
      <c r="B1319" s="7" t="n">
        <v>7982</v>
      </c>
      <c r="C1319" s="7" t="n">
        <v>7982</v>
      </c>
      <c r="D1319" s="7" t="n">
        <v>7664.2</v>
      </c>
      <c r="E1319" s="7" t="n">
        <v>7667.8</v>
      </c>
      <c r="F1319" s="9" t="n">
        <v>3858693000</v>
      </c>
      <c r="G1319" s="9" t="n">
        <v>33745400000</v>
      </c>
      <c r="H1319">
        <f>H1318*(E1319/E1318)</f>
        <v/>
      </c>
    </row>
    <row r="1320">
      <c r="A1320" s="8" t="n">
        <v>45758</v>
      </c>
      <c r="B1320" s="7" t="n">
        <v>7667.8</v>
      </c>
      <c r="C1320" s="7" t="n">
        <v>7842.9</v>
      </c>
      <c r="D1320" s="7" t="n">
        <v>7169.2</v>
      </c>
      <c r="E1320" s="7" t="n">
        <v>7646.5</v>
      </c>
      <c r="F1320" s="9" t="n">
        <v>5308969000</v>
      </c>
      <c r="G1320" s="9" t="n">
        <v>45317310000</v>
      </c>
      <c r="H1320">
        <f>H1319*(E1320/E1319)</f>
        <v/>
      </c>
    </row>
    <row r="1321">
      <c r="A1321" s="8" t="n">
        <v>45764</v>
      </c>
      <c r="B1321" s="7" t="n">
        <v>7646.5</v>
      </c>
      <c r="C1321" s="7" t="n">
        <v>7819.1</v>
      </c>
      <c r="D1321" s="7" t="n">
        <v>7646.5</v>
      </c>
      <c r="E1321" s="7" t="n">
        <v>7819.1</v>
      </c>
      <c r="F1321" s="9" t="n">
        <v>2747771000</v>
      </c>
      <c r="G1321" s="9" t="n">
        <v>22158080000</v>
      </c>
      <c r="H1321">
        <f>H1320*(E1321/E1320)</f>
        <v/>
      </c>
    </row>
    <row r="1322">
      <c r="A1322" s="8" t="n">
        <v>45771</v>
      </c>
      <c r="B1322" s="7" t="n">
        <v>7819.1</v>
      </c>
      <c r="C1322" s="7" t="n">
        <v>7983.8</v>
      </c>
      <c r="D1322" s="7" t="n">
        <v>7745.1</v>
      </c>
      <c r="E1322" s="7" t="n">
        <v>7968.2</v>
      </c>
      <c r="F1322" s="9" t="n">
        <v>2301147000</v>
      </c>
      <c r="G1322" s="9" t="n">
        <v>20106320000</v>
      </c>
      <c r="H1322">
        <f>H1321*(E1322/E1321)</f>
        <v/>
      </c>
    </row>
    <row r="1323">
      <c r="A1323" s="8" t="n">
        <v>45779</v>
      </c>
      <c r="B1323" s="7" t="n">
        <v>7968.2</v>
      </c>
      <c r="C1323" s="7" t="n">
        <v>8239.6</v>
      </c>
      <c r="D1323" s="7" t="n">
        <v>7968.2</v>
      </c>
      <c r="E1323" s="7" t="n">
        <v>8238</v>
      </c>
      <c r="F1323" s="9" t="n">
        <v>3818158000</v>
      </c>
      <c r="G1323" s="9" t="n">
        <v>34090320000</v>
      </c>
      <c r="H1323">
        <f>H1322*(E1323/E1322)</f>
        <v/>
      </c>
    </row>
    <row r="1324">
      <c r="A1324" s="8" t="n">
        <v>45786</v>
      </c>
      <c r="B1324" s="7" t="n">
        <v>8238</v>
      </c>
      <c r="C1324" s="7" t="n">
        <v>8242.9</v>
      </c>
      <c r="D1324" s="7" t="n">
        <v>8138.4</v>
      </c>
      <c r="E1324" s="7" t="n">
        <v>8231.200000000001</v>
      </c>
      <c r="F1324" s="9" t="n">
        <v>3698362000</v>
      </c>
      <c r="G1324" s="9" t="n">
        <v>32407550000</v>
      </c>
      <c r="H1324">
        <f>H1323*(E1324/E1323)</f>
        <v/>
      </c>
    </row>
    <row r="1325">
      <c r="A1325" s="8" t="n">
        <v>45793</v>
      </c>
      <c r="B1325" s="7" t="n">
        <v>8231.200000000001</v>
      </c>
      <c r="C1325" s="7" t="n">
        <v>8398.200000000001</v>
      </c>
      <c r="D1325" s="7" t="n">
        <v>8231.200000000001</v>
      </c>
      <c r="E1325" s="7" t="n">
        <v>8343.700000000001</v>
      </c>
      <c r="F1325" s="9" t="n">
        <v>3834424000</v>
      </c>
      <c r="G1325" s="9" t="n">
        <v>34567960000</v>
      </c>
      <c r="H1325">
        <f>H1324*(E1325/E1324)</f>
        <v/>
      </c>
    </row>
    <row r="1326">
      <c r="A1326" s="8" t="n">
        <v>45800</v>
      </c>
      <c r="B1326" s="7" t="n">
        <v>8343.700000000001</v>
      </c>
      <c r="C1326" s="7" t="n">
        <v>8422.9</v>
      </c>
      <c r="D1326" s="7" t="n">
        <v>8284</v>
      </c>
      <c r="E1326" s="7" t="n">
        <v>8360.9</v>
      </c>
      <c r="F1326" s="9" t="n">
        <v>3094745000</v>
      </c>
      <c r="G1326" s="9" t="n">
        <v>28117510000</v>
      </c>
      <c r="H1326">
        <f>H1325*(E1326/E1325)</f>
        <v/>
      </c>
    </row>
    <row r="1327">
      <c r="A1327" s="8" t="n">
        <v>45807</v>
      </c>
      <c r="B1327" s="7" t="n">
        <v>8360.700000000001</v>
      </c>
      <c r="C1327" s="7" t="n">
        <v>8453</v>
      </c>
      <c r="D1327" s="7" t="n">
        <v>8345.5</v>
      </c>
      <c r="E1327" s="7" t="n">
        <v>8434.700000000001</v>
      </c>
      <c r="F1327" s="9" t="n">
        <v>4561230000</v>
      </c>
      <c r="G1327" s="9" t="n">
        <v>39347580000</v>
      </c>
      <c r="H1327">
        <f>H1326*(E1327/E1326)</f>
        <v/>
      </c>
    </row>
    <row r="1328">
      <c r="A1328" s="8" t="n">
        <v>45814</v>
      </c>
      <c r="B1328" s="7" t="n">
        <v>8434.700000000001</v>
      </c>
      <c r="C1328" s="7" t="n">
        <v>8567.299999999999</v>
      </c>
      <c r="D1328" s="7" t="n">
        <v>8401.1</v>
      </c>
      <c r="E1328" s="7" t="n">
        <v>8515.700000000001</v>
      </c>
      <c r="F1328" s="9" t="n">
        <v>3325413000</v>
      </c>
      <c r="G1328" s="9" t="n">
        <v>29300570000</v>
      </c>
      <c r="H1328">
        <f>H1327*(E1328/E1327)</f>
        <v/>
      </c>
    </row>
    <row r="1329">
      <c r="A1329" s="8" t="n">
        <v>45821</v>
      </c>
      <c r="B1329" s="7" t="n">
        <v>8515.700000000001</v>
      </c>
      <c r="C1329" s="7" t="n">
        <v>8639.1</v>
      </c>
      <c r="D1329" s="7" t="n">
        <v>8515.700000000001</v>
      </c>
      <c r="E1329" s="7" t="n">
        <v>8547.4</v>
      </c>
      <c r="F1329" s="9" t="n">
        <v>3212078000</v>
      </c>
      <c r="G1329" s="9" t="n">
        <v>26762250000</v>
      </c>
      <c r="H1329">
        <f>H1328*(E1329/E1328)</f>
        <v/>
      </c>
    </row>
    <row r="1330">
      <c r="A1330" s="8" t="n">
        <v>45828</v>
      </c>
      <c r="B1330" s="7" t="n">
        <v>8547.4</v>
      </c>
      <c r="C1330" s="7" t="n">
        <v>8579.1</v>
      </c>
      <c r="D1330" s="7" t="n">
        <v>8462.700000000001</v>
      </c>
      <c r="E1330" s="7" t="n">
        <v>8505.5</v>
      </c>
      <c r="F1330" s="9" t="n">
        <v>4790109000</v>
      </c>
      <c r="G1330" s="9" t="n">
        <v>43313370000</v>
      </c>
      <c r="H1330">
        <f>H1329*(E1330/E1329)</f>
        <v/>
      </c>
    </row>
    <row r="1331">
      <c r="A1331" s="8" t="n">
        <v>45835</v>
      </c>
      <c r="B1331" s="7" t="n">
        <v>8505.5</v>
      </c>
      <c r="C1331" s="7" t="n">
        <v>8605.700000000001</v>
      </c>
      <c r="D1331" s="7" t="n">
        <v>8421.1</v>
      </c>
      <c r="E1331" s="7" t="n">
        <v>8514.200000000001</v>
      </c>
      <c r="F1331" s="9" t="n">
        <v>3474676000</v>
      </c>
      <c r="G1331" s="9" t="n">
        <v>31716180000</v>
      </c>
      <c r="H1331">
        <f>H1330*(E1331/E1330)</f>
        <v/>
      </c>
    </row>
    <row r="1332">
      <c r="A1332" s="8" t="n">
        <v>45842</v>
      </c>
      <c r="B1332" s="7" t="n">
        <v>8514.200000000001</v>
      </c>
      <c r="C1332" s="7" t="n">
        <v>8623.6</v>
      </c>
      <c r="D1332" s="7" t="n">
        <v>8514.200000000001</v>
      </c>
      <c r="E1332" s="7" t="n">
        <v>8603</v>
      </c>
      <c r="F1332" s="9" t="n">
        <v>3486018000</v>
      </c>
      <c r="G1332" s="9" t="n">
        <v>34942890000</v>
      </c>
      <c r="H1332">
        <f>H1331*(E1332/E1331)</f>
        <v/>
      </c>
    </row>
    <row r="1333">
      <c r="A1333" s="8" t="n">
        <v>45849</v>
      </c>
      <c r="B1333" s="7" t="n">
        <v>8603</v>
      </c>
      <c r="C1333" s="7" t="n">
        <v>8619.799999999999</v>
      </c>
      <c r="D1333" s="7" t="n">
        <v>8531.4</v>
      </c>
      <c r="E1333" s="7" t="n">
        <v>8580.1</v>
      </c>
      <c r="F1333" s="9" t="n">
        <v>2870128000</v>
      </c>
      <c r="G1333" s="9" t="n">
        <v>25343070000</v>
      </c>
      <c r="H1333">
        <f>H1332*(E1333/E1332)</f>
        <v/>
      </c>
    </row>
    <row r="1334">
      <c r="A1334" s="8" t="n">
        <v>45856</v>
      </c>
      <c r="B1334" s="7" t="n">
        <v>8580.1</v>
      </c>
      <c r="C1334" s="7" t="n">
        <v>8776.4</v>
      </c>
      <c r="D1334" s="7" t="n">
        <v>8544.700000000001</v>
      </c>
      <c r="E1334" s="7" t="n">
        <v>8757.200000000001</v>
      </c>
      <c r="F1334" s="9" t="n">
        <v>3070040000</v>
      </c>
      <c r="G1334" s="9" t="n">
        <v>28758670000</v>
      </c>
      <c r="H1334">
        <f>H1333*(E1334/E1333)</f>
        <v/>
      </c>
    </row>
    <row r="1335">
      <c r="A1335" s="8" t="n">
        <v>45863</v>
      </c>
      <c r="B1335" s="7" t="n">
        <v>8757.200000000001</v>
      </c>
      <c r="C1335" s="7" t="n">
        <v>8759.9</v>
      </c>
      <c r="D1335" s="7" t="n">
        <v>8648.4</v>
      </c>
      <c r="E1335" s="7" t="n">
        <v>8666.9</v>
      </c>
      <c r="F1335" s="9" t="n">
        <v>3399394000</v>
      </c>
      <c r="G1335" s="9" t="n">
        <v>30640420000</v>
      </c>
      <c r="H1335">
        <f>H1334*(E1335/E1334)</f>
        <v/>
      </c>
    </row>
    <row r="1336">
      <c r="A1336" s="8" t="n">
        <v>45870</v>
      </c>
      <c r="B1336" s="7" t="n">
        <v>8666.9</v>
      </c>
      <c r="C1336" s="7" t="n">
        <v>8773</v>
      </c>
      <c r="D1336" s="7" t="n">
        <v>8643.5</v>
      </c>
      <c r="E1336" s="7" t="n">
        <v>8662</v>
      </c>
      <c r="F1336" s="9" t="n">
        <v>3322301000</v>
      </c>
      <c r="G1336" s="9" t="n">
        <v>28024460000</v>
      </c>
      <c r="H1336">
        <f>H1335*(E1336/E1335)</f>
        <v/>
      </c>
    </row>
    <row r="1337">
      <c r="A1337" s="2" t="n">
        <v>45873</v>
      </c>
      <c r="B1337" s="7" t="n">
        <v>8662</v>
      </c>
      <c r="C1337" s="7" t="n">
        <v>8666.700000000001</v>
      </c>
      <c r="D1337" s="7" t="n">
        <v>8630.9</v>
      </c>
      <c r="E1337" s="7" t="n">
        <v>8663.700000000001</v>
      </c>
      <c r="F1337" s="9" t="n">
        <v>501820100</v>
      </c>
      <c r="G1337" s="9" t="n">
        <v>4321034000</v>
      </c>
      <c r="H1337">
        <f>H1336*(E1337/E1336)</f>
        <v/>
      </c>
    </row>
    <row r="1338">
      <c r="A1338" s="8" t="n">
        <v>45877</v>
      </c>
      <c r="B1338" s="7" t="n">
        <v>8662</v>
      </c>
      <c r="C1338" s="7" t="n">
        <v>8848.799999999999</v>
      </c>
      <c r="D1338" s="7" t="n">
        <v>8630.9</v>
      </c>
      <c r="E1338" s="7" t="n">
        <v>8807.1</v>
      </c>
      <c r="F1338" s="9" t="n">
        <v>2972657000</v>
      </c>
      <c r="G1338" s="9" t="n">
        <v>27262150000</v>
      </c>
      <c r="H1338">
        <f>H1337*(E1338/E1337)</f>
        <v/>
      </c>
    </row>
    <row r="1339">
      <c r="A1339" s="8" t="n">
        <v>45880</v>
      </c>
      <c r="B1339" s="7" t="n">
        <v>8807.1</v>
      </c>
      <c r="C1339" s="7" t="n">
        <v>8852.299999999999</v>
      </c>
      <c r="D1339" s="7" t="n">
        <v>8807.1</v>
      </c>
      <c r="E1339" s="7" t="n">
        <v>8844.799999999999</v>
      </c>
      <c r="F1339" s="9" t="n">
        <v>656849200</v>
      </c>
      <c r="G1339" s="9" t="n">
        <v>5902330000</v>
      </c>
      <c r="H1339">
        <f>H1338*(E1339/E1338)</f>
        <v/>
      </c>
    </row>
    <row r="1340">
      <c r="A1340" s="8" t="n">
        <v>45884</v>
      </c>
      <c r="B1340" s="7" t="n">
        <v>8807.1</v>
      </c>
      <c r="C1340" s="7" t="n">
        <v>8938.6</v>
      </c>
      <c r="D1340" s="7" t="n">
        <v>8807.1</v>
      </c>
      <c r="E1340" s="7" t="n">
        <v>8938.6</v>
      </c>
      <c r="F1340" s="9" t="n">
        <v>3312270000</v>
      </c>
      <c r="G1340" s="9" t="n">
        <v>34582770000</v>
      </c>
      <c r="H1340">
        <f>H1339*(E1340/E1339)</f>
        <v/>
      </c>
    </row>
    <row r="1341">
      <c r="A1341" s="8" t="n">
        <v>45887</v>
      </c>
      <c r="B1341" s="7" t="n">
        <v>8938.6</v>
      </c>
      <c r="C1341" s="7" t="n">
        <v>8963</v>
      </c>
      <c r="D1341" s="7" t="n">
        <v>8912.200000000001</v>
      </c>
      <c r="E1341" s="7" t="n">
        <v>8959.299999999999</v>
      </c>
      <c r="F1341" s="9" t="n">
        <v>571329100</v>
      </c>
      <c r="G1341" s="9" t="n">
        <v>5711497000</v>
      </c>
      <c r="H1341">
        <f>H1340*(E1341/E1340)</f>
        <v/>
      </c>
    </row>
    <row r="1342">
      <c r="A1342" s="8" t="n">
        <v>45891</v>
      </c>
      <c r="B1342" s="7" t="n">
        <v>8938.6</v>
      </c>
      <c r="C1342" s="7" t="n">
        <v>9025.5</v>
      </c>
      <c r="D1342" s="7" t="n">
        <v>8857.799999999999</v>
      </c>
      <c r="E1342" s="7" t="n">
        <v>8967.4</v>
      </c>
      <c r="F1342" s="9" t="n">
        <v>3663298000</v>
      </c>
      <c r="G1342" s="9" t="n">
        <v>41159640000</v>
      </c>
      <c r="H1342">
        <f>H1341*(E1342/E1341)</f>
        <v/>
      </c>
    </row>
    <row r="1343">
      <c r="A1343" s="8" t="n">
        <v>45894</v>
      </c>
      <c r="B1343" s="7" t="n">
        <v>8967.4</v>
      </c>
      <c r="C1343" s="7" t="n">
        <v>9054.5</v>
      </c>
      <c r="D1343" s="7" t="n">
        <v>8965.9</v>
      </c>
      <c r="E1343" s="7" t="n">
        <v>8972.4</v>
      </c>
      <c r="F1343" s="9" t="n">
        <v>747158500</v>
      </c>
      <c r="G1343" s="9" t="n">
        <v>7917913000</v>
      </c>
      <c r="H1343">
        <f>H1342*(E1343/E1342)</f>
        <v/>
      </c>
    </row>
    <row r="1344">
      <c r="A1344" s="8" t="n">
        <v>45898</v>
      </c>
      <c r="B1344" s="7" t="n">
        <v>8967.4</v>
      </c>
      <c r="C1344" s="7" t="n">
        <v>9054.5</v>
      </c>
      <c r="D1344" s="7" t="n">
        <v>8917.6</v>
      </c>
      <c r="E1344" s="7" t="n">
        <v>8973.1</v>
      </c>
      <c r="F1344" s="9" t="n">
        <v>4604831000</v>
      </c>
      <c r="G1344" s="9" t="n">
        <v>41836740000</v>
      </c>
      <c r="H1344">
        <f>H1343*(E1344/E1343)</f>
        <v/>
      </c>
    </row>
    <row r="1345">
      <c r="A1345" s="8" t="n">
        <v>45901</v>
      </c>
      <c r="B1345" s="7" t="n">
        <v>8973.1</v>
      </c>
      <c r="C1345" s="7" t="n">
        <v>8973.1</v>
      </c>
      <c r="D1345" s="7" t="n">
        <v>8907</v>
      </c>
      <c r="E1345" s="7" t="n">
        <v>8927.700000000001</v>
      </c>
      <c r="F1345" s="9" t="n">
        <v>618141800</v>
      </c>
      <c r="G1345" s="9" t="n">
        <v>5406035000</v>
      </c>
      <c r="H1345">
        <f>H1344*(E1345/E1344)</f>
        <v/>
      </c>
    </row>
    <row r="1346">
      <c r="A1346" s="8" t="n">
        <v>45905</v>
      </c>
      <c r="B1346" s="7" t="n">
        <v>8973.1</v>
      </c>
      <c r="C1346" s="7" t="n">
        <v>8973.1</v>
      </c>
      <c r="D1346" s="7" t="n">
        <v>8731.299999999999</v>
      </c>
      <c r="E1346" s="7" t="n">
        <v>8871.200000000001</v>
      </c>
      <c r="F1346" s="9" t="n">
        <v>3288880000</v>
      </c>
      <c r="G1346" s="9" t="n">
        <v>32109510000</v>
      </c>
      <c r="H1346">
        <f>H1345*(E1346/E1345)</f>
        <v/>
      </c>
    </row>
    <row r="1347">
      <c r="A1347" s="8" t="n">
        <v>45908</v>
      </c>
      <c r="B1347" s="7" t="n">
        <v>8871.200000000001</v>
      </c>
      <c r="C1347" s="7" t="n">
        <v>8871.200000000001</v>
      </c>
      <c r="D1347" s="7" t="n">
        <v>8826.9</v>
      </c>
      <c r="E1347" s="7" t="n">
        <v>8849.6</v>
      </c>
      <c r="F1347" s="9" t="n">
        <v>592530400</v>
      </c>
      <c r="G1347" s="9" t="n">
        <v>5749162000</v>
      </c>
      <c r="H1347">
        <f>H1346*(E1347/E1346)</f>
        <v/>
      </c>
    </row>
    <row r="1348">
      <c r="A1348" s="8" t="n">
        <v>45912</v>
      </c>
      <c r="B1348" s="7" t="n">
        <v>8871.200000000001</v>
      </c>
      <c r="C1348" s="7" t="n">
        <v>8887.200000000001</v>
      </c>
      <c r="D1348" s="7" t="n">
        <v>8782.6</v>
      </c>
      <c r="E1348" s="7" t="n">
        <v>8864.9</v>
      </c>
      <c r="F1348" s="9" t="n">
        <v>3543675000</v>
      </c>
      <c r="G1348" s="9" t="n">
        <v>31333150000</v>
      </c>
      <c r="H1348">
        <f>H1347*(E1348/E1347)</f>
        <v/>
      </c>
    </row>
    <row r="1349">
      <c r="A1349" s="8" t="n">
        <v>45915</v>
      </c>
      <c r="B1349" s="7" t="n">
        <v>8864.9</v>
      </c>
      <c r="C1349" s="7" t="n">
        <v>8864.9</v>
      </c>
      <c r="D1349" s="7" t="n">
        <v>8794</v>
      </c>
      <c r="E1349" s="7" t="n">
        <v>8853</v>
      </c>
      <c r="F1349" s="9" t="n">
        <v>616653100</v>
      </c>
      <c r="G1349" s="9" t="n">
        <v>5901733000</v>
      </c>
      <c r="H1349">
        <f>H1348*(E1349/E1348)</f>
        <v/>
      </c>
    </row>
    <row r="1350">
      <c r="A1350" s="8" t="n">
        <v>45919</v>
      </c>
      <c r="B1350" s="7" t="n">
        <v>8864.9</v>
      </c>
      <c r="C1350" s="7" t="n">
        <v>8888</v>
      </c>
      <c r="D1350" s="7" t="n">
        <v>8737.5</v>
      </c>
      <c r="E1350" s="7" t="n">
        <v>8773.5</v>
      </c>
      <c r="F1350" s="9" t="n">
        <v>5264323000</v>
      </c>
      <c r="G1350" s="9" t="n">
        <v>46895280000</v>
      </c>
      <c r="H1350">
        <f>H1349*(E1350/E1349)</f>
        <v/>
      </c>
    </row>
    <row r="1351">
      <c r="A1351" s="8" t="n">
        <v>45922</v>
      </c>
      <c r="B1351" s="7" t="n">
        <v>8773.5</v>
      </c>
      <c r="C1351" s="7" t="n">
        <v>8846</v>
      </c>
      <c r="D1351" s="7" t="n">
        <v>8773.5</v>
      </c>
      <c r="E1351" s="7" t="n">
        <v>8810.9</v>
      </c>
      <c r="F1351" s="9" t="n">
        <v>610195600</v>
      </c>
      <c r="G1351" s="9" t="n">
        <v>5378942000</v>
      </c>
      <c r="H1351">
        <f>H1350*(E1351/E1350)</f>
        <v/>
      </c>
    </row>
    <row r="1352">
      <c r="A1352" s="8" t="n">
        <v>45926</v>
      </c>
      <c r="B1352" s="7" t="n">
        <v>8773.5</v>
      </c>
      <c r="C1352" s="7" t="n">
        <v>8877.1</v>
      </c>
      <c r="D1352" s="7" t="n">
        <v>8737.9</v>
      </c>
      <c r="E1352" s="7" t="n">
        <v>8787.700000000001</v>
      </c>
      <c r="F1352" s="9" t="n">
        <v>3747600000</v>
      </c>
      <c r="G1352" s="9" t="n">
        <v>34793910000</v>
      </c>
      <c r="H1352">
        <f>H1351*(E1352/E1351)</f>
        <v/>
      </c>
    </row>
    <row r="1353">
      <c r="A1353" s="8" t="n">
        <v>45929</v>
      </c>
      <c r="B1353" s="7" t="n">
        <v>8787.700000000001</v>
      </c>
      <c r="C1353" s="7" t="n">
        <v>8871.700000000001</v>
      </c>
      <c r="D1353" s="7" t="n">
        <v>8787.700000000001</v>
      </c>
      <c r="E1353" s="7" t="n">
        <v>8862.799999999999</v>
      </c>
      <c r="F1353" s="9" t="n">
        <v>579809500</v>
      </c>
      <c r="G1353" s="9" t="n">
        <v>5860654000</v>
      </c>
      <c r="H1353">
        <f>H1352*(E1353/E1352)</f>
        <v/>
      </c>
    </row>
    <row r="1354">
      <c r="A1354" s="8" t="n">
        <v>45930</v>
      </c>
      <c r="B1354" s="7" t="n">
        <v>8862.799999999999</v>
      </c>
      <c r="C1354" s="7" t="n">
        <v>8892.4</v>
      </c>
      <c r="D1354" s="7" t="n">
        <v>8842.4</v>
      </c>
      <c r="E1354" s="7" t="n">
        <v>8848.799999999999</v>
      </c>
      <c r="F1354" s="9" t="n">
        <v>874382500</v>
      </c>
      <c r="G1354" s="9" t="n">
        <v>7745929000</v>
      </c>
      <c r="H1354">
        <f>H1353*(E1354/E1353)</f>
        <v/>
      </c>
    </row>
    <row r="1355">
      <c r="A1355" s="8" t="n">
        <v>45933</v>
      </c>
      <c r="B1355" s="7" t="n">
        <v>8787.700000000001</v>
      </c>
      <c r="C1355" s="7" t="n">
        <v>8995.5</v>
      </c>
      <c r="D1355" s="7" t="n">
        <v>8787.700000000001</v>
      </c>
      <c r="E1355" s="7" t="n">
        <v>8987.4</v>
      </c>
      <c r="F1355" s="9" t="n">
        <v>3610752000</v>
      </c>
      <c r="G1355" s="9" t="n">
        <v>33966790000</v>
      </c>
      <c r="H1355">
        <f>H1354*(E1355/E1354)</f>
        <v/>
      </c>
    </row>
    <row r="1356">
      <c r="A1356" s="8" t="n">
        <v>45936</v>
      </c>
      <c r="B1356" s="7" t="n">
        <v>8987.4</v>
      </c>
      <c r="C1356" s="7" t="n">
        <v>9026.4</v>
      </c>
      <c r="D1356" s="7" t="n">
        <v>8970.6</v>
      </c>
      <c r="E1356" s="7" t="n">
        <v>8981.4</v>
      </c>
      <c r="F1356" s="9" t="n">
        <v>462732100</v>
      </c>
      <c r="G1356" s="9" t="n">
        <v>3952689000</v>
      </c>
      <c r="H1356">
        <f>H1355*(E1356/E1355)</f>
        <v/>
      </c>
    </row>
    <row r="1357">
      <c r="A1357" s="8" t="n">
        <v>45940</v>
      </c>
      <c r="B1357" s="7" t="n">
        <v>8987.4</v>
      </c>
      <c r="C1357" s="7" t="n">
        <v>9026.4</v>
      </c>
      <c r="D1357" s="7" t="n">
        <v>8916.200000000001</v>
      </c>
      <c r="E1357" s="7" t="n">
        <v>8958.299999999999</v>
      </c>
      <c r="F1357" s="9" t="n">
        <v>3297513000</v>
      </c>
      <c r="G1357" s="9" t="n">
        <v>30554170000</v>
      </c>
      <c r="H1357">
        <f>H1356*(E1357/E1356)</f>
        <v/>
      </c>
    </row>
    <row r="1358">
      <c r="A1358" s="8" t="n">
        <v>45943</v>
      </c>
      <c r="B1358" s="7" t="n">
        <v>8958.299999999999</v>
      </c>
      <c r="C1358" s="7" t="n">
        <v>8958.299999999999</v>
      </c>
      <c r="D1358" s="7" t="n">
        <v>8868</v>
      </c>
      <c r="E1358" s="7" t="n">
        <v>8882.799999999999</v>
      </c>
      <c r="F1358" s="9" t="n">
        <v>664074100</v>
      </c>
      <c r="G1358" s="9" t="n">
        <v>6392053000</v>
      </c>
      <c r="H1358">
        <f>H1357*(E1358/E1357)</f>
        <v/>
      </c>
    </row>
    <row r="1359">
      <c r="A1359" s="8" t="n">
        <v>45947</v>
      </c>
      <c r="B1359" s="7" t="n">
        <v>8958.299999999999</v>
      </c>
      <c r="C1359" s="7" t="n">
        <v>9109.700000000001</v>
      </c>
      <c r="D1359" s="7" t="n">
        <v>8843.799999999999</v>
      </c>
      <c r="E1359" s="7" t="n">
        <v>8995.299999999999</v>
      </c>
      <c r="F1359" s="9" t="n">
        <v>3717847000</v>
      </c>
      <c r="G1359" s="9" t="n">
        <v>37518950000</v>
      </c>
      <c r="H1359">
        <f>H1358*(E1359/E1358)</f>
        <v/>
      </c>
    </row>
    <row r="1360">
      <c r="A1360" s="8" t="n">
        <v>45950</v>
      </c>
      <c r="B1360" s="7" t="n">
        <v>8995.299999999999</v>
      </c>
      <c r="C1360" s="7" t="n">
        <v>9034.4</v>
      </c>
      <c r="D1360" s="7" t="n">
        <v>8963.6</v>
      </c>
      <c r="E1360" s="7" t="n">
        <v>9031.9</v>
      </c>
      <c r="F1360" s="9" t="n">
        <v>676486700</v>
      </c>
      <c r="G1360" s="9" t="n">
        <v>6283263000</v>
      </c>
      <c r="H1360">
        <f>H1359*(E1360/E1359)</f>
        <v/>
      </c>
    </row>
    <row r="1361">
      <c r="A1361" s="8" t="n">
        <v>45954</v>
      </c>
      <c r="B1361" s="7" t="n">
        <v>8995.299999999999</v>
      </c>
      <c r="C1361" s="7" t="n">
        <v>9115.200000000001</v>
      </c>
      <c r="D1361" s="7" t="n">
        <v>8963.6</v>
      </c>
      <c r="E1361" s="7" t="n">
        <v>9019</v>
      </c>
      <c r="F1361" s="9" t="n">
        <v>3425116000</v>
      </c>
      <c r="G1361" s="9" t="n">
        <v>32491630000</v>
      </c>
      <c r="H1361">
        <f>H1360*(E1361/E1360)</f>
        <v/>
      </c>
    </row>
    <row r="1362">
      <c r="A1362" s="8" t="n">
        <v>45957</v>
      </c>
      <c r="B1362" s="7" t="n">
        <v>9019</v>
      </c>
      <c r="C1362" s="7" t="n">
        <v>9083.4</v>
      </c>
      <c r="D1362" s="7" t="n">
        <v>9019</v>
      </c>
      <c r="E1362" s="7" t="n">
        <v>9055.6</v>
      </c>
      <c r="F1362" s="9" t="n">
        <v>543307100</v>
      </c>
      <c r="G1362" s="9" t="n">
        <v>5308005000</v>
      </c>
      <c r="H1362">
        <f>H1361*(E1362/E1361)</f>
        <v/>
      </c>
    </row>
    <row r="1363">
      <c r="A1363" s="8" t="n">
        <v>45961</v>
      </c>
      <c r="B1363" s="7" t="n">
        <v>9019</v>
      </c>
      <c r="C1363" s="7" t="n">
        <v>9083.4</v>
      </c>
      <c r="D1363" s="7" t="n">
        <v>8876</v>
      </c>
      <c r="E1363" s="7" t="n">
        <v>8881.9</v>
      </c>
      <c r="F1363" s="9" t="n">
        <v>3316029000</v>
      </c>
      <c r="G1363" s="9" t="n">
        <v>34780550000</v>
      </c>
      <c r="H1363">
        <f>H1362*(E1363/E1362)</f>
        <v/>
      </c>
    </row>
    <row r="1364">
      <c r="A1364" s="8" t="n">
        <v>45964</v>
      </c>
      <c r="B1364" s="7" t="n">
        <v>8881.9</v>
      </c>
      <c r="C1364" s="7" t="n">
        <v>8894.799999999999</v>
      </c>
      <c r="D1364" s="7" t="n">
        <v>8829.299999999999</v>
      </c>
      <c r="E1364" s="7" t="n">
        <v>8894.799999999999</v>
      </c>
      <c r="F1364" s="9" t="n">
        <v>615843200</v>
      </c>
      <c r="G1364" s="9" t="n">
        <v>6078266000</v>
      </c>
      <c r="H1364">
        <f>H1363*(E1364/E1363)</f>
        <v/>
      </c>
    </row>
    <row r="1365">
      <c r="A1365" s="8" t="n">
        <v>45968</v>
      </c>
      <c r="B1365" s="7" t="n">
        <v>8881.9</v>
      </c>
      <c r="C1365" s="7" t="n">
        <v>8894.799999999999</v>
      </c>
      <c r="D1365" s="7" t="n">
        <v>8733.799999999999</v>
      </c>
      <c r="E1365" s="7" t="n">
        <v>8769.700000000001</v>
      </c>
      <c r="F1365" s="9" t="n">
        <v>3018855000</v>
      </c>
      <c r="G1365" s="9" t="n">
        <v>32433630000</v>
      </c>
      <c r="H1365">
        <f>H1364*(E1365/E1364)</f>
        <v/>
      </c>
    </row>
    <row r="1366">
      <c r="A1366" s="8" t="n">
        <v>45971</v>
      </c>
      <c r="B1366" s="7" t="n">
        <v>8769.700000000001</v>
      </c>
      <c r="C1366" s="7" t="n">
        <v>8835.9</v>
      </c>
      <c r="D1366" s="7" t="n">
        <v>8769.700000000001</v>
      </c>
      <c r="E1366" s="7" t="n">
        <v>8835.9</v>
      </c>
      <c r="F1366" s="9" t="n">
        <v>551108000</v>
      </c>
      <c r="G1366" s="9" t="n">
        <v>5912229000</v>
      </c>
      <c r="H1366">
        <f>H1365*(E1366/E1365)</f>
        <v/>
      </c>
    </row>
    <row r="1367">
      <c r="A1367" s="8" t="n">
        <v>45975</v>
      </c>
      <c r="B1367" s="7" t="n">
        <v>8769.700000000001</v>
      </c>
      <c r="C1367" s="7" t="n">
        <v>8875.6</v>
      </c>
      <c r="D1367" s="7" t="n">
        <v>8612.200000000001</v>
      </c>
      <c r="E1367" s="7" t="n">
        <v>8634.5</v>
      </c>
      <c r="F1367" s="9" t="n">
        <v>3282623000</v>
      </c>
      <c r="G1367" s="9" t="n">
        <v>35082170000</v>
      </c>
      <c r="H1367">
        <f>H1366*(E1367/E1366)</f>
        <v/>
      </c>
    </row>
    <row r="1368">
      <c r="A1368" s="8" t="n">
        <v>45978</v>
      </c>
      <c r="B1368" s="7" t="n">
        <v>8634.5</v>
      </c>
      <c r="C1368" s="7" t="n">
        <v>8636.4</v>
      </c>
      <c r="D1368" s="7" t="n">
        <v>8588.9</v>
      </c>
      <c r="E1368" s="7" t="n">
        <v>8636.4</v>
      </c>
      <c r="F1368" s="9" t="n">
        <v>544821500</v>
      </c>
      <c r="G1368" s="9" t="n">
        <v>5504830000</v>
      </c>
      <c r="H1368">
        <f>H1367*(E1368/E1367)</f>
        <v/>
      </c>
    </row>
    <row r="1369">
      <c r="A1369" s="8" t="n">
        <v>45982</v>
      </c>
      <c r="B1369" s="7" t="n">
        <v>8634.5</v>
      </c>
      <c r="C1369" s="7" t="n">
        <v>8636.4</v>
      </c>
      <c r="D1369" s="7" t="n">
        <v>8383.200000000001</v>
      </c>
      <c r="E1369" s="7" t="n">
        <v>8416.5</v>
      </c>
      <c r="F1369" s="9" t="n">
        <v>3295504000</v>
      </c>
      <c r="G1369" s="9" t="n">
        <v>34575410000</v>
      </c>
      <c r="H1369">
        <f>H1368*(E1369/E1368)</f>
        <v/>
      </c>
    </row>
    <row r="1370">
      <c r="A1370" s="8" t="n">
        <v>45985</v>
      </c>
      <c r="B1370" s="7" t="n">
        <v>8416.5</v>
      </c>
      <c r="C1370" s="7" t="n">
        <v>8526.5</v>
      </c>
      <c r="D1370" s="7" t="n">
        <v>8416.5</v>
      </c>
      <c r="E1370" s="7" t="n">
        <v>8525.1</v>
      </c>
      <c r="F1370" s="9" t="n">
        <v>1317172000</v>
      </c>
      <c r="G1370" s="9" t="n">
        <v>17150810000</v>
      </c>
      <c r="H1370">
        <f>H1369*(E1370/E1369)</f>
        <v/>
      </c>
    </row>
    <row r="1371">
      <c r="A1371" s="8" t="n">
        <v>45989</v>
      </c>
      <c r="B1371" s="7" t="n">
        <v>8416.5</v>
      </c>
      <c r="C1371" s="7" t="n">
        <v>8649.299999999999</v>
      </c>
      <c r="D1371" s="7" t="n">
        <v>8416.5</v>
      </c>
      <c r="E1371" s="7" t="n">
        <v>8614.1</v>
      </c>
      <c r="F1371" s="9" t="n">
        <v>4150254000</v>
      </c>
      <c r="G1371" s="9" t="n">
        <v>43242640000</v>
      </c>
      <c r="H1371">
        <f>H1370*(E1371/E1370)</f>
        <v/>
      </c>
    </row>
    <row r="1372">
      <c r="A1372" s="8" t="n">
        <v>45992</v>
      </c>
      <c r="B1372" s="7" t="n">
        <v>8614.1</v>
      </c>
      <c r="C1372" s="7" t="n">
        <v>8624.700000000001</v>
      </c>
      <c r="D1372" s="7" t="n">
        <v>8563.200000000001</v>
      </c>
      <c r="E1372" s="7" t="n">
        <v>8565.200000000001</v>
      </c>
      <c r="F1372" s="9" t="n">
        <v>608475900</v>
      </c>
      <c r="G1372" s="9" t="n">
        <v>5642342000</v>
      </c>
      <c r="H1372">
        <f>H1371*(E1372/E1371)</f>
        <v/>
      </c>
    </row>
    <row r="1373">
      <c r="A1373" s="8" t="n">
        <v>45996</v>
      </c>
      <c r="B1373" s="7" t="n">
        <v>8614.1</v>
      </c>
      <c r="C1373" s="7" t="n">
        <v>8634.6</v>
      </c>
      <c r="D1373" s="7" t="n">
        <v>8563.200000000001</v>
      </c>
      <c r="E1373" s="7" t="n">
        <v>8634.6</v>
      </c>
      <c r="F1373" s="9" t="n">
        <v>3135600000</v>
      </c>
      <c r="G1373" s="9" t="n">
        <v>31263060000</v>
      </c>
      <c r="H1373">
        <f>H1372*(E1373/E1372)</f>
        <v/>
      </c>
    </row>
    <row r="1374">
      <c r="A1374" s="8" t="n">
        <v>45999</v>
      </c>
      <c r="B1374" s="7" t="n">
        <v>8634.6</v>
      </c>
      <c r="C1374" s="7" t="n">
        <v>8634.6</v>
      </c>
      <c r="D1374" s="7" t="n">
        <v>8595.6</v>
      </c>
      <c r="E1374" s="7" t="n">
        <v>8624.4</v>
      </c>
      <c r="F1374" s="9" t="n">
        <v>560535700</v>
      </c>
      <c r="G1374" s="9" t="n">
        <v>5216101000</v>
      </c>
      <c r="H1374">
        <f>H1373*(E1374/E1373)</f>
        <v/>
      </c>
    </row>
    <row r="1375">
      <c r="A1375" s="8" t="n">
        <v>46003</v>
      </c>
      <c r="B1375" s="7" t="n">
        <v>8634.6</v>
      </c>
      <c r="C1375" s="7" t="n">
        <v>8701.799999999999</v>
      </c>
      <c r="D1375" s="7" t="n">
        <v>8562.1</v>
      </c>
      <c r="E1375" s="7" t="n">
        <v>8697.299999999999</v>
      </c>
      <c r="F1375" s="9" t="n">
        <v>3110053000</v>
      </c>
      <c r="G1375" s="9" t="n">
        <v>30115270000</v>
      </c>
      <c r="H1375">
        <f>H1374*(E1375/E1374)</f>
        <v/>
      </c>
    </row>
    <row r="1376">
      <c r="A1376" s="8" t="n">
        <v>46006</v>
      </c>
      <c r="B1376" s="7" t="n">
        <v>8697.299999999999</v>
      </c>
      <c r="C1376" s="7" t="n">
        <v>8697.299999999999</v>
      </c>
      <c r="D1376" s="7" t="n">
        <v>8622.700000000001</v>
      </c>
      <c r="E1376" s="7" t="n">
        <v>8635</v>
      </c>
      <c r="F1376" s="9" t="n">
        <v>591544800</v>
      </c>
      <c r="G1376" s="9" t="n">
        <v>5877871000</v>
      </c>
      <c r="H1376">
        <f>H1375*(E1376/E1375)</f>
        <v/>
      </c>
    </row>
    <row r="1377">
      <c r="A1377" s="8" t="n">
        <v>46010</v>
      </c>
      <c r="B1377" s="7" t="n">
        <v>8697.299999999999</v>
      </c>
      <c r="C1377" s="7" t="n">
        <v>8697.299999999999</v>
      </c>
      <c r="D1377" s="7" t="n">
        <v>8547.1</v>
      </c>
      <c r="E1377" s="7" t="n">
        <v>8621.4</v>
      </c>
      <c r="F1377" s="9" t="n">
        <v>4584316000</v>
      </c>
      <c r="G1377" s="9" t="n">
        <v>47423370000</v>
      </c>
      <c r="H1377">
        <f>H1376*(E1377/E1376)</f>
        <v/>
      </c>
    </row>
    <row r="1378">
      <c r="A1378" s="8" t="n">
        <v>46013</v>
      </c>
      <c r="B1378" s="7" t="n">
        <v>8621.4</v>
      </c>
      <c r="C1378" s="7" t="n">
        <v>8709.200000000001</v>
      </c>
      <c r="D1378" s="7" t="n">
        <v>8621.4</v>
      </c>
      <c r="E1378" s="7" t="n">
        <v>8699.9</v>
      </c>
      <c r="F1378" s="9" t="n">
        <v>498498100</v>
      </c>
      <c r="G1378" s="9" t="n">
        <v>4910506000</v>
      </c>
      <c r="H1378">
        <f>H1377*(E1378/E1377)</f>
        <v/>
      </c>
    </row>
    <row r="1379">
      <c r="A1379" s="8" t="n">
        <v>46015</v>
      </c>
      <c r="B1379" s="7" t="n">
        <v>8621.4</v>
      </c>
      <c r="C1379" s="7" t="n">
        <v>8805.5</v>
      </c>
      <c r="D1379" s="7" t="n">
        <v>8621.4</v>
      </c>
      <c r="E1379" s="7" t="n">
        <v>8762.700000000001</v>
      </c>
      <c r="F1379" s="9" t="n">
        <v>989088300</v>
      </c>
      <c r="G1379" s="9" t="n">
        <v>9772837000</v>
      </c>
      <c r="H1379">
        <f>H1378*(E1379/E1378)</f>
        <v/>
      </c>
    </row>
    <row r="1380">
      <c r="A1380" s="8" t="n">
        <v>46024</v>
      </c>
      <c r="B1380" s="7" t="n">
        <v>8762.700000000001</v>
      </c>
      <c r="C1380" s="7" t="n">
        <v>8784.200000000001</v>
      </c>
      <c r="D1380" s="7" t="n">
        <v>8679.799999999999</v>
      </c>
      <c r="E1380" s="7" t="n">
        <v>8727.799999999999</v>
      </c>
      <c r="F1380" s="9" t="n">
        <v>1297531000</v>
      </c>
      <c r="G1380" s="9" t="n">
        <v>12590370000</v>
      </c>
      <c r="H1380">
        <f>H1379*(E1380/E1379)</f>
        <v/>
      </c>
    </row>
    <row r="1381">
      <c r="A1381" s="8" t="n">
        <v>46027</v>
      </c>
      <c r="B1381" s="7" t="n">
        <v>8727.799999999999</v>
      </c>
      <c r="C1381" s="7" t="n">
        <v>8750.700000000001</v>
      </c>
      <c r="D1381" s="7" t="n">
        <v>8719.4</v>
      </c>
      <c r="E1381" s="7" t="n">
        <v>8728.6</v>
      </c>
      <c r="F1381" s="9" t="n">
        <v>436283400</v>
      </c>
      <c r="G1381" s="9" t="n">
        <v>4227200000</v>
      </c>
      <c r="H1381">
        <f>H1380*(E1381/E1380)</f>
        <v/>
      </c>
    </row>
    <row r="1382">
      <c r="A1382" s="8" t="n">
        <v>46031</v>
      </c>
      <c r="B1382" s="7" t="n">
        <v>8727.799999999999</v>
      </c>
      <c r="C1382" s="7" t="n">
        <v>8771.299999999999</v>
      </c>
      <c r="D1382" s="7" t="n">
        <v>8675.6</v>
      </c>
      <c r="E1382" s="7" t="n">
        <v>8717.799999999999</v>
      </c>
      <c r="F1382" s="9" t="n">
        <v>2773064000</v>
      </c>
      <c r="G1382" s="9" t="n">
        <v>28077910000</v>
      </c>
      <c r="H1382">
        <f>H1381*(E1382/E1381)</f>
        <v/>
      </c>
    </row>
    <row r="1383">
      <c r="A1383" s="8" t="n">
        <v>46034</v>
      </c>
      <c r="B1383" s="7" t="n">
        <v>8717.799999999999</v>
      </c>
      <c r="C1383" s="7" t="n">
        <v>8785.9</v>
      </c>
      <c r="D1383" s="7" t="n">
        <v>8717.799999999999</v>
      </c>
      <c r="E1383" s="7" t="n">
        <v>8759.4</v>
      </c>
      <c r="F1383" s="9" t="n">
        <v>555152400</v>
      </c>
      <c r="G1383" s="9" t="n">
        <v>5891826000</v>
      </c>
      <c r="H1383">
        <f>H1382*(E1383/E1382)</f>
        <v/>
      </c>
    </row>
    <row r="1384">
      <c r="A1384" s="8" t="n">
        <v>46038</v>
      </c>
      <c r="B1384" s="7" t="n">
        <v>8717.799999999999</v>
      </c>
      <c r="C1384" s="7" t="n">
        <v>8915.5</v>
      </c>
      <c r="D1384" s="7" t="n">
        <v>8717.799999999999</v>
      </c>
      <c r="E1384" s="7" t="n">
        <v>8903.9</v>
      </c>
      <c r="F1384" s="9" t="n">
        <v>3030958000</v>
      </c>
      <c r="G1384" s="9" t="n">
        <v>32373080000</v>
      </c>
      <c r="H1384">
        <f>H1383*(E1384/E1383)</f>
        <v/>
      </c>
    </row>
    <row r="1385">
      <c r="A1385" s="8" t="n">
        <v>46041</v>
      </c>
      <c r="B1385" s="7" t="n">
        <v>8903.9</v>
      </c>
      <c r="C1385" s="7" t="n">
        <v>8903.9</v>
      </c>
      <c r="D1385" s="7" t="n">
        <v>8855.5</v>
      </c>
      <c r="E1385" s="7" t="n">
        <v>8874.5</v>
      </c>
      <c r="F1385" s="9" t="n">
        <v>451116400</v>
      </c>
      <c r="G1385" s="9" t="n">
        <v>4476190000</v>
      </c>
      <c r="H1385">
        <f>H1384*(E1385/E1384)</f>
        <v/>
      </c>
    </row>
    <row r="1386">
      <c r="A1386" s="8" t="n">
        <v>46045</v>
      </c>
      <c r="B1386" s="7" t="n">
        <v>8903.9</v>
      </c>
      <c r="C1386" s="7" t="n">
        <v>8903.9</v>
      </c>
      <c r="D1386" s="7" t="n">
        <v>8765.9</v>
      </c>
      <c r="E1386" s="7" t="n">
        <v>8860.1</v>
      </c>
      <c r="F1386" s="9" t="n">
        <v>3007342000</v>
      </c>
      <c r="G1386" s="9" t="n">
        <v>30887240000</v>
      </c>
      <c r="H1386">
        <f>H1385*(E1386/E1385)</f>
        <v/>
      </c>
    </row>
    <row r="1387">
      <c r="A1387" s="8" t="n">
        <v>46049</v>
      </c>
      <c r="B1387" s="7" t="n">
        <v>8860.1</v>
      </c>
      <c r="C1387" s="7" t="n">
        <v>8969.200000000001</v>
      </c>
      <c r="D1387" s="7" t="n">
        <v>8860.1</v>
      </c>
      <c r="E1387" s="7" t="n">
        <v>8941.6</v>
      </c>
      <c r="F1387" s="9" t="n">
        <v>713833500</v>
      </c>
      <c r="G1387" s="9" t="n">
        <v>7717633000</v>
      </c>
      <c r="H1387">
        <f>H1386*(E1387/E1386)</f>
        <v/>
      </c>
    </row>
    <row r="1388">
      <c r="A1388" s="8" t="n">
        <v>46052</v>
      </c>
      <c r="B1388" s="7" t="n">
        <v>8860.1</v>
      </c>
      <c r="C1388" s="7" t="n">
        <v>8978.5</v>
      </c>
      <c r="D1388" s="7" t="n">
        <v>8858.9</v>
      </c>
      <c r="E1388" s="7" t="n">
        <v>8869.1</v>
      </c>
      <c r="F1388" s="9" t="n">
        <v>3104161000</v>
      </c>
      <c r="G1388" s="9" t="n">
        <v>32752580000</v>
      </c>
      <c r="H1388">
        <f>H1387*(E1388/E1387)</f>
        <v/>
      </c>
    </row>
    <row r="1389">
      <c r="A1389" s="8" t="n">
        <v>46055</v>
      </c>
      <c r="B1389" s="7" t="n">
        <v>8869.1</v>
      </c>
      <c r="C1389" s="7" t="n">
        <v>8869.1</v>
      </c>
      <c r="D1389" s="7" t="n">
        <v>8746.200000000001</v>
      </c>
      <c r="E1389" s="7" t="n">
        <v>8778.6</v>
      </c>
      <c r="F1389" s="9" t="n">
        <v>824924800</v>
      </c>
      <c r="G1389" s="9" t="n">
        <v>7731073000</v>
      </c>
      <c r="H1389">
        <f>H1388*(E1389/E1388)</f>
        <v/>
      </c>
    </row>
    <row r="1390">
      <c r="A1390" s="8" t="n">
        <v>46059</v>
      </c>
      <c r="B1390" s="7" t="n">
        <v>8869.1</v>
      </c>
      <c r="C1390" s="7" t="n">
        <v>8943.5</v>
      </c>
      <c r="D1390" s="7" t="n">
        <v>8683.700000000001</v>
      </c>
      <c r="E1390" s="7" t="n">
        <v>8708.799999999999</v>
      </c>
      <c r="F1390" s="9" t="n">
        <v>3768629000</v>
      </c>
      <c r="G1390" s="9" t="n">
        <v>38781090000</v>
      </c>
      <c r="H1390">
        <f>H1389*(E1390/E1389)</f>
        <v/>
      </c>
    </row>
    <row r="1391">
      <c r="A1391" s="8" t="n">
        <v>46062</v>
      </c>
      <c r="B1391" s="7" t="n">
        <v>8708.799999999999</v>
      </c>
      <c r="C1391" s="7" t="n">
        <v>8886.9</v>
      </c>
      <c r="D1391" s="7" t="n">
        <v>8708.799999999999</v>
      </c>
      <c r="E1391" s="7" t="n">
        <v>8870.1</v>
      </c>
      <c r="F1391" s="9" t="n">
        <v>647582800</v>
      </c>
      <c r="G1391" s="9" t="n">
        <v>6587302000</v>
      </c>
      <c r="H1391">
        <f>H1390*(E1391/E1390)</f>
        <v/>
      </c>
    </row>
    <row r="1392">
      <c r="A1392" s="8" t="n">
        <v>46062</v>
      </c>
      <c r="B1392" s="7" t="n">
        <v>8708.799999999999</v>
      </c>
      <c r="C1392" s="7" t="n">
        <v>8886.9</v>
      </c>
      <c r="D1392" s="7" t="n">
        <v>8708.799999999999</v>
      </c>
      <c r="E1392" s="7" t="n">
        <v>8870.1</v>
      </c>
      <c r="F1392" s="9" t="n">
        <v>647582800</v>
      </c>
      <c r="G1392" s="9" t="n">
        <v>6587302000</v>
      </c>
      <c r="H1392">
        <f>H1391*(E1392/E1391)</f>
        <v/>
      </c>
    </row>
    <row r="1393">
      <c r="A1393" s="8" t="n">
        <v>46066</v>
      </c>
      <c r="B1393" s="7" t="n">
        <v>8708.799999999999</v>
      </c>
      <c r="C1393" s="7" t="n">
        <v>9105</v>
      </c>
      <c r="D1393" s="7" t="n">
        <v>8708.799999999999</v>
      </c>
      <c r="E1393" s="7" t="n">
        <v>8917.6</v>
      </c>
      <c r="F1393" s="9" t="n">
        <v>3466917000</v>
      </c>
      <c r="G1393" s="9" t="n">
        <v>38561300000</v>
      </c>
      <c r="H1393">
        <f>H1392*(E1393/E1392)</f>
        <v/>
      </c>
    </row>
    <row r="1394">
      <c r="A1394" s="8" t="n">
        <v>46069</v>
      </c>
      <c r="B1394" s="7" t="n">
        <v>8917.6</v>
      </c>
      <c r="C1394" s="7" t="n">
        <v>8953</v>
      </c>
      <c r="D1394" s="7" t="n">
        <v>8915</v>
      </c>
      <c r="E1394" s="7" t="n">
        <v>8937.1</v>
      </c>
      <c r="F1394" s="9" t="n">
        <v>595434000</v>
      </c>
      <c r="G1394" s="9" t="n">
        <v>6636539000</v>
      </c>
      <c r="H1394">
        <f>H1393*(E1394/E1393)</f>
        <v/>
      </c>
    </row>
    <row r="1395">
      <c r="A1395" s="8" t="n">
        <v>46073</v>
      </c>
      <c r="B1395" s="7" t="n">
        <v>8917.6</v>
      </c>
      <c r="C1395" s="7" t="n">
        <v>9118.299999999999</v>
      </c>
      <c r="D1395" s="7" t="n">
        <v>8915</v>
      </c>
      <c r="E1395" s="7" t="n">
        <v>9081.4</v>
      </c>
      <c r="F1395" s="9" t="n">
        <v>3479729000</v>
      </c>
      <c r="G1395" s="9" t="n">
        <v>37205810000</v>
      </c>
      <c r="H1395">
        <f>H1394*(E1395/E1394)</f>
        <v/>
      </c>
    </row>
    <row r="1396">
      <c r="A1396" s="8" t="n">
        <v>46076</v>
      </c>
      <c r="B1396" s="7" t="n">
        <v>9081.4</v>
      </c>
      <c r="C1396" s="7" t="n">
        <v>9112.9</v>
      </c>
      <c r="D1396" s="7" t="n">
        <v>9010.6</v>
      </c>
      <c r="E1396" s="7" t="n">
        <v>9026</v>
      </c>
      <c r="F1396" s="9" t="n">
        <v>684961200</v>
      </c>
      <c r="G1396" s="9" t="n">
        <v>7254085000</v>
      </c>
      <c r="H1396">
        <f>H1395*(E1396/E1395)</f>
        <v/>
      </c>
    </row>
    <row r="1397">
      <c r="A1397" s="8" t="n">
        <v>46080</v>
      </c>
      <c r="B1397" s="7" t="n">
        <v>9081.4</v>
      </c>
      <c r="C1397" s="7" t="n">
        <v>9202.9</v>
      </c>
      <c r="D1397" s="7" t="n">
        <v>8987.200000000001</v>
      </c>
      <c r="E1397" s="7" t="n">
        <v>9198.6</v>
      </c>
      <c r="F1397" s="9" t="n">
        <v>4510928000</v>
      </c>
      <c r="G1397" s="9" t="n">
        <v>46692250000</v>
      </c>
      <c r="H1397">
        <f>H1396*(E1397/E1396)</f>
        <v/>
      </c>
    </row>
    <row r="1398">
      <c r="A1398" s="8" t="n">
        <v>46083</v>
      </c>
      <c r="B1398" s="7" t="n">
        <v>9198.6</v>
      </c>
      <c r="C1398" s="7" t="n">
        <v>9200.9</v>
      </c>
      <c r="D1398" s="7" t="n">
        <v>9119.700000000001</v>
      </c>
      <c r="E1398" s="7" t="n">
        <v>9200.9</v>
      </c>
      <c r="F1398" s="9" t="n">
        <v>769279900</v>
      </c>
      <c r="G1398" s="9" t="n">
        <v>8202041000</v>
      </c>
      <c r="H1398">
        <f>H1397*(E1398/E1397)</f>
        <v/>
      </c>
    </row>
    <row r="1399">
      <c r="A1399" s="8" t="n">
        <v>46087</v>
      </c>
      <c r="B1399" s="7" t="n">
        <v>9198.6</v>
      </c>
      <c r="C1399" s="7" t="n">
        <v>9200.9</v>
      </c>
      <c r="D1399" s="7" t="n">
        <v>8811.6</v>
      </c>
      <c r="E1399" s="7" t="n">
        <v>8851</v>
      </c>
      <c r="F1399" s="9" t="n">
        <v>3986301000</v>
      </c>
      <c r="G1399" s="9" t="n">
        <v>43230790000</v>
      </c>
      <c r="H1399">
        <f>H1398*(E1399/E1398)</f>
        <v/>
      </c>
    </row>
    <row r="1400">
      <c r="A1400" s="8" t="n">
        <v>46090</v>
      </c>
      <c r="B1400" s="7" t="n">
        <v>8851</v>
      </c>
      <c r="C1400" s="7" t="n">
        <v>8851</v>
      </c>
      <c r="D1400" s="7" t="n">
        <v>8457.200000000001</v>
      </c>
      <c r="E1400" s="7" t="n">
        <v>8599</v>
      </c>
      <c r="F1400" s="9" t="n">
        <v>1033190000</v>
      </c>
      <c r="G1400" s="9" t="n">
        <v>10854770000</v>
      </c>
      <c r="H1400">
        <f>H1399*(E1400/E1399)</f>
        <v/>
      </c>
    </row>
    <row r="1401">
      <c r="A1401" s="8" t="n">
        <v>46094</v>
      </c>
      <c r="B1401" s="7" t="n">
        <v>8851</v>
      </c>
      <c r="C1401" s="7" t="n">
        <v>8851</v>
      </c>
      <c r="D1401" s="7" t="n">
        <v>8457.200000000001</v>
      </c>
      <c r="E1401" s="7" t="n">
        <v>8617.1</v>
      </c>
      <c r="F1401" s="9" t="n">
        <v>4312959000</v>
      </c>
      <c r="G1401" s="9" t="n">
        <v>44076980000</v>
      </c>
      <c r="H1401">
        <f>H1400*(E1401/E1400)</f>
        <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2025-05-12T00:45:27Z</dcterms:created>
  <dcterms:modified xsi:type="dcterms:W3CDTF">2026-03-19T13:15:56Z</dcterms:modified>
  <cp:lastModifiedBy>Harry Heaney</cp:lastModifiedBy>
</cp:coreProperties>
</file>