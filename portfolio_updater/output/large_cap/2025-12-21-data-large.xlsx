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4A0C5B63-ECAF-472D-8646-867A562D8E8A}"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9" i="5" l="1"/>
  <c r="E1379" i="5" s="1"/>
  <c r="H1377" i="8"/>
  <c r="D1378" i="5"/>
  <c r="E1378" i="5" s="1"/>
  <c r="H9" i="6"/>
  <c r="J9" i="6" s="1"/>
  <c r="I9" i="6" s="1"/>
  <c r="K2" i="3"/>
  <c r="K4" i="3"/>
  <c r="D1377" i="5"/>
  <c r="E1377" i="5" s="1"/>
  <c r="H11" i="6"/>
  <c r="J11" i="6" s="1"/>
  <c r="I11" i="6" s="1"/>
  <c r="D1376" i="5"/>
  <c r="E1376" i="5" s="1"/>
  <c r="H10" i="6"/>
  <c r="J10" i="6" s="1"/>
  <c r="I10" i="6" s="1"/>
  <c r="K3" i="3"/>
  <c r="D1375" i="5"/>
  <c r="E1375" i="5" s="1"/>
  <c r="D1374" i="5"/>
  <c r="E1374" i="5" s="1"/>
  <c r="D1373" i="5"/>
  <c r="E1373" i="5" s="1"/>
  <c r="D1372" i="5"/>
  <c r="E1372" i="5" s="1"/>
  <c r="D1371" i="5"/>
  <c r="E1371" i="5" s="1"/>
  <c r="D1370" i="5"/>
  <c r="E1370" i="5" s="1"/>
  <c r="D1369" i="5"/>
  <c r="E1369" i="5" s="1"/>
  <c r="H13" i="6"/>
  <c r="J13" i="6" s="1"/>
  <c r="I13" i="6" s="1"/>
  <c r="H12" i="6"/>
  <c r="J12" i="6" s="1"/>
  <c r="I12" i="6" s="1"/>
  <c r="K6" i="3"/>
  <c r="K5" i="3"/>
  <c r="D1368" i="5"/>
  <c r="E1368" i="5" s="1"/>
  <c r="D1367" i="5"/>
  <c r="E1367" i="5" s="1"/>
  <c r="H16" i="6"/>
  <c r="J16" i="6" s="1"/>
  <c r="I16" i="6" s="1"/>
  <c r="H15" i="6"/>
  <c r="J15" i="6" s="1"/>
  <c r="I15" i="6" s="1"/>
  <c r="H14" i="6"/>
  <c r="J14" i="6" s="1"/>
  <c r="I14" i="6" s="1"/>
  <c r="K9" i="3"/>
  <c r="K8" i="3"/>
  <c r="K7"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17" i="6"/>
  <c r="J17" i="6" s="1"/>
  <c r="I17" i="6" s="1"/>
  <c r="F2" i="2"/>
  <c r="F3" i="2"/>
  <c r="F4" i="2"/>
  <c r="F5" i="2"/>
  <c r="F6" i="2"/>
  <c r="F7" i="2"/>
  <c r="F8" i="2"/>
  <c r="K10" i="3"/>
  <c r="K11" i="3"/>
  <c r="K1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3"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D1338" i="5"/>
  <c r="E1338" i="5" s="1"/>
  <c r="K18" i="3"/>
  <c r="H19" i="6"/>
  <c r="D1337" i="5"/>
  <c r="E1337" i="5" s="1"/>
  <c r="K1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6" i="3"/>
  <c r="K17" i="3"/>
  <c r="K19" i="3"/>
  <c r="K20" i="3"/>
  <c r="K21" i="3"/>
  <c r="K22" i="3"/>
  <c r="K23" i="3"/>
  <c r="K24" i="3"/>
  <c r="K25" i="3"/>
  <c r="K26" i="3"/>
  <c r="K27" i="3"/>
  <c r="K28" i="3"/>
  <c r="K29" i="3"/>
  <c r="K30" i="3"/>
  <c r="K31" i="3"/>
  <c r="K32" i="3"/>
  <c r="K33" i="3"/>
  <c r="K34" i="3"/>
  <c r="K35" i="3"/>
  <c r="K3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<sst xmlns="http://schemas.openxmlformats.org/spreadsheetml/2006/main" count="1793" uniqueCount="819">
  <si>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</si>
  <si>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</si>
  <si>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</si>
  <si>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</si>
  <si>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</si>
  <si>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</si>
  <si>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</si>
  <si>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</si>
  <si>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</si>
  <si>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</si>
  <si>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</si>
  <si>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</si>
  <si>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</si>
  <si>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</si>
  <si>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</si>
  <si>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</si>
  <si>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</si>
  <si>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</si>
  <si>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</si>
  <si>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</si>
  <si>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</si>
  <si>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</si>
  <si>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</si>
  <si>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</si>
  <si>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</si>
  <si>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</si>
  <si>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</si>
  <si>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</si>
  <si>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</si>
  <si>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</si>
  <si>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</si>
  <si>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</si>
  <si>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</si>
  <si>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</si>
  <si>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</si>
  <si>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</si>
  <si>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</si>
  <si>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</si>
  <si>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</si>
  <si>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</si>
  <si>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</si>
  <si>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</si>
  <si>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</si>
  <si>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</si>
  <si>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</si>
  <si>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</si>
  <si>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</si>
  <si>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</si>
  <si>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</si>
  <si>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</si>
  <si>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</si>
  <si>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</si>
  <si>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</si>
  <si>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</si>
  <si>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</si>
  <si>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</si>
  <si>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</si>
  <si>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</si>
  <si>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</si>
  <si>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</si>
  <si>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</si>
  <si>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</si>
  <si>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</si>
  <si>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</si>
  <si>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</si>
  <si>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</si>
  <si>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</si>
  <si>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</si>
  <si>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</si>
  <si>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</si>
  <si>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</si>
  <si>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</si>
  <si>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</si>
  <si>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</si>
  <si>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</si>
  <si>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</si>
  <si>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</si>
  <si>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</si>
  <si>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</si>
  <si>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</si>
  <si>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</si>
  <si>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</si>
  <si>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</si>
  <si>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</si>
  <si>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</si>
  <si>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</si>
  <si>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</si>
  <si>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</si>
  <si>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</si>
  <si>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</si>
  <si>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</si>
  <si>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</si>
  <si>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</si>
  <si>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</si>
  <si>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</si>
  <si>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</si>
  <si>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</si>
  <si>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</si>
  <si>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</si>
  <si>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</si>
  <si>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</si>
  <si>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</si>
  <si>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</si>
  <si>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</si>
  <si>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</si>
  <si>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</si>
  <si>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</si>
  <si>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</si>
  <si>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</si>
  <si>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</si>
  <si>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</si>
  <si>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</si>
  <si>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</si>
  <si>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</si>
  <si>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</si>
  <si>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</si>
  <si>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</si>
  <si>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</si>
  <si>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</si>
  <si>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</si>
  <si>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</si>
  <si>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</si>
  <si>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</si>
  <si>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</si>
  <si>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</si>
  <si>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</si>
  <si>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</si>
  <si>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</si>
  <si>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</si>
  <si>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</si>
  <si>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</si>
  <si>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</si>
  <si>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</si>
  <si>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</si>
  <si>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</si>
  <si>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</si>
  <si>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</si>
  <si>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</si>
  <si>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</si>
  <si>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</si>
  <si>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</si>
  <si>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</si>
  <si>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</si>
  <si>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</si>
  <si>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</si>
  <si>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</si>
  <si>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</si>
  <si>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</si>
  <si>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</si>
  <si>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</si>
  <si>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</si>
  <si>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</si>
  <si>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</si>
  <si>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</si>
  <si>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</si>
  <si>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</si>
  <si>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</si>
  <si>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</si>
  <si>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</si>
  <si>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</si>
  <si>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</si>
  <si>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</si>
  <si>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</si>
  <si>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</si>
  <si>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</si>
  <si>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</si>
  <si>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</si>
  <si>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</si>
  <si>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</si>
  <si>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</si>
  <si>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</si>
  <si>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</si>
  <si>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</si>
  <si>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</si>
  <si>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</si>
  <si>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</si>
  <si>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</si>
  <si>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</si>
  <si>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</si>
  <si>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</si>
  <si>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</si>
  <si>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</si>
  <si>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</si>
  <si>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</si>
  <si>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</si>
  <si>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</si>
  <si>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</si>
  <si>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</si>
  <si>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</si>
  <si>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</si>
  <si>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</si>
  <si>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</si>
  <si>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</si>
  <si>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</si>
  <si>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</si>
  <si>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</si>
  <si>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</si>
  <si>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</si>
  <si>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</si>
  <si>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</si>
  <si>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</si>
  <si>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</si>
  <si>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</si>
  <si>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</si>
  <si>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</si>
  <si>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</si>
  <si>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</si>
  <si>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</si>
  <si>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</si>
  <si>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</si>
  <si>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</si>
  <si>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</si>
  <si>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</si>
  <si>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</si>
  <si>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</si>
  <si>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</si>
  <si>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</si>
  <si>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</si>
  <si>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</si>
  <si>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</si>
  <si>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</si>
  <si>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</si>
  <si>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</si>
  <si>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</si>
  <si>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</si>
  <si>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</si>
  <si>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</si>
  <si>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</si>
  <si>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</si>
  <si>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</si>
  <si>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</si>
  <si>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</si>
  <si>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</si>
  <si>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</si>
  <si>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</si>
  <si>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</si>
  <si>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</si>
  <si>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</si>
  <si>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</si>
  <si>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</si>
  <si>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</si>
  <si>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</si>
  <si>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</si>
  <si>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</si>
  <si>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</si>
  <si>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</si>
  <si>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</si>
  <si>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</si>
  <si>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</si>
  <si>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</si>
  <si>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</si>
  <si>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</si>
  <si>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</si>
  <si>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</si>
  <si>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</si>
  <si>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</si>
  <si>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</si>
  <si>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</si>
  <si>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</si>
  <si>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</si>
  <si>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</si>
  <si>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</si>
  <si>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</si>
  <si>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</si>
  <si>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</si>
  <si>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</si>
  <si>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</si>
  <si>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</si>
  <si>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</si>
  <si>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</si>
  <si>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</si>
  <si>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</si>
  <si>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</si>
  <si>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</si>
  <si>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</si>
  <si>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</si>
  <si>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</si>
  <si>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</si>
  <si>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</si>
  <si>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</si>
  <si>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</si>
  <si>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</si>
  <si>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</si>
  <si>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</si>
  <si>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</si>
  <si>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</si>
  <si>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</si>
  <si>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</si>
  <si>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</si>
  <si>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</si>
  <si>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</si>
  <si>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</si>
  <si>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</si>
  <si>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</si>
  <si>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</si>
  <si>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</si>
  <si>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</si>
  <si>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</si>
  <si>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</si>
  <si>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</si>
  <si>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</si>
  <si>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</si>
  <si>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</si>
  <si>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</si>
  <si>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</si>
  <si>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</si>
  <si>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</si>
  <si>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</si>
  <si>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</si>
  <si>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</si>
  <si>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</si>
  <si>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</si>
  <si>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</si>
  <si>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</si>
  <si>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</si>
  <si>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</si>
  <si>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</si>
  <si>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</si>
  <si>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</si>
  <si>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</si>
  <si>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</si>
  <si>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</si>
  <si>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</si>
  <si>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</si>
  <si>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</si>
  <si>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</si>
  <si>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</si>
  <si>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</si>
  <si>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</si>
  <si>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</si>
  <si>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</si>
  <si>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</si>
  <si>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</si>
  <si>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</si>
  <si>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</si>
  <si>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</si>
  <si>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</si>
  <si>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</si>
  <si>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</si>
  <si>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</si>
  <si>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</si>
  <si>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</si>
  <si>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</si>
  <si>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</si>
  <si>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</si>
  <si>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</si>
  <si>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</si>
  <si>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</si>
  <si>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</si>
  <si>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</si>
  <si>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</si>
  <si>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</si>
  <si>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</si>
  <si>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</si>
  <si>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</si>
  <si>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</si>
  <si>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</si>
  <si>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</si>
  <si>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</si>
  <si>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</si>
  <si>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</si>
  <si>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</si>
  <si>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</si>
  <si>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</si>
  <si>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</si>
  <si>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</si>
  <si>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</si>
  <si>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</si>
  <si>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</si>
  <si>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</si>
  <si>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</si>
  <si>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</si>
  <si>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</si>
  <si>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</si>
  <si>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</si>
  <si>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</si>
  <si>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</si>
  <si>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</si>
  <si>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</si>
  <si>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</si>
  <si>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</si>
  <si>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</si>
  <si>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</si>
  <si>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</si>
  <si>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</si>
  <si>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</si>
  <si>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</si>
  <si>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</si>
  <si>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</si>
  <si>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</si>
  <si>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</si>
  <si>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</si>
  <si>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</si>
  <si>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</si>
  <si>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</si>
  <si>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</si>
  <si>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</si>
  <si>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</si>
  <si>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</si>
  <si>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</si>
  <si>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</si>
  <si>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</si>
  <si>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</si>
  <si>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</si>
  <si>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</si>
  <si>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</si>
  <si>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</si>
  <si>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</si>
  <si>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</si>
  <si>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</si>
  <si>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</si>
  <si>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</si>
  <si>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</si>
  <si>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</si>
  <si>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</si>
  <si>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</si>
  <si>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</si>
  <si>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</si>
  <si>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</si>
  <si>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</si>
  <si>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</si>
  <si>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</si>
  <si>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</si>
  <si>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</si>
  <si>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</si>
  <si>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</si>
  <si>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</si>
  <si>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</si>
  <si>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</si>
  <si>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</si>
  <si>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</si>
  <si>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</si>
  <si>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</si>
  <si>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</si>
  <si>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</si>
  <si>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</si>
  <si>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</si>
  <si>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</si>
  <si>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</si>
  <si>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</si>
  <si>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</si>
  <si>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</si>
  <si>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</si>
  <si>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</si>
  <si>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</si>
  <si>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</si>
  <si>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</si>
  <si>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</si>
  <si>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</si>
  <si>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</si>
  <si>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</si>
  <si>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</si>
  <si>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</si>
  <si>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</si>
  <si>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</si>
  <si>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</si>
  <si>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</si>
  <si>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</si>
  <si>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</si>
  <si>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</si>
  <si>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</si>
  <si>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</si>
  <si>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</si>
  <si>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</si>
  <si>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</si>
  <si>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</si>
  <si>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</si>
  <si>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</si>
  <si>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</si>
  <si>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</si>
  <si>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</si>
  <si>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</si>
  <si>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</si>
  <si>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</si>
  <si>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</si>
  <si>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</si>
  <si>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</si>
  <si>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</si>
  <si>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</si>
  <si>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</si>
  <si>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</si>
  <si>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</si>
  <si>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</si>
  <si>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</si>
  <si>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</si>
  <si>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</si>
  <si>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</si>
  <si>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</si>
  <si>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</si>
  <si>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</si>
  <si>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</si>
  <si>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</si>
  <si>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</si>
  <si>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</si>
  <si>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</si>
  <si>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</si>
  <si>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</si>
  <si>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</si>
  <si>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</si>
  <si>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</si>
  <si>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</si>
  <si>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</si>
  <si>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</si>
  <si>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</si>
  <si>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</si>
  <si>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</si>
  <si>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</si>
  <si>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</si>
  <si>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</si>
  <si>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</si>
  <si>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</si>
  <si>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</si>
  <si>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</si>
  <si>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</si>
  <si>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</si>
  <si>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</si>
  <si>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</si>
  <si>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</si>
  <si>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</si>
  <si>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</si>
  <si>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</si>
  <si>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</si>
  <si>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</si>
  <si>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</si>
  <si>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</si>
  <si>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</si>
  <si>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</si>
  <si>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</si>
  <si>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</si>
  <si>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</si>
  <si>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</si>
  <si>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</si>
  <si>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</si>
  <si>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</si>
  <si>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</si>
  <si>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</si>
  <si>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</si>
  <si>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</si>
  <si>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</si>
  <si>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</si>
  <si>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</si>
  <si>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</si>
  <si>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</si>
  <si>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</si>
  <si>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</si>
  <si>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</si>
  <si>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</si>
  <si>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</si>
  <si>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</si>
  <si>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</si>
  <si>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</si>
  <si>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</si>
  <si>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</si>
  <si>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</si>
  <si>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</si>
  <si>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</si>
  <si>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</si>
  <si>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</si>
  <si>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</si>
  <si>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</si>
  <si>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</si>
  <si>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</si>
  <si>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</si>
  <si>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</si>
  <si>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</si>
  <si>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</si>
  <si>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</si>
  <si>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</si>
  <si>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</si>
  <si>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</si>
  <si>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</si>
  <si>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</si>
  <si>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</si>
  <si>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</si>
  <si>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</si>
  <si>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</si>
  <si>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</si>
  <si>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</si>
  <si>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</si>
  <si>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</si>
  <si>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</si>
  <si>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</si>
  <si>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</si>
  <si>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</si>
  <si>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</si>
  <si>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</si>
  <si>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</si>
  <si>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</si>
  <si>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</si>
  <si>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</si>
  <si>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</si>
  <si>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</si>
  <si>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</si>
  <si>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</si>
  <si>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</si>
  <si>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</si>
  <si>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</si>
  <si>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</si>
  <si>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</si>
  <si>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</si>
  <si>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</si>
  <si>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EVT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</si>
  <si>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</si>
  <si>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</si>
  <si>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</si>
  <si>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</si>
  <si>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</si>
  <si>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</si>
  <si>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</si>
  <si>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</si>
  <si>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</si>
  <si>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</si>
  <si>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</si>
  <si>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</si>
  <si>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</si>
  <si>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</si>
  <si>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</si>
  <si>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</si>
  <si>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</si>
  <si>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</si>
  <si>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</si>
  <si>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</si>
  <si>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</si>
  <si>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</si>
  <si>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</si>
  <si>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</si>
  <si>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</si>
  <si>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</si>
  <si>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</si>
  <si>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</si>
  <si>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</si>
  <si>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</si>
  <si>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</si>
  <si>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</si>
  <si>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</si>
  <si>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</si>
  <si>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</si>
  <si>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</si>
  <si>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</si>
  <si>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</si>
  <si>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</si>
  <si>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</si>
  <si>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</si>
  <si>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</si>
  <si>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</si>
  <si>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</si>
  <si>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</si>
  <si>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</si>
  <si>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</si>
  <si>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</si>
  <si>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</si>
  <si>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</si>
  <si>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</si>
  <si>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</si>
  <si>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</si>
  <si>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</si>
  <si>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</si>
  <si>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</si>
  <si>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</si>
  <si>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</si>
  <si>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</si>
  <si>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</si>
  <si>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</si>
  <si>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</si>
  <si>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</si>
  <si>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</si>
  <si>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</si>
  <si>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</si>
  <si>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</si>
  <si>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</si>
  <si>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</si>
  <si>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</si>
  <si>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</si>
  <si>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</si>
  <si>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</si>
  <si>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</si>
  <si>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</si>
  <si>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</si>
  <si>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</si>
  <si>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</si>
  <si>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</si>
  <si>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</si>
  <si>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</si>
  <si>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</si>
  <si>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</si>
  <si>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</si>
  <si>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</si>
  <si>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</si>
  <si>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</si>
  <si>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</si>
  <si>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</si>
  <si>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</si>
  <si>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</si>
  <si>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</si>
  <si>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</si>
  <si>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</si>
  <si>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</si>
  <si>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</si>
  <si>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</si>
  <si>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</si>
  <si>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</si>
  <si>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</si>
  <si>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</si>
  <si>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</si>
  <si>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</si>
  <si>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</si>
  <si>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</si>
  <si>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</si>
  <si>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</si>
  <si>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</si>
  <si>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</si>
  <si>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</si>
  <si>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</si>
  <si>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</si>
  <si>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</si>
  <si>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</si>
  <si>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</si>
  <si>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</si>
  <si>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</si>
  <si>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</si>
  <si>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</si>
  <si>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</si>
  <si>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</si>
  <si>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</si>
  <si>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</si>
  <si>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</si>
  <si>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</si>
  <si>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</si>
  <si>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</si>
  <si>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</si>
  <si>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</si>
  <si>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</si>
  <si>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</si>
  <si>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</si>
  <si>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</si>
  <si>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</si>
  <si>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</si>
  <si>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</si>
  <si>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</si>
  <si>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</si>
  <si>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</si>
  <si>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</si>
  <si>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</si>
  <si>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</si>
  <si>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</si>
  <si>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</si>
  <si>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</si>
  <si>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</si>
  <si>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</si>
  <si>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</si>
  <si>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</si>
  <si>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</si>
  <si>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</si>
  <si>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</si>
  <si>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</si>
  <si>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</si>
  <si>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</si>
  <si>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</si>
  <si>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</si>
  <si>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</si>
  <si>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</si>
  <si>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</si>
  <si>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</si>
  <si>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</si>
  <si>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</si>
  <si>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</si>
  <si>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</si>
  <si>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</si>
  <si>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</si>
  <si>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</si>
  <si>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</si>
  <si>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</si>
  <si>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</si>
  <si>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</si>
  <si>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</si>
  <si>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</si>
  <si>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</si>
  <si>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</si>
  <si>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</si>
  <si>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</si>
  <si>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</si>
  <si>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</si>
  <si>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</si>
  <si>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</si>
  <si>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</si>
  <si>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</si>
  <si>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</si>
  <si>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</si>
  <si>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</si>
  <si>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</si>
  <si>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</si>
  <si>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</si>
  <si>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</si>
  <si>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</si>
  <si>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</si>
  <si>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</si>
  <si>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</si>
  <si>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</si>
  <si>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</si>
  <si>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</si>
  <si>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</si>
  <si>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</si>
  <si>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</si>
  <si>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</si>
  <si>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9.0x</t>
  </si>
  <si>
    <t>$2.9B</t>
  </si>
  <si>
    <t>$7.0B</t>
  </si>
  <si>
    <t>47.9x</t>
  </si>
  <si>
    <t>$2.2B</t>
  </si>
  <si>
    <t>1.8x</t>
  </si>
  <si>
    <t>$5.3B</t>
  </si>
  <si>
    <t>$13.5B</t>
  </si>
  <si>
    <t>22.0x</t>
  </si>
  <si>
    <t>31.8x</t>
  </si>
  <si>
    <t>14.4x</t>
  </si>
  <si>
    <t>$4.9B</t>
  </si>
  <si>
    <t>37.7x</t>
  </si>
  <si>
    <t>24.2x</t>
  </si>
  <si>
    <t>18.8x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</si>
</sst>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712</v>
      </c>
    </row>
    <row r="2" spans="1:2" x14ac:dyDescent="0.25">
      <c r="A2" t="s">
        <v>698</v>
      </c>
      <c r="B2" s="15" t="s">
        <v>699</v>
      </c>
    </row>
    <row r="3" spans="1:2" x14ac:dyDescent="0.25">
      <c r="A3" t="s">
        <v>700</v>
      </c>
      <c r="B3" s="15">
        <v>15</v>
      </c>
    </row>
    <row r="4" spans="1:2" x14ac:dyDescent="0.25">
      <c r="A4" t="s">
        <v>701</v>
      </c>
      <c r="B4" s="15" t="s">
        <v>702</v>
      </c>
    </row>
    <row r="5" spans="1:2" x14ac:dyDescent="0.25">
      <c r="A5" t="s">
        <v>703</v>
      </c>
      <c r="B5" s="15" t="s">
        <v>704</v>
      </c>
    </row>
    <row r="6" spans="1:2" x14ac:dyDescent="0.25">
      <c r="A6" t="s">
        <v>705</v>
      </c>
      <c r="B6" s="15" t="s">
        <v>706</v>
      </c>
    </row>
    <row r="7" spans="1:2" x14ac:dyDescent="0.25">
      <c r="A7" t="s">
        <v>707</v>
      </c>
      <c r="B7" s="15">
        <v>2.46</v>
      </c>
    </row>
    <row r="8" spans="1:2" x14ac:dyDescent="0.25">
      <c r="A8" t="s">
        <v>708</v>
      </c>
      <c r="B8" s="15" t="s">
        <v>709</v>
      </c>
    </row>
    <row r="9" spans="1:2" x14ac:dyDescent="0.25">
      <c r="A9" t="s">
        <v>710</v>
      </c>
      <c r="B9" s="15" t="s">
        <v>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tabSelected="1" workbookViewId="0">
      <selection activeCell="F26" sqref="F2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694</v>
      </c>
      <c r="E1" s="1" t="s">
        <v>3</v>
      </c>
      <c r="F1" s="1" t="s">
        <v>752</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596</v>
      </c>
      <c r="C2" t="s">
        <v>39</v>
      </c>
      <c r="D2">
        <v>3.06</v>
      </c>
      <c r="E2" s="4">
        <v>3.35</v>
      </c>
      <c r="F2">
        <f t="shared" ref="F2:F8" si="0">(E2/D2-1)*100</f>
        <v>9.4771241830065467</v>
      </c>
      <c r="G2">
        <v>3.0510000000000002</v>
      </c>
      <c r="H2" s="4">
        <v>3.59</v>
      </c>
      <c r="I2" s="4">
        <v>2.67</v>
      </c>
      <c r="J2" t="s">
        <v>800</v>
      </c>
      <c r="K2" s="3">
        <v>0</v>
      </c>
      <c r="L2" t="s">
        <v>771</v>
      </c>
      <c r="M2" t="s">
        <v>715</v>
      </c>
      <c r="N2" s="3">
        <v>4.9000000000000002E-2</v>
      </c>
      <c r="O2" t="s">
        <v>804</v>
      </c>
      <c r="Q2" t="s">
        <v>716</v>
      </c>
      <c r="R2" s="3">
        <v>0.54600000000000004</v>
      </c>
      <c r="S2" s="3">
        <v>2E-3</v>
      </c>
      <c r="T2" t="s">
        <v>717</v>
      </c>
      <c r="U2" s="3">
        <v>0.56999999999999995</v>
      </c>
      <c r="V2" s="3">
        <v>4.7E-2</v>
      </c>
      <c r="W2" s="3">
        <v>-0.29499999999999998</v>
      </c>
      <c r="X2" s="3">
        <v>5.3999999999999999E-2</v>
      </c>
    </row>
    <row r="3" spans="1:24" x14ac:dyDescent="0.25">
      <c r="A3" t="s">
        <v>218</v>
      </c>
      <c r="B3" t="s">
        <v>597</v>
      </c>
      <c r="C3" t="s">
        <v>27</v>
      </c>
      <c r="D3">
        <v>7.17</v>
      </c>
      <c r="E3" s="4">
        <v>9.56</v>
      </c>
      <c r="F3">
        <f t="shared" si="0"/>
        <v>33.33333333333335</v>
      </c>
      <c r="G3">
        <v>8.64</v>
      </c>
      <c r="H3" s="4">
        <v>9.6</v>
      </c>
      <c r="I3" s="4">
        <v>5.12</v>
      </c>
      <c r="J3" t="s">
        <v>604</v>
      </c>
      <c r="K3" s="3">
        <v>1</v>
      </c>
      <c r="L3" t="s">
        <v>219</v>
      </c>
      <c r="M3" t="s">
        <v>728</v>
      </c>
      <c r="N3" s="3">
        <v>3.1E-2</v>
      </c>
      <c r="O3" t="s">
        <v>668</v>
      </c>
      <c r="P3" t="s">
        <v>813</v>
      </c>
      <c r="Q3" t="s">
        <v>729</v>
      </c>
      <c r="R3" s="3">
        <v>2.1389999999999998</v>
      </c>
      <c r="T3" t="s">
        <v>730</v>
      </c>
      <c r="U3" s="3">
        <v>7.5999999999999998E-2</v>
      </c>
      <c r="V3" s="3">
        <v>0.218</v>
      </c>
      <c r="W3" s="3">
        <v>-5.8999999999999997E-2</v>
      </c>
      <c r="X3" s="3">
        <v>0.05</v>
      </c>
    </row>
    <row r="4" spans="1:24" x14ac:dyDescent="0.25">
      <c r="A4" t="s">
        <v>696</v>
      </c>
      <c r="B4" t="s">
        <v>598</v>
      </c>
      <c r="C4" t="s">
        <v>39</v>
      </c>
      <c r="D4">
        <v>3.64</v>
      </c>
      <c r="E4" s="4">
        <v>4.04</v>
      </c>
      <c r="F4">
        <f t="shared" si="0"/>
        <v>10.989010989010994</v>
      </c>
      <c r="G4">
        <v>3.6539999999999999</v>
      </c>
      <c r="H4" s="4">
        <v>4.0599999999999996</v>
      </c>
      <c r="I4" s="4">
        <v>3.16</v>
      </c>
      <c r="J4" t="s">
        <v>805</v>
      </c>
      <c r="K4" s="3">
        <v>0</v>
      </c>
      <c r="L4" t="s">
        <v>221</v>
      </c>
      <c r="M4" t="s">
        <v>718</v>
      </c>
      <c r="N4" s="3">
        <v>4.5999999999999999E-2</v>
      </c>
      <c r="O4" t="s">
        <v>814</v>
      </c>
      <c r="Q4" t="s">
        <v>719</v>
      </c>
      <c r="R4" s="3">
        <v>0.28499999999999998</v>
      </c>
      <c r="S4" s="3">
        <v>3.0000000000000001E-3</v>
      </c>
      <c r="T4" t="s">
        <v>720</v>
      </c>
      <c r="U4" s="3">
        <v>1.306</v>
      </c>
      <c r="V4" s="3">
        <v>9.8000000000000004E-2</v>
      </c>
      <c r="W4" s="3">
        <v>-0.21099999999999999</v>
      </c>
      <c r="X4" s="3">
        <v>9.6000000000000002E-2</v>
      </c>
    </row>
    <row r="5" spans="1:24" x14ac:dyDescent="0.25">
      <c r="A5" t="s">
        <v>222</v>
      </c>
      <c r="B5" t="s">
        <v>599</v>
      </c>
      <c r="C5" t="s">
        <v>23</v>
      </c>
      <c r="D5">
        <v>5.19</v>
      </c>
      <c r="E5" s="4">
        <v>4.82</v>
      </c>
      <c r="F5">
        <f t="shared" si="0"/>
        <v>-7.1290944123314048</v>
      </c>
      <c r="G5">
        <v>4.4279999999999999</v>
      </c>
      <c r="H5" s="4">
        <v>5.33</v>
      </c>
      <c r="I5" s="4">
        <v>4.25</v>
      </c>
      <c r="J5" t="s">
        <v>806</v>
      </c>
      <c r="K5" s="3">
        <v>0</v>
      </c>
      <c r="L5" t="s">
        <v>52</v>
      </c>
      <c r="M5" t="s">
        <v>747</v>
      </c>
      <c r="N5" s="3">
        <v>8.3000000000000004E-2</v>
      </c>
      <c r="O5" t="s">
        <v>807</v>
      </c>
      <c r="Q5" t="s">
        <v>748</v>
      </c>
      <c r="R5" s="3">
        <v>0.27800000000000002</v>
      </c>
      <c r="S5" s="3">
        <v>2.4E-2</v>
      </c>
      <c r="T5" t="s">
        <v>53</v>
      </c>
      <c r="U5" s="3">
        <v>1.524</v>
      </c>
      <c r="V5" s="3">
        <v>0.13200000000000001</v>
      </c>
      <c r="W5" s="3">
        <v>0.06</v>
      </c>
      <c r="X5" s="3">
        <v>3.7999999999999999E-2</v>
      </c>
    </row>
    <row r="6" spans="1:24" x14ac:dyDescent="0.25">
      <c r="A6" t="s">
        <v>35</v>
      </c>
      <c r="B6" t="s">
        <v>600</v>
      </c>
      <c r="C6" t="s">
        <v>23</v>
      </c>
      <c r="D6">
        <v>4.34</v>
      </c>
      <c r="E6" s="4">
        <v>5.86</v>
      </c>
      <c r="F6">
        <f t="shared" si="0"/>
        <v>35.023041474654384</v>
      </c>
      <c r="G6">
        <v>5.319</v>
      </c>
      <c r="H6" s="4">
        <v>5.95</v>
      </c>
      <c r="I6" s="4">
        <v>3.38</v>
      </c>
      <c r="J6" t="s">
        <v>815</v>
      </c>
      <c r="K6" s="3">
        <v>0.9</v>
      </c>
      <c r="L6" t="s">
        <v>761</v>
      </c>
      <c r="M6" t="s">
        <v>734</v>
      </c>
      <c r="N6" s="3">
        <v>3.5999999999999997E-2</v>
      </c>
      <c r="O6" t="s">
        <v>784</v>
      </c>
      <c r="P6" t="s">
        <v>816</v>
      </c>
      <c r="Q6" t="s">
        <v>735</v>
      </c>
      <c r="R6" s="3">
        <v>1.5249999999999999</v>
      </c>
      <c r="S6" s="3">
        <v>0.01</v>
      </c>
      <c r="T6" t="s">
        <v>37</v>
      </c>
      <c r="U6" s="3">
        <v>4.2000000000000003E-2</v>
      </c>
      <c r="V6" s="3">
        <v>0.10299999999999999</v>
      </c>
      <c r="X6" s="3">
        <v>0.42899999999999999</v>
      </c>
    </row>
    <row r="7" spans="1:24" x14ac:dyDescent="0.25">
      <c r="A7" t="s">
        <v>32</v>
      </c>
      <c r="B7" t="s">
        <v>601</v>
      </c>
      <c r="C7" t="s">
        <v>34</v>
      </c>
      <c r="D7">
        <v>12.37</v>
      </c>
      <c r="E7" s="4">
        <v>13.42</v>
      </c>
      <c r="F7">
        <f t="shared" si="0"/>
        <v>8.4882780921584633</v>
      </c>
      <c r="G7">
        <v>12.982500000000002</v>
      </c>
      <c r="H7" s="4">
        <v>17.7</v>
      </c>
      <c r="I7" s="4">
        <v>10.65</v>
      </c>
      <c r="J7" t="s">
        <v>808</v>
      </c>
      <c r="K7" s="3">
        <v>1</v>
      </c>
      <c r="L7" t="s">
        <v>797</v>
      </c>
      <c r="M7" t="s">
        <v>749</v>
      </c>
      <c r="N7" s="3">
        <v>2.8000000000000001E-2</v>
      </c>
      <c r="O7" t="s">
        <v>809</v>
      </c>
      <c r="P7" t="s">
        <v>817</v>
      </c>
      <c r="Q7" t="s">
        <v>750</v>
      </c>
      <c r="R7" s="3">
        <v>1.3839999999999999</v>
      </c>
      <c r="S7" s="3">
        <v>3.0000000000000001E-3</v>
      </c>
      <c r="T7" t="s">
        <v>751</v>
      </c>
      <c r="U7" s="3">
        <v>2.7E-2</v>
      </c>
      <c r="V7" s="3">
        <v>0.128</v>
      </c>
      <c r="W7" s="3">
        <v>-0.14799999999999999</v>
      </c>
      <c r="X7" s="3">
        <v>3.5000000000000003E-2</v>
      </c>
    </row>
    <row r="8" spans="1:24" x14ac:dyDescent="0.25">
      <c r="A8" t="s">
        <v>21</v>
      </c>
      <c r="B8" t="s">
        <v>602</v>
      </c>
      <c r="C8" t="s">
        <v>23</v>
      </c>
      <c r="D8">
        <v>4.58</v>
      </c>
      <c r="E8" s="4">
        <v>7.94</v>
      </c>
      <c r="F8">
        <f t="shared" si="0"/>
        <v>73.362445414847173</v>
      </c>
      <c r="G8">
        <v>7.2089999999999996</v>
      </c>
      <c r="H8" s="4">
        <v>8.01</v>
      </c>
      <c r="I8" s="4">
        <v>4.84</v>
      </c>
      <c r="J8" t="s">
        <v>810</v>
      </c>
      <c r="K8" s="3">
        <v>1</v>
      </c>
      <c r="L8" t="s">
        <v>801</v>
      </c>
      <c r="M8" t="s">
        <v>736</v>
      </c>
      <c r="N8" s="3">
        <v>3.1E-2</v>
      </c>
      <c r="O8" t="s">
        <v>674</v>
      </c>
      <c r="P8" t="s">
        <v>818</v>
      </c>
      <c r="Q8" t="s">
        <v>737</v>
      </c>
      <c r="R8" s="3">
        <v>0.68600000000000005</v>
      </c>
      <c r="S8" s="3">
        <v>8.9999999999999993E-3</v>
      </c>
      <c r="T8" t="s">
        <v>738</v>
      </c>
      <c r="U8" s="3">
        <v>1.4E-2</v>
      </c>
      <c r="V8" s="3">
        <v>-1.4E-2</v>
      </c>
      <c r="W8" s="3">
        <v>-3.0000000000000001E-3</v>
      </c>
      <c r="X8" s="3">
        <v>6.6000000000000003E-2</v>
      </c>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3"/>
  <sheetViews>
    <sheetView zoomScale="90" zoomScaleNormal="90" workbookViewId="0">
      <selection activeCell="G38" sqref="G3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694</v>
      </c>
      <c r="D1" s="1" t="s">
        <v>54</v>
      </c>
      <c r="E1" s="1" t="s">
        <v>55</v>
      </c>
      <c r="F1" s="1" t="s">
        <v>57</v>
      </c>
      <c r="G1" s="1" t="s">
        <v>58</v>
      </c>
      <c r="H1" s="1" t="s">
        <v>0</v>
      </c>
      <c r="I1" s="1" t="s">
        <v>2</v>
      </c>
      <c r="J1" s="1" t="s">
        <v>3</v>
      </c>
      <c r="K1" s="5" t="s">
        <v>695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46006</v>
      </c>
      <c r="B2" s="11" t="s">
        <v>87</v>
      </c>
      <c r="C2" s="4">
        <v>35.619999999999997</v>
      </c>
      <c r="D2" s="11" t="s">
        <v>612</v>
      </c>
      <c r="E2" t="s">
        <v>619</v>
      </c>
      <c r="F2" s="11" t="s">
        <v>693</v>
      </c>
      <c r="G2" t="s">
        <v>616</v>
      </c>
      <c r="H2" t="s">
        <v>767</v>
      </c>
      <c r="I2" t="s">
        <v>27</v>
      </c>
      <c r="J2" s="4">
        <v>35.619999999999997</v>
      </c>
      <c r="K2" s="11">
        <f t="shared" ref="K2:K9" si="0">(J2/C2-1)*100</f>
        <v>0</v>
      </c>
      <c r="L2" s="4">
        <v>45.14</v>
      </c>
      <c r="M2" s="4">
        <v>30.88</v>
      </c>
      <c r="N2" t="s">
        <v>811</v>
      </c>
      <c r="O2" s="3">
        <v>1</v>
      </c>
      <c r="P2" t="s">
        <v>770</v>
      </c>
      <c r="Q2" t="s">
        <v>772</v>
      </c>
      <c r="R2" s="3">
        <v>2.9000000000000001E-2</v>
      </c>
      <c r="S2" t="s">
        <v>812</v>
      </c>
      <c r="U2" t="s">
        <v>773</v>
      </c>
      <c r="V2" s="3">
        <v>0.107</v>
      </c>
      <c r="W2" s="3">
        <v>1.2999999999999999E-2</v>
      </c>
      <c r="X2" t="s">
        <v>774</v>
      </c>
      <c r="Y2" s="3">
        <v>0.59099999999999997</v>
      </c>
      <c r="Z2" s="3">
        <v>-0.39500000000000002</v>
      </c>
      <c r="AB2" s="3">
        <v>0.04</v>
      </c>
    </row>
    <row r="3" spans="1:28" x14ac:dyDescent="0.25">
      <c r="A3" s="19">
        <v>45999</v>
      </c>
      <c r="B3" s="11" t="s">
        <v>41</v>
      </c>
      <c r="C3" s="11">
        <v>2.0299999999999998</v>
      </c>
      <c r="D3" s="11" t="s">
        <v>612</v>
      </c>
      <c r="E3" t="s">
        <v>619</v>
      </c>
      <c r="F3" s="11" t="s">
        <v>693</v>
      </c>
      <c r="G3" t="s">
        <v>616</v>
      </c>
      <c r="H3" t="s">
        <v>40</v>
      </c>
      <c r="I3" t="s">
        <v>39</v>
      </c>
      <c r="J3" s="4">
        <v>2.0299999999999998</v>
      </c>
      <c r="K3" s="11">
        <f t="shared" si="0"/>
        <v>0</v>
      </c>
      <c r="L3" s="4">
        <v>2.46</v>
      </c>
      <c r="M3" s="4">
        <v>1.7749999999999999</v>
      </c>
      <c r="N3" t="s">
        <v>798</v>
      </c>
      <c r="O3" s="3">
        <v>0</v>
      </c>
      <c r="P3" t="s">
        <v>42</v>
      </c>
      <c r="Q3" t="s">
        <v>731</v>
      </c>
      <c r="R3" s="3">
        <v>4.3999999999999997E-2</v>
      </c>
      <c r="S3" t="s">
        <v>788</v>
      </c>
      <c r="T3" t="s">
        <v>799</v>
      </c>
      <c r="U3" t="s">
        <v>732</v>
      </c>
      <c r="V3" s="3">
        <v>0.502</v>
      </c>
      <c r="W3" s="3">
        <v>0.01</v>
      </c>
      <c r="X3" t="s">
        <v>733</v>
      </c>
      <c r="Y3" s="3">
        <v>2.8000000000000001E-2</v>
      </c>
      <c r="Z3" s="3">
        <v>2.3E-2</v>
      </c>
      <c r="AA3" s="3">
        <v>-0.57799999999999996</v>
      </c>
      <c r="AB3" s="3">
        <v>7.0000000000000001E-3</v>
      </c>
    </row>
    <row r="4" spans="1:28" x14ac:dyDescent="0.25">
      <c r="A4" s="19">
        <v>45999</v>
      </c>
      <c r="B4" s="11" t="s">
        <v>26</v>
      </c>
      <c r="C4" s="11">
        <v>4.5</v>
      </c>
      <c r="D4" s="11" t="s">
        <v>612</v>
      </c>
      <c r="E4" t="s">
        <v>619</v>
      </c>
      <c r="F4" s="11" t="s">
        <v>693</v>
      </c>
      <c r="G4" t="s">
        <v>616</v>
      </c>
      <c r="H4" t="s">
        <v>25</v>
      </c>
      <c r="I4" t="s">
        <v>27</v>
      </c>
      <c r="J4" s="4">
        <v>4.5</v>
      </c>
      <c r="K4" s="11">
        <f t="shared" si="0"/>
        <v>0</v>
      </c>
      <c r="L4" s="4">
        <v>5.2</v>
      </c>
      <c r="M4" s="4">
        <v>3.57</v>
      </c>
      <c r="N4" t="s">
        <v>802</v>
      </c>
      <c r="O4" s="3">
        <v>1</v>
      </c>
      <c r="P4" t="s">
        <v>28</v>
      </c>
      <c r="Q4" t="s">
        <v>753</v>
      </c>
      <c r="R4" s="3">
        <v>0.04</v>
      </c>
      <c r="S4" t="s">
        <v>803</v>
      </c>
      <c r="U4" t="s">
        <v>754</v>
      </c>
      <c r="V4" s="3">
        <v>8.8999999999999996E-2</v>
      </c>
      <c r="X4" t="s">
        <v>755</v>
      </c>
      <c r="Y4" s="3">
        <v>6.2E-2</v>
      </c>
      <c r="Z4" s="3">
        <v>4.7E-2</v>
      </c>
      <c r="AA4" s="3">
        <v>8.3000000000000004E-2</v>
      </c>
      <c r="AB4" s="3">
        <v>0.216</v>
      </c>
    </row>
    <row r="5" spans="1:28" x14ac:dyDescent="0.25">
      <c r="A5" s="19">
        <v>45978</v>
      </c>
      <c r="B5" s="11" t="s">
        <v>94</v>
      </c>
      <c r="C5" s="11">
        <v>157.30000000000001</v>
      </c>
      <c r="D5" s="11" t="s">
        <v>612</v>
      </c>
      <c r="E5" t="s">
        <v>618</v>
      </c>
      <c r="F5" s="11" t="s">
        <v>693</v>
      </c>
      <c r="G5" t="s">
        <v>616</v>
      </c>
      <c r="H5" t="s">
        <v>214</v>
      </c>
      <c r="I5" t="s">
        <v>27</v>
      </c>
      <c r="J5" s="4">
        <v>157.30000000000001</v>
      </c>
      <c r="K5" s="11">
        <f t="shared" si="0"/>
        <v>0</v>
      </c>
      <c r="L5" s="4">
        <v>189.08</v>
      </c>
      <c r="M5" s="4">
        <v>138.08000000000001</v>
      </c>
      <c r="N5" t="s">
        <v>790</v>
      </c>
      <c r="O5" s="3">
        <v>1</v>
      </c>
      <c r="P5" t="s">
        <v>692</v>
      </c>
      <c r="Q5" t="s">
        <v>721</v>
      </c>
      <c r="R5" s="3">
        <v>3.1E-2</v>
      </c>
      <c r="S5" t="s">
        <v>791</v>
      </c>
      <c r="U5" t="s">
        <v>722</v>
      </c>
      <c r="V5" s="3">
        <v>2.758</v>
      </c>
      <c r="X5" t="s">
        <v>723</v>
      </c>
      <c r="Y5" s="3">
        <v>0.35399999999999998</v>
      </c>
      <c r="Z5" s="3">
        <v>0.38900000000000001</v>
      </c>
      <c r="AA5" s="3">
        <v>8.2000000000000003E-2</v>
      </c>
      <c r="AB5" s="3">
        <v>0.13300000000000001</v>
      </c>
    </row>
    <row r="6" spans="1:28" x14ac:dyDescent="0.25">
      <c r="A6" s="19">
        <v>45978</v>
      </c>
      <c r="B6" s="11" t="s">
        <v>79</v>
      </c>
      <c r="C6" s="11">
        <v>37.119999999999997</v>
      </c>
      <c r="D6" s="11" t="s">
        <v>612</v>
      </c>
      <c r="E6" t="s">
        <v>618</v>
      </c>
      <c r="F6" s="11" t="s">
        <v>693</v>
      </c>
      <c r="G6" t="s">
        <v>616</v>
      </c>
      <c r="H6" t="s">
        <v>373</v>
      </c>
      <c r="I6" t="s">
        <v>739</v>
      </c>
      <c r="J6" s="4">
        <v>37.119999999999997</v>
      </c>
      <c r="K6" s="11">
        <f t="shared" si="0"/>
        <v>0</v>
      </c>
      <c r="L6" s="4">
        <v>55.87</v>
      </c>
      <c r="M6" s="4">
        <v>14.93</v>
      </c>
      <c r="N6" t="s">
        <v>792</v>
      </c>
      <c r="P6" t="s">
        <v>740</v>
      </c>
      <c r="Q6" t="s">
        <v>793</v>
      </c>
      <c r="R6" s="3">
        <v>0</v>
      </c>
      <c r="S6" t="s">
        <v>794</v>
      </c>
      <c r="T6" t="s">
        <v>795</v>
      </c>
      <c r="U6" t="s">
        <v>796</v>
      </c>
      <c r="V6" s="3">
        <v>0.79200000000000004</v>
      </c>
      <c r="W6" s="3">
        <v>6.8000000000000005E-2</v>
      </c>
      <c r="X6" t="s">
        <v>743</v>
      </c>
      <c r="Y6" s="3">
        <v>6.5000000000000002E-2</v>
      </c>
      <c r="Z6" s="3">
        <v>0.48799999999999999</v>
      </c>
      <c r="AB6" s="3">
        <v>8.1000000000000003E-2</v>
      </c>
    </row>
    <row r="7" spans="1:28" x14ac:dyDescent="0.25">
      <c r="A7" s="19">
        <v>45971</v>
      </c>
      <c r="B7" s="11" t="s">
        <v>90</v>
      </c>
      <c r="C7">
        <v>3.37</v>
      </c>
      <c r="D7" s="11" t="s">
        <v>612</v>
      </c>
      <c r="E7" t="s">
        <v>618</v>
      </c>
      <c r="F7" s="11" t="s">
        <v>693</v>
      </c>
      <c r="G7" t="s">
        <v>616</v>
      </c>
      <c r="H7" t="s">
        <v>372</v>
      </c>
      <c r="I7" t="s">
        <v>27</v>
      </c>
      <c r="J7" s="4">
        <v>3.37</v>
      </c>
      <c r="K7" s="11">
        <f t="shared" si="0"/>
        <v>0</v>
      </c>
      <c r="L7" s="4">
        <v>4.93</v>
      </c>
      <c r="M7" s="4">
        <v>1.085</v>
      </c>
      <c r="N7" t="s">
        <v>785</v>
      </c>
      <c r="P7" t="s">
        <v>714</v>
      </c>
      <c r="Q7" t="s">
        <v>725</v>
      </c>
      <c r="R7" s="3">
        <v>0</v>
      </c>
      <c r="S7" t="s">
        <v>786</v>
      </c>
      <c r="U7" t="s">
        <v>726</v>
      </c>
      <c r="V7" s="3">
        <v>3.4159999999999999</v>
      </c>
      <c r="X7" t="s">
        <v>727</v>
      </c>
      <c r="Y7" s="3">
        <v>7.4999999999999997E-2</v>
      </c>
      <c r="Z7" s="3">
        <v>0.215</v>
      </c>
      <c r="AB7" s="3">
        <v>0.14399999999999999</v>
      </c>
    </row>
    <row r="8" spans="1:28" x14ac:dyDescent="0.25">
      <c r="A8" s="19">
        <v>45971</v>
      </c>
      <c r="B8" s="11" t="s">
        <v>764</v>
      </c>
      <c r="C8">
        <v>5.52</v>
      </c>
      <c r="D8" s="11" t="s">
        <v>612</v>
      </c>
      <c r="E8" t="s">
        <v>618</v>
      </c>
      <c r="F8" s="11" t="s">
        <v>693</v>
      </c>
      <c r="G8" t="s">
        <v>616</v>
      </c>
      <c r="H8" t="s">
        <v>765</v>
      </c>
      <c r="I8" t="s">
        <v>620</v>
      </c>
      <c r="J8" s="4">
        <v>5.52</v>
      </c>
      <c r="K8" s="11">
        <f t="shared" si="0"/>
        <v>0</v>
      </c>
      <c r="L8" s="4">
        <v>9.1999999999999993</v>
      </c>
      <c r="M8" s="4">
        <v>2.0699999999999998</v>
      </c>
      <c r="N8" t="s">
        <v>787</v>
      </c>
      <c r="P8" t="s">
        <v>766</v>
      </c>
      <c r="R8" s="3">
        <v>0</v>
      </c>
      <c r="U8" t="s">
        <v>768</v>
      </c>
      <c r="V8" s="3">
        <v>4.2999999999999997E-2</v>
      </c>
      <c r="W8" s="3">
        <v>7.0000000000000007E-2</v>
      </c>
      <c r="X8" t="s">
        <v>769</v>
      </c>
      <c r="Y8" s="3">
        <v>-5.8010000000000002</v>
      </c>
      <c r="AB8" s="3">
        <v>-0.49199999999999999</v>
      </c>
    </row>
    <row r="9" spans="1:28" x14ac:dyDescent="0.25">
      <c r="A9" s="19">
        <v>45971</v>
      </c>
      <c r="B9" s="11" t="s">
        <v>30</v>
      </c>
      <c r="C9">
        <v>5.27</v>
      </c>
      <c r="D9" s="11" t="s">
        <v>612</v>
      </c>
      <c r="E9" t="s">
        <v>618</v>
      </c>
      <c r="F9" s="11" t="s">
        <v>693</v>
      </c>
      <c r="G9" t="s">
        <v>616</v>
      </c>
      <c r="H9" t="s">
        <v>29</v>
      </c>
      <c r="I9" t="s">
        <v>27</v>
      </c>
      <c r="J9" s="4">
        <v>5.27</v>
      </c>
      <c r="K9" s="11">
        <f t="shared" si="0"/>
        <v>0</v>
      </c>
      <c r="L9" s="4">
        <v>6.66</v>
      </c>
      <c r="M9" s="4">
        <v>5.03</v>
      </c>
      <c r="N9" t="s">
        <v>621</v>
      </c>
      <c r="O9" s="3">
        <v>1</v>
      </c>
      <c r="P9" t="s">
        <v>775</v>
      </c>
      <c r="Q9" t="s">
        <v>756</v>
      </c>
      <c r="R9" s="3">
        <v>3.6999999999999998E-2</v>
      </c>
      <c r="S9" t="s">
        <v>788</v>
      </c>
      <c r="T9" t="s">
        <v>789</v>
      </c>
      <c r="U9" t="s">
        <v>757</v>
      </c>
      <c r="V9" s="3">
        <v>0.68</v>
      </c>
      <c r="W9" s="3">
        <v>1.4E-2</v>
      </c>
      <c r="X9" t="s">
        <v>758</v>
      </c>
      <c r="Y9" s="3">
        <v>0.21299999999999999</v>
      </c>
      <c r="Z9" s="3">
        <v>0.17299999999999999</v>
      </c>
      <c r="AA9" s="3">
        <v>0.193</v>
      </c>
      <c r="AB9" s="3">
        <v>0.14199999999999999</v>
      </c>
    </row>
    <row r="10" spans="1:28" x14ac:dyDescent="0.25">
      <c r="A10" s="19">
        <v>45929</v>
      </c>
      <c r="B10" s="11" t="s">
        <v>764</v>
      </c>
      <c r="C10" s="11">
        <v>7.7</v>
      </c>
      <c r="D10" s="11" t="s">
        <v>613</v>
      </c>
      <c r="E10" t="s">
        <v>619</v>
      </c>
      <c r="F10" t="s">
        <v>614</v>
      </c>
      <c r="G10" t="s">
        <v>615</v>
      </c>
      <c r="H10" t="s">
        <v>765</v>
      </c>
      <c r="I10" t="s">
        <v>620</v>
      </c>
      <c r="J10" s="4">
        <v>6.8</v>
      </c>
      <c r="K10" s="11">
        <f t="shared" ref="K10:K12" si="1">(J10/C10-1)*100</f>
        <v>-11.688311688311693</v>
      </c>
      <c r="L10" s="4">
        <v>9.1999999999999993</v>
      </c>
      <c r="M10" s="4">
        <v>2.0699999999999998</v>
      </c>
      <c r="N10" t="s">
        <v>778</v>
      </c>
      <c r="P10" t="s">
        <v>766</v>
      </c>
      <c r="R10" s="3">
        <v>0</v>
      </c>
      <c r="U10" t="s">
        <v>768</v>
      </c>
      <c r="V10" s="3">
        <v>4.2999999999999997E-2</v>
      </c>
      <c r="W10" s="3">
        <v>7.0000000000000007E-2</v>
      </c>
      <c r="X10" t="s">
        <v>769</v>
      </c>
      <c r="Y10" s="3">
        <v>-5.8010000000000002</v>
      </c>
      <c r="Z10" s="3">
        <v>3.7549999999999999</v>
      </c>
      <c r="AB10" s="3">
        <v>-0.49199999999999999</v>
      </c>
    </row>
    <row r="11" spans="1:28" x14ac:dyDescent="0.25">
      <c r="A11" s="19">
        <v>45929</v>
      </c>
      <c r="B11" s="11" t="s">
        <v>95</v>
      </c>
      <c r="C11" s="11">
        <v>26.79</v>
      </c>
      <c r="D11" s="11" t="s">
        <v>612</v>
      </c>
      <c r="E11" t="s">
        <v>619</v>
      </c>
      <c r="F11" s="11" t="s">
        <v>693</v>
      </c>
      <c r="G11" t="s">
        <v>615</v>
      </c>
      <c r="H11" t="s">
        <v>215</v>
      </c>
      <c r="I11" t="s">
        <v>44</v>
      </c>
      <c r="J11" s="4">
        <v>26.79</v>
      </c>
      <c r="K11" s="14">
        <f t="shared" si="1"/>
        <v>0</v>
      </c>
      <c r="L11" s="4">
        <v>33.229999999999997</v>
      </c>
      <c r="M11" s="4">
        <v>26.61</v>
      </c>
      <c r="N11" t="s">
        <v>762</v>
      </c>
      <c r="O11" s="3">
        <v>1</v>
      </c>
      <c r="P11" t="s">
        <v>216</v>
      </c>
      <c r="Q11" t="s">
        <v>744</v>
      </c>
      <c r="R11" s="3">
        <v>3.1E-2</v>
      </c>
      <c r="S11" t="s">
        <v>674</v>
      </c>
      <c r="T11" t="s">
        <v>763</v>
      </c>
      <c r="U11" t="s">
        <v>745</v>
      </c>
      <c r="V11" s="3">
        <v>3.577</v>
      </c>
      <c r="W11" s="3">
        <v>6.0000000000000001E-3</v>
      </c>
      <c r="X11" t="s">
        <v>746</v>
      </c>
      <c r="Y11" s="3">
        <v>1.4E-2</v>
      </c>
      <c r="Z11" s="3">
        <v>4.2999999999999997E-2</v>
      </c>
      <c r="AA11" s="3">
        <v>-0.14599999999999999</v>
      </c>
      <c r="AB11" s="3">
        <v>0.188</v>
      </c>
    </row>
    <row r="12" spans="1:28" x14ac:dyDescent="0.25">
      <c r="A12" s="19">
        <v>45894</v>
      </c>
      <c r="B12" s="11" t="s">
        <v>79</v>
      </c>
      <c r="C12" s="11">
        <v>45.06</v>
      </c>
      <c r="D12" s="11" t="s">
        <v>613</v>
      </c>
      <c r="E12" t="s">
        <v>619</v>
      </c>
      <c r="F12" t="s">
        <v>614</v>
      </c>
      <c r="G12" t="s">
        <v>615</v>
      </c>
      <c r="H12" t="s">
        <v>373</v>
      </c>
      <c r="I12" t="s">
        <v>739</v>
      </c>
      <c r="J12" s="4">
        <v>46.64</v>
      </c>
      <c r="K12" s="14">
        <f t="shared" si="1"/>
        <v>3.5064358632933779</v>
      </c>
      <c r="L12" s="4">
        <v>55.87</v>
      </c>
      <c r="M12" s="4">
        <v>14.93</v>
      </c>
      <c r="N12" t="s">
        <v>781</v>
      </c>
      <c r="P12" t="s">
        <v>740</v>
      </c>
      <c r="Q12" t="s">
        <v>741</v>
      </c>
      <c r="R12" s="3">
        <v>0</v>
      </c>
      <c r="S12" t="s">
        <v>782</v>
      </c>
      <c r="T12" t="s">
        <v>783</v>
      </c>
      <c r="U12" t="s">
        <v>742</v>
      </c>
      <c r="V12" s="3">
        <v>0.84399999999999997</v>
      </c>
      <c r="W12" s="3">
        <v>7.0999999999999994E-2</v>
      </c>
      <c r="X12" t="s">
        <v>743</v>
      </c>
      <c r="Y12" s="3">
        <v>6.5000000000000002E-2</v>
      </c>
      <c r="Z12" s="3">
        <v>0.48799999999999999</v>
      </c>
      <c r="AB12" s="3">
        <v>0.08</v>
      </c>
    </row>
    <row r="13" spans="1:28" x14ac:dyDescent="0.25">
      <c r="A13" s="19">
        <v>45894</v>
      </c>
      <c r="B13" t="s">
        <v>46</v>
      </c>
      <c r="C13" s="11">
        <v>2.83</v>
      </c>
      <c r="D13" s="11" t="s">
        <v>612</v>
      </c>
      <c r="E13" t="s">
        <v>619</v>
      </c>
      <c r="F13" s="11" t="s">
        <v>693</v>
      </c>
      <c r="G13" t="s">
        <v>615</v>
      </c>
      <c r="H13" t="s">
        <v>45</v>
      </c>
      <c r="I13" t="s">
        <v>44</v>
      </c>
      <c r="J13" s="11">
        <v>2.83</v>
      </c>
      <c r="K13" s="20">
        <f>(J13/C13-1)*100</f>
        <v>0</v>
      </c>
      <c r="L13" s="4">
        <v>3.9</v>
      </c>
      <c r="M13" s="4">
        <v>2.72</v>
      </c>
      <c r="N13" t="s">
        <v>603</v>
      </c>
      <c r="O13" s="3">
        <v>1</v>
      </c>
      <c r="P13" t="s">
        <v>47</v>
      </c>
      <c r="Q13" t="s">
        <v>48</v>
      </c>
      <c r="R13" s="3">
        <v>5.3999999999999999E-2</v>
      </c>
      <c r="S13" t="s">
        <v>24</v>
      </c>
      <c r="T13" t="s">
        <v>724</v>
      </c>
      <c r="U13" t="s">
        <v>49</v>
      </c>
      <c r="V13" s="3">
        <v>6.4219999999999997</v>
      </c>
      <c r="W13" s="3">
        <v>1.2999999999999999E-2</v>
      </c>
      <c r="X13" t="s">
        <v>50</v>
      </c>
      <c r="Y13" s="3">
        <v>2.8000000000000001E-2</v>
      </c>
      <c r="Z13" s="3">
        <v>6.9000000000000006E-2</v>
      </c>
      <c r="AA13" s="3">
        <v>6.7000000000000004E-2</v>
      </c>
      <c r="AB13" s="3">
        <v>0.38600000000000001</v>
      </c>
    </row>
    <row r="14" spans="1:28" x14ac:dyDescent="0.25">
      <c r="A14" s="19">
        <v>45879</v>
      </c>
      <c r="B14" s="11" t="s">
        <v>90</v>
      </c>
      <c r="C14" s="11">
        <v>3.37</v>
      </c>
      <c r="D14" s="11" t="s">
        <v>613</v>
      </c>
      <c r="E14" t="s">
        <v>619</v>
      </c>
      <c r="F14" t="s">
        <v>614</v>
      </c>
      <c r="G14" t="s">
        <v>615</v>
      </c>
      <c r="H14" t="s">
        <v>372</v>
      </c>
      <c r="I14" t="s">
        <v>27</v>
      </c>
      <c r="J14" s="4">
        <v>3.87</v>
      </c>
      <c r="K14" s="6">
        <f>(J14/C14-1)*100</f>
        <v>14.836795252225521</v>
      </c>
      <c r="L14" s="4">
        <v>4.93</v>
      </c>
      <c r="M14" s="4">
        <v>1.085</v>
      </c>
      <c r="N14" t="s">
        <v>776</v>
      </c>
      <c r="P14" t="s">
        <v>714</v>
      </c>
      <c r="Q14" t="s">
        <v>725</v>
      </c>
      <c r="R14" s="3">
        <v>0</v>
      </c>
      <c r="S14" t="s">
        <v>777</v>
      </c>
      <c r="U14" t="s">
        <v>726</v>
      </c>
      <c r="V14" s="3">
        <v>3.4159999999999999</v>
      </c>
      <c r="X14" t="s">
        <v>727</v>
      </c>
      <c r="Y14" s="3">
        <v>7.4999999999999997E-2</v>
      </c>
      <c r="Z14" s="3">
        <v>0.215</v>
      </c>
      <c r="AB14" s="3">
        <v>0.14399999999999999</v>
      </c>
    </row>
    <row r="15" spans="1:28" x14ac:dyDescent="0.25">
      <c r="A15" s="12">
        <v>45872</v>
      </c>
      <c r="B15" t="s">
        <v>93</v>
      </c>
      <c r="C15" s="11">
        <v>1.7050000000000001</v>
      </c>
      <c r="D15" s="11" t="s">
        <v>612</v>
      </c>
      <c r="E15" t="s">
        <v>619</v>
      </c>
      <c r="F15" s="10" t="s">
        <v>693</v>
      </c>
      <c r="G15" t="s">
        <v>615</v>
      </c>
      <c r="H15" t="s">
        <v>209</v>
      </c>
      <c r="I15" t="s">
        <v>210</v>
      </c>
      <c r="J15" s="13">
        <v>1.7050000000000001</v>
      </c>
      <c r="K15" s="14">
        <v>0</v>
      </c>
      <c r="L15" s="4">
        <v>4.75</v>
      </c>
      <c r="M15" s="4">
        <v>1.68</v>
      </c>
      <c r="N15" t="s">
        <v>697</v>
      </c>
      <c r="P15" t="s">
        <v>211</v>
      </c>
      <c r="R15" s="3">
        <v>0</v>
      </c>
      <c r="U15" t="s">
        <v>212</v>
      </c>
      <c r="V15" s="3">
        <v>1E-3</v>
      </c>
      <c r="W15" s="3">
        <v>0.13900000000000001</v>
      </c>
      <c r="X15" t="s">
        <v>213</v>
      </c>
      <c r="Y15" s="3">
        <v>-0.47199999999999998</v>
      </c>
      <c r="AA15" s="3">
        <v>2.157</v>
      </c>
      <c r="AB15" s="3">
        <v>-4.4999999999999998E-2</v>
      </c>
    </row>
    <row r="16" spans="1:28" x14ac:dyDescent="0.25">
      <c r="A16" s="2">
        <v>45786</v>
      </c>
      <c r="B16" t="s">
        <v>93</v>
      </c>
      <c r="C16">
        <v>3.58</v>
      </c>
      <c r="D16" t="s">
        <v>613</v>
      </c>
      <c r="E16" t="s">
        <v>619</v>
      </c>
      <c r="F16" t="s">
        <v>614</v>
      </c>
      <c r="G16" t="s">
        <v>615</v>
      </c>
      <c r="H16" t="s">
        <v>209</v>
      </c>
      <c r="I16" t="s">
        <v>210</v>
      </c>
      <c r="J16" s="4">
        <v>1.71</v>
      </c>
      <c r="K16" s="6">
        <f t="shared" ref="K16:K36" si="2">(J16/C16-1)*100</f>
        <v>-52.234636871508378</v>
      </c>
      <c r="L16" s="4">
        <v>4.75</v>
      </c>
      <c r="M16" s="4">
        <v>1.68</v>
      </c>
      <c r="N16" t="s">
        <v>697</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94</v>
      </c>
      <c r="C17">
        <v>169.66</v>
      </c>
      <c r="D17" t="s">
        <v>613</v>
      </c>
      <c r="E17" t="s">
        <v>619</v>
      </c>
      <c r="F17" t="s">
        <v>614</v>
      </c>
      <c r="G17" t="s">
        <v>615</v>
      </c>
      <c r="H17" t="s">
        <v>214</v>
      </c>
      <c r="I17" t="s">
        <v>27</v>
      </c>
      <c r="J17" s="4">
        <v>175.91</v>
      </c>
      <c r="K17" s="6">
        <f t="shared" si="2"/>
        <v>3.683838264764816</v>
      </c>
      <c r="L17" s="4">
        <v>189.08</v>
      </c>
      <c r="M17" s="4">
        <v>138.08000000000001</v>
      </c>
      <c r="N17" t="s">
        <v>779</v>
      </c>
      <c r="O17" s="3">
        <v>1</v>
      </c>
      <c r="P17" t="s">
        <v>692</v>
      </c>
      <c r="Q17" t="s">
        <v>721</v>
      </c>
      <c r="R17" s="3">
        <v>2.8000000000000001E-2</v>
      </c>
      <c r="S17" t="s">
        <v>780</v>
      </c>
      <c r="U17" t="s">
        <v>722</v>
      </c>
      <c r="V17" s="3">
        <v>2.758</v>
      </c>
      <c r="X17" t="s">
        <v>723</v>
      </c>
      <c r="Y17" s="3">
        <v>0.35399999999999998</v>
      </c>
      <c r="Z17" s="3">
        <v>0.38900000000000001</v>
      </c>
      <c r="AA17" s="3">
        <v>8.2000000000000003E-2</v>
      </c>
      <c r="AB17" s="3">
        <v>0.13300000000000001</v>
      </c>
    </row>
    <row r="18" spans="1:28" x14ac:dyDescent="0.25">
      <c r="A18" s="2">
        <v>45786</v>
      </c>
      <c r="B18" t="s">
        <v>95</v>
      </c>
      <c r="C18">
        <v>32.68</v>
      </c>
      <c r="D18" t="s">
        <v>613</v>
      </c>
      <c r="E18" t="s">
        <v>619</v>
      </c>
      <c r="F18" t="s">
        <v>614</v>
      </c>
      <c r="G18" t="s">
        <v>615</v>
      </c>
      <c r="H18" t="s">
        <v>215</v>
      </c>
      <c r="I18" t="s">
        <v>44</v>
      </c>
      <c r="J18" s="4">
        <v>27.38</v>
      </c>
      <c r="K18" s="6">
        <f t="shared" si="2"/>
        <v>-16.217870257037948</v>
      </c>
      <c r="L18" s="4">
        <v>33.4</v>
      </c>
      <c r="M18" s="4">
        <v>27.08</v>
      </c>
      <c r="N18" t="s">
        <v>759</v>
      </c>
      <c r="O18" s="3">
        <v>1</v>
      </c>
      <c r="P18" t="s">
        <v>216</v>
      </c>
      <c r="Q18" t="s">
        <v>744</v>
      </c>
      <c r="R18" s="3">
        <v>3.1E-2</v>
      </c>
      <c r="S18" t="s">
        <v>674</v>
      </c>
      <c r="T18" t="s">
        <v>760</v>
      </c>
      <c r="U18" t="s">
        <v>745</v>
      </c>
      <c r="V18" s="3">
        <v>3.577</v>
      </c>
      <c r="W18" s="3">
        <v>6.0000000000000001E-3</v>
      </c>
      <c r="X18" t="s">
        <v>746</v>
      </c>
      <c r="Y18" s="3">
        <v>1.4E-2</v>
      </c>
      <c r="Z18" s="3">
        <v>4.2999999999999997E-2</v>
      </c>
      <c r="AA18" s="3">
        <v>-0.14599999999999999</v>
      </c>
      <c r="AB18" s="3">
        <v>0.188</v>
      </c>
    </row>
    <row r="19" spans="1:28" x14ac:dyDescent="0.25">
      <c r="A19" s="2">
        <v>45786</v>
      </c>
      <c r="B19" t="s">
        <v>96</v>
      </c>
      <c r="C19">
        <v>3.06</v>
      </c>
      <c r="D19" t="s">
        <v>613</v>
      </c>
      <c r="E19" t="s">
        <v>619</v>
      </c>
      <c r="F19" t="s">
        <v>614</v>
      </c>
      <c r="G19" t="s">
        <v>615</v>
      </c>
      <c r="H19" t="s">
        <v>217</v>
      </c>
      <c r="I19" t="s">
        <v>39</v>
      </c>
      <c r="J19" s="4">
        <v>3.35</v>
      </c>
      <c r="K19" s="6">
        <f t="shared" si="2"/>
        <v>9.4771241830065467</v>
      </c>
      <c r="L19" s="4">
        <v>3.59</v>
      </c>
      <c r="M19" s="4">
        <v>2.67</v>
      </c>
      <c r="N19" t="s">
        <v>800</v>
      </c>
      <c r="O19" s="3">
        <v>0</v>
      </c>
      <c r="P19" t="s">
        <v>771</v>
      </c>
      <c r="Q19" t="s">
        <v>715</v>
      </c>
      <c r="R19" s="3">
        <v>4.9000000000000002E-2</v>
      </c>
      <c r="S19" t="s">
        <v>804</v>
      </c>
      <c r="U19" t="s">
        <v>716</v>
      </c>
      <c r="V19" s="3">
        <v>0.54600000000000004</v>
      </c>
      <c r="W19" s="3">
        <v>2E-3</v>
      </c>
      <c r="X19" t="s">
        <v>717</v>
      </c>
      <c r="Y19" s="3">
        <v>0.56999999999999995</v>
      </c>
      <c r="Z19" s="3">
        <v>4.7E-2</v>
      </c>
      <c r="AA19" s="3">
        <v>-0.29499999999999998</v>
      </c>
      <c r="AB19" s="3">
        <v>5.3999999999999999E-2</v>
      </c>
    </row>
    <row r="20" spans="1:28" x14ac:dyDescent="0.25">
      <c r="A20" s="2">
        <v>45786</v>
      </c>
      <c r="B20" t="s">
        <v>97</v>
      </c>
      <c r="C20">
        <v>7.17</v>
      </c>
      <c r="D20" t="s">
        <v>613</v>
      </c>
      <c r="E20" t="s">
        <v>619</v>
      </c>
      <c r="F20" t="s">
        <v>614</v>
      </c>
      <c r="G20" t="s">
        <v>615</v>
      </c>
      <c r="H20" t="s">
        <v>218</v>
      </c>
      <c r="I20" t="s">
        <v>27</v>
      </c>
      <c r="J20" s="4">
        <v>9.56</v>
      </c>
      <c r="K20" s="6">
        <f t="shared" si="2"/>
        <v>33.33333333333335</v>
      </c>
      <c r="L20" s="4">
        <v>9.6</v>
      </c>
      <c r="M20" s="4">
        <v>5.12</v>
      </c>
      <c r="N20" t="s">
        <v>604</v>
      </c>
      <c r="O20" s="3">
        <v>1</v>
      </c>
      <c r="P20" t="s">
        <v>219</v>
      </c>
      <c r="Q20" t="s">
        <v>728</v>
      </c>
      <c r="R20" s="3">
        <v>3.1E-2</v>
      </c>
      <c r="S20" t="s">
        <v>668</v>
      </c>
      <c r="T20" t="s">
        <v>813</v>
      </c>
      <c r="U20" t="s">
        <v>729</v>
      </c>
      <c r="V20" s="3">
        <v>2.1389999999999998</v>
      </c>
      <c r="X20" t="s">
        <v>730</v>
      </c>
      <c r="Y20" s="3">
        <v>7.5999999999999998E-2</v>
      </c>
      <c r="Z20" s="3">
        <v>0.218</v>
      </c>
      <c r="AA20" s="3">
        <v>-5.8999999999999997E-2</v>
      </c>
      <c r="AB20" s="3">
        <v>0.05</v>
      </c>
    </row>
    <row r="21" spans="1:28" x14ac:dyDescent="0.25">
      <c r="A21" s="2">
        <v>45786</v>
      </c>
      <c r="B21" t="s">
        <v>98</v>
      </c>
      <c r="C21">
        <v>3.64</v>
      </c>
      <c r="D21" t="s">
        <v>613</v>
      </c>
      <c r="E21" t="s">
        <v>619</v>
      </c>
      <c r="F21" t="s">
        <v>614</v>
      </c>
      <c r="G21" t="s">
        <v>615</v>
      </c>
      <c r="H21" t="s">
        <v>696</v>
      </c>
      <c r="I21" t="s">
        <v>39</v>
      </c>
      <c r="J21" s="4">
        <v>4.04</v>
      </c>
      <c r="K21" s="6">
        <f t="shared" si="2"/>
        <v>10.989010989010994</v>
      </c>
      <c r="L21" s="4">
        <v>4.0599999999999996</v>
      </c>
      <c r="M21" s="4">
        <v>3.16</v>
      </c>
      <c r="N21" t="s">
        <v>805</v>
      </c>
      <c r="O21" s="3">
        <v>0</v>
      </c>
      <c r="P21" t="s">
        <v>221</v>
      </c>
      <c r="Q21" t="s">
        <v>718</v>
      </c>
      <c r="R21" s="3">
        <v>4.5999999999999999E-2</v>
      </c>
      <c r="S21" t="s">
        <v>814</v>
      </c>
      <c r="U21" t="s">
        <v>719</v>
      </c>
      <c r="V21" s="3">
        <v>0.28499999999999998</v>
      </c>
      <c r="W21" s="3">
        <v>3.0000000000000001E-3</v>
      </c>
      <c r="X21" t="s">
        <v>720</v>
      </c>
      <c r="Y21" s="3">
        <v>1.306</v>
      </c>
      <c r="Z21" s="3">
        <v>9.8000000000000004E-2</v>
      </c>
      <c r="AA21" s="3">
        <v>-0.21099999999999999</v>
      </c>
      <c r="AB21" s="3">
        <v>9.6000000000000002E-2</v>
      </c>
    </row>
    <row r="22" spans="1:28" x14ac:dyDescent="0.25">
      <c r="A22" s="2">
        <v>45786</v>
      </c>
      <c r="B22" t="s">
        <v>51</v>
      </c>
      <c r="C22">
        <v>5.19</v>
      </c>
      <c r="D22" t="s">
        <v>613</v>
      </c>
      <c r="E22" t="s">
        <v>619</v>
      </c>
      <c r="F22" t="s">
        <v>614</v>
      </c>
      <c r="G22" t="s">
        <v>615</v>
      </c>
      <c r="H22" t="s">
        <v>222</v>
      </c>
      <c r="I22" t="s">
        <v>23</v>
      </c>
      <c r="J22" s="4">
        <v>4.82</v>
      </c>
      <c r="K22" s="6">
        <f t="shared" si="2"/>
        <v>-7.1290944123314048</v>
      </c>
      <c r="L22" s="4">
        <v>5.33</v>
      </c>
      <c r="M22" s="4">
        <v>4.25</v>
      </c>
      <c r="N22" t="s">
        <v>806</v>
      </c>
      <c r="O22" s="3">
        <v>0</v>
      </c>
      <c r="P22" t="s">
        <v>52</v>
      </c>
      <c r="Q22" t="s">
        <v>747</v>
      </c>
      <c r="R22" s="3">
        <v>8.3000000000000004E-2</v>
      </c>
      <c r="S22" t="s">
        <v>807</v>
      </c>
      <c r="U22" t="s">
        <v>748</v>
      </c>
      <c r="V22" s="3">
        <v>0.27800000000000002</v>
      </c>
      <c r="W22" s="3">
        <v>2.4E-2</v>
      </c>
      <c r="X22" t="s">
        <v>53</v>
      </c>
      <c r="Y22" s="3">
        <v>1.524</v>
      </c>
      <c r="Z22" s="3">
        <v>0.13200000000000001</v>
      </c>
      <c r="AA22" s="3">
        <v>0.06</v>
      </c>
      <c r="AB22" s="3">
        <v>3.7999999999999999E-2</v>
      </c>
    </row>
    <row r="23" spans="1:28" x14ac:dyDescent="0.25">
      <c r="A23" s="2">
        <v>45786</v>
      </c>
      <c r="B23" t="s">
        <v>46</v>
      </c>
      <c r="C23">
        <v>3.5</v>
      </c>
      <c r="D23" t="s">
        <v>613</v>
      </c>
      <c r="E23" t="s">
        <v>619</v>
      </c>
      <c r="F23" t="s">
        <v>614</v>
      </c>
      <c r="G23" t="s">
        <v>615</v>
      </c>
      <c r="H23" t="s">
        <v>45</v>
      </c>
      <c r="I23" t="s">
        <v>44</v>
      </c>
      <c r="J23" s="4">
        <v>3.53</v>
      </c>
      <c r="K23" s="6">
        <f t="shared" si="2"/>
        <v>0.85714285714284522</v>
      </c>
      <c r="L23" s="4">
        <v>3.9</v>
      </c>
      <c r="M23" s="4">
        <v>2.72</v>
      </c>
      <c r="N23" t="s">
        <v>603</v>
      </c>
      <c r="O23" s="3">
        <v>1</v>
      </c>
      <c r="P23" t="s">
        <v>47</v>
      </c>
      <c r="Q23" t="s">
        <v>48</v>
      </c>
      <c r="R23" s="3">
        <v>5.3999999999999999E-2</v>
      </c>
      <c r="S23" t="s">
        <v>24</v>
      </c>
      <c r="T23" t="s">
        <v>724</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2">
        <v>45786</v>
      </c>
      <c r="B24" t="s">
        <v>41</v>
      </c>
      <c r="C24">
        <v>2.2999999999999998</v>
      </c>
      <c r="D24" t="s">
        <v>613</v>
      </c>
      <c r="E24" t="s">
        <v>619</v>
      </c>
      <c r="F24" t="s">
        <v>614</v>
      </c>
      <c r="G24" t="s">
        <v>615</v>
      </c>
      <c r="H24" t="s">
        <v>40</v>
      </c>
      <c r="I24" t="s">
        <v>39</v>
      </c>
      <c r="J24" s="4">
        <v>2.0299999999999998</v>
      </c>
      <c r="K24" s="6">
        <f t="shared" si="2"/>
        <v>-11.739130434782608</v>
      </c>
      <c r="L24" s="4">
        <v>2.46</v>
      </c>
      <c r="M24" s="4">
        <v>1.7749999999999999</v>
      </c>
      <c r="N24" t="s">
        <v>798</v>
      </c>
      <c r="O24" s="3">
        <v>0</v>
      </c>
      <c r="P24" t="s">
        <v>42</v>
      </c>
      <c r="Q24" t="s">
        <v>731</v>
      </c>
      <c r="R24" s="3">
        <v>4.3999999999999997E-2</v>
      </c>
      <c r="S24" t="s">
        <v>788</v>
      </c>
      <c r="T24" t="s">
        <v>799</v>
      </c>
      <c r="U24" t="s">
        <v>732</v>
      </c>
      <c r="V24" s="3">
        <v>0.502</v>
      </c>
      <c r="W24" s="3">
        <v>0.01</v>
      </c>
      <c r="X24" t="s">
        <v>733</v>
      </c>
      <c r="Y24" s="3">
        <v>2.8000000000000001E-2</v>
      </c>
      <c r="Z24" s="3">
        <v>2.3E-2</v>
      </c>
      <c r="AA24" s="3">
        <v>-0.57799999999999996</v>
      </c>
      <c r="AB24" s="3">
        <v>7.0000000000000001E-3</v>
      </c>
    </row>
    <row r="25" spans="1:28" x14ac:dyDescent="0.25">
      <c r="A25" s="2">
        <v>45786</v>
      </c>
      <c r="B25" t="s">
        <v>36</v>
      </c>
      <c r="C25">
        <v>4.34</v>
      </c>
      <c r="D25" t="s">
        <v>613</v>
      </c>
      <c r="E25" t="s">
        <v>619</v>
      </c>
      <c r="F25" t="s">
        <v>614</v>
      </c>
      <c r="G25" t="s">
        <v>615</v>
      </c>
      <c r="H25" t="s">
        <v>35</v>
      </c>
      <c r="I25" t="s">
        <v>23</v>
      </c>
      <c r="J25" s="4">
        <v>5.86</v>
      </c>
      <c r="K25" s="6">
        <f t="shared" si="2"/>
        <v>35.023041474654384</v>
      </c>
      <c r="L25" s="4">
        <v>5.95</v>
      </c>
      <c r="M25" s="4">
        <v>3.38</v>
      </c>
      <c r="N25" t="s">
        <v>815</v>
      </c>
      <c r="O25" s="3">
        <v>0.9</v>
      </c>
      <c r="P25" t="s">
        <v>761</v>
      </c>
      <c r="Q25" t="s">
        <v>734</v>
      </c>
      <c r="R25" s="3">
        <v>3.5999999999999997E-2</v>
      </c>
      <c r="S25" t="s">
        <v>784</v>
      </c>
      <c r="T25" t="s">
        <v>816</v>
      </c>
      <c r="U25" t="s">
        <v>735</v>
      </c>
      <c r="V25" s="3">
        <v>1.5249999999999999</v>
      </c>
      <c r="W25" s="3">
        <v>0.01</v>
      </c>
      <c r="X25" t="s">
        <v>37</v>
      </c>
      <c r="Y25" s="3">
        <v>4.2000000000000003E-2</v>
      </c>
      <c r="Z25" s="3">
        <v>0.10299999999999999</v>
      </c>
      <c r="AB25" s="3">
        <v>0.42899999999999999</v>
      </c>
    </row>
    <row r="26" spans="1:28" x14ac:dyDescent="0.25">
      <c r="A26" s="2">
        <v>45770</v>
      </c>
      <c r="B26" t="s">
        <v>240</v>
      </c>
      <c r="C26">
        <v>2.64</v>
      </c>
      <c r="D26" t="s">
        <v>612</v>
      </c>
      <c r="E26" t="s">
        <v>617</v>
      </c>
      <c r="F26" t="s">
        <v>693</v>
      </c>
      <c r="G26" t="s">
        <v>615</v>
      </c>
      <c r="H26" t="s">
        <v>361</v>
      </c>
      <c r="I26" t="s">
        <v>620</v>
      </c>
      <c r="J26" s="4">
        <v>2.46</v>
      </c>
      <c r="K26" s="6">
        <f t="shared" si="2"/>
        <v>-6.8181818181818237</v>
      </c>
      <c r="L26" s="4">
        <v>2.77</v>
      </c>
      <c r="M26" s="4">
        <v>0.98499999999999999</v>
      </c>
      <c r="N26" t="s">
        <v>621</v>
      </c>
      <c r="P26" t="s">
        <v>622</v>
      </c>
      <c r="R26" s="3">
        <v>0</v>
      </c>
      <c r="S26" t="s">
        <v>623</v>
      </c>
      <c r="U26" t="s">
        <v>624</v>
      </c>
      <c r="V26" s="3">
        <v>6.0000000000000001E-3</v>
      </c>
      <c r="W26" s="3">
        <v>0.33100000000000002</v>
      </c>
      <c r="X26" t="s">
        <v>625</v>
      </c>
      <c r="Y26" s="3">
        <v>-0.20899999999999999</v>
      </c>
      <c r="Z26" s="3">
        <v>2.7229999999999999</v>
      </c>
      <c r="AB26" s="3">
        <v>-7.0000000000000001E-3</v>
      </c>
    </row>
    <row r="27" spans="1:28" x14ac:dyDescent="0.25">
      <c r="A27" s="2">
        <v>45758</v>
      </c>
      <c r="B27" t="s">
        <v>99</v>
      </c>
      <c r="C27">
        <v>1.2450000000000001</v>
      </c>
      <c r="D27" t="s">
        <v>612</v>
      </c>
      <c r="E27" t="s">
        <v>618</v>
      </c>
      <c r="F27" t="s">
        <v>693</v>
      </c>
      <c r="G27" t="s">
        <v>616</v>
      </c>
      <c r="H27" t="s">
        <v>362</v>
      </c>
      <c r="I27" t="s">
        <v>210</v>
      </c>
      <c r="J27" s="4">
        <v>1.36</v>
      </c>
      <c r="K27" s="6">
        <f t="shared" si="2"/>
        <v>9.2369477911646634</v>
      </c>
      <c r="L27" s="4">
        <v>1.5149999999999999</v>
      </c>
      <c r="M27" s="4">
        <v>1.04</v>
      </c>
      <c r="N27" t="s">
        <v>626</v>
      </c>
      <c r="O27" s="3">
        <v>1</v>
      </c>
      <c r="P27" t="s">
        <v>627</v>
      </c>
      <c r="Q27" t="s">
        <v>628</v>
      </c>
      <c r="R27" s="3">
        <v>3.6999999999999998E-2</v>
      </c>
      <c r="S27" t="s">
        <v>629</v>
      </c>
      <c r="U27" t="s">
        <v>630</v>
      </c>
      <c r="V27" s="3">
        <v>0.19400000000000001</v>
      </c>
      <c r="W27" s="3">
        <v>8.0000000000000002E-3</v>
      </c>
      <c r="X27" t="s">
        <v>631</v>
      </c>
      <c r="Y27" s="3">
        <v>4.9000000000000002E-2</v>
      </c>
      <c r="Z27" s="3">
        <v>4.8000000000000001E-2</v>
      </c>
      <c r="AB27" s="3">
        <v>2.5999999999999999E-2</v>
      </c>
    </row>
    <row r="28" spans="1:28" x14ac:dyDescent="0.25">
      <c r="A28" s="2">
        <v>45758</v>
      </c>
      <c r="B28" t="s">
        <v>86</v>
      </c>
      <c r="C28">
        <v>45.15</v>
      </c>
      <c r="D28" t="s">
        <v>612</v>
      </c>
      <c r="E28" t="s">
        <v>618</v>
      </c>
      <c r="F28" t="s">
        <v>693</v>
      </c>
      <c r="G28" t="s">
        <v>616</v>
      </c>
      <c r="H28" t="s">
        <v>363</v>
      </c>
      <c r="I28" t="s">
        <v>23</v>
      </c>
      <c r="J28" s="4">
        <v>50.67</v>
      </c>
      <c r="K28" s="6">
        <f t="shared" si="2"/>
        <v>12.225913621262464</v>
      </c>
      <c r="L28" s="4">
        <v>55.65</v>
      </c>
      <c r="M28" s="4">
        <v>34.71</v>
      </c>
      <c r="N28" t="s">
        <v>632</v>
      </c>
      <c r="O28" s="3">
        <v>1</v>
      </c>
      <c r="P28" t="s">
        <v>633</v>
      </c>
      <c r="Q28" t="s">
        <v>634</v>
      </c>
      <c r="R28" s="3">
        <v>1.2E-2</v>
      </c>
      <c r="S28" t="s">
        <v>635</v>
      </c>
      <c r="U28" t="s">
        <v>636</v>
      </c>
      <c r="V28" s="3">
        <v>1.224</v>
      </c>
      <c r="W28" s="3">
        <v>0.02</v>
      </c>
      <c r="X28" t="s">
        <v>637</v>
      </c>
      <c r="Y28" s="3">
        <v>7.5999999999999998E-2</v>
      </c>
      <c r="Z28" s="3">
        <v>0.29899999999999999</v>
      </c>
      <c r="AA28" s="3">
        <v>-0.124</v>
      </c>
      <c r="AB28" s="3">
        <v>0.182</v>
      </c>
    </row>
    <row r="29" spans="1:28" x14ac:dyDescent="0.25">
      <c r="A29" s="2">
        <v>45737</v>
      </c>
      <c r="B29" t="s">
        <v>82</v>
      </c>
      <c r="C29">
        <v>37.54</v>
      </c>
      <c r="D29" t="s">
        <v>612</v>
      </c>
      <c r="E29" t="s">
        <v>618</v>
      </c>
      <c r="F29" t="s">
        <v>693</v>
      </c>
      <c r="G29" t="s">
        <v>616</v>
      </c>
      <c r="H29" t="s">
        <v>364</v>
      </c>
      <c r="I29" t="s">
        <v>23</v>
      </c>
      <c r="J29" s="4">
        <v>40.61</v>
      </c>
      <c r="K29" s="6">
        <f t="shared" si="2"/>
        <v>8.1779435269046417</v>
      </c>
      <c r="L29" s="4">
        <v>43.23</v>
      </c>
      <c r="M29" s="4">
        <v>24.42</v>
      </c>
      <c r="N29" t="s">
        <v>638</v>
      </c>
      <c r="O29" s="3">
        <v>0</v>
      </c>
      <c r="P29" t="s">
        <v>639</v>
      </c>
      <c r="Q29" t="s">
        <v>640</v>
      </c>
      <c r="R29" s="3">
        <v>2.1000000000000001E-2</v>
      </c>
      <c r="S29" t="s">
        <v>641</v>
      </c>
      <c r="T29" t="s">
        <v>642</v>
      </c>
      <c r="U29" t="s">
        <v>643</v>
      </c>
      <c r="V29" s="3">
        <v>0.90700000000000003</v>
      </c>
      <c r="W29" s="3">
        <v>1.4999999999999999E-2</v>
      </c>
      <c r="X29" t="s">
        <v>644</v>
      </c>
      <c r="Y29" s="3">
        <v>0.18</v>
      </c>
      <c r="Z29" s="3">
        <v>9.1999999999999998E-2</v>
      </c>
      <c r="AA29" s="3">
        <v>0.34499999999999997</v>
      </c>
      <c r="AB29" s="3">
        <v>0.27300000000000002</v>
      </c>
    </row>
    <row r="30" spans="1:28" x14ac:dyDescent="0.25">
      <c r="A30" s="2">
        <v>45730</v>
      </c>
      <c r="B30" t="s">
        <v>89</v>
      </c>
      <c r="C30">
        <v>18.73</v>
      </c>
      <c r="D30" t="s">
        <v>612</v>
      </c>
      <c r="E30" t="s">
        <v>618</v>
      </c>
      <c r="F30" t="s">
        <v>693</v>
      </c>
      <c r="G30" t="s">
        <v>616</v>
      </c>
      <c r="H30" t="s">
        <v>365</v>
      </c>
      <c r="I30" t="s">
        <v>27</v>
      </c>
      <c r="J30" s="4">
        <v>20.59</v>
      </c>
      <c r="K30" s="6">
        <f t="shared" si="2"/>
        <v>9.9305926321409554</v>
      </c>
      <c r="L30" s="4">
        <v>22.14</v>
      </c>
      <c r="M30" s="4">
        <v>15.01</v>
      </c>
      <c r="N30" t="s">
        <v>645</v>
      </c>
      <c r="O30" s="3">
        <v>1</v>
      </c>
      <c r="P30" t="s">
        <v>646</v>
      </c>
      <c r="Q30" t="s">
        <v>647</v>
      </c>
      <c r="R30" s="3">
        <v>4.1000000000000002E-2</v>
      </c>
      <c r="S30" t="s">
        <v>629</v>
      </c>
      <c r="T30" t="s">
        <v>648</v>
      </c>
      <c r="U30" t="s">
        <v>649</v>
      </c>
      <c r="V30" s="3">
        <v>0.17399999999999999</v>
      </c>
      <c r="X30" t="s">
        <v>650</v>
      </c>
      <c r="Y30" s="3">
        <v>0.09</v>
      </c>
      <c r="Z30" s="3">
        <v>-2.5000000000000001E-2</v>
      </c>
      <c r="AA30" s="3">
        <v>-3.5000000000000003E-2</v>
      </c>
      <c r="AB30" s="3">
        <v>8.5000000000000006E-2</v>
      </c>
    </row>
    <row r="31" spans="1:28" x14ac:dyDescent="0.25">
      <c r="A31" s="2">
        <v>45723</v>
      </c>
      <c r="B31" t="s">
        <v>84</v>
      </c>
      <c r="C31">
        <v>253.25</v>
      </c>
      <c r="D31" t="s">
        <v>612</v>
      </c>
      <c r="E31" t="s">
        <v>618</v>
      </c>
      <c r="F31" t="s">
        <v>693</v>
      </c>
      <c r="G31" t="s">
        <v>616</v>
      </c>
      <c r="H31" t="s">
        <v>366</v>
      </c>
      <c r="I31" t="s">
        <v>651</v>
      </c>
      <c r="J31" s="4">
        <v>317.69</v>
      </c>
      <c r="K31" s="6">
        <f t="shared" si="2"/>
        <v>25.44521224086871</v>
      </c>
      <c r="L31" s="4">
        <v>325</v>
      </c>
      <c r="M31" s="4">
        <v>120.92</v>
      </c>
      <c r="N31" t="s">
        <v>652</v>
      </c>
      <c r="O31" s="3">
        <v>1</v>
      </c>
      <c r="P31" t="s">
        <v>653</v>
      </c>
      <c r="Q31" t="s">
        <v>654</v>
      </c>
      <c r="R31" s="3">
        <v>1E-3</v>
      </c>
      <c r="S31" t="s">
        <v>655</v>
      </c>
      <c r="T31" t="s">
        <v>656</v>
      </c>
      <c r="U31" t="s">
        <v>657</v>
      </c>
      <c r="V31" s="3">
        <v>8.0000000000000002E-3</v>
      </c>
      <c r="W31" s="3">
        <v>7.0000000000000007E-2</v>
      </c>
      <c r="X31" t="s">
        <v>658</v>
      </c>
      <c r="Y31" s="3">
        <v>0.51500000000000001</v>
      </c>
      <c r="Z31" s="3">
        <v>0.34699999999999998</v>
      </c>
      <c r="AA31" s="3">
        <v>0.38900000000000001</v>
      </c>
      <c r="AB31" s="3">
        <v>0.51500000000000001</v>
      </c>
    </row>
    <row r="32" spans="1:28" x14ac:dyDescent="0.25">
      <c r="A32" s="2">
        <v>45723</v>
      </c>
      <c r="B32" t="s">
        <v>85</v>
      </c>
      <c r="C32">
        <v>22.85</v>
      </c>
      <c r="D32" t="s">
        <v>612</v>
      </c>
      <c r="E32" t="s">
        <v>618</v>
      </c>
      <c r="F32" t="s">
        <v>693</v>
      </c>
      <c r="G32" t="s">
        <v>616</v>
      </c>
      <c r="H32" t="s">
        <v>367</v>
      </c>
      <c r="I32" t="s">
        <v>27</v>
      </c>
      <c r="J32" s="4">
        <v>20.98</v>
      </c>
      <c r="K32" s="6">
        <f t="shared" si="2"/>
        <v>-8.1838074398249532</v>
      </c>
      <c r="L32" s="4">
        <v>26.68</v>
      </c>
      <c r="M32" s="4">
        <v>13.59</v>
      </c>
      <c r="N32" t="s">
        <v>659</v>
      </c>
      <c r="O32" s="3">
        <v>0.72</v>
      </c>
      <c r="P32" t="s">
        <v>660</v>
      </c>
      <c r="Q32" t="s">
        <v>611</v>
      </c>
      <c r="R32" s="3">
        <v>2.8000000000000001E-2</v>
      </c>
      <c r="S32" t="s">
        <v>661</v>
      </c>
      <c r="T32" t="s">
        <v>662</v>
      </c>
      <c r="U32" t="s">
        <v>663</v>
      </c>
      <c r="V32" s="3">
        <v>0.12</v>
      </c>
      <c r="W32" s="3">
        <v>4.2000000000000003E-2</v>
      </c>
      <c r="X32" t="s">
        <v>664</v>
      </c>
      <c r="Y32" s="3">
        <v>2.5649999999999999</v>
      </c>
      <c r="Z32" s="3">
        <v>0.14599999999999999</v>
      </c>
      <c r="AA32" s="3">
        <v>7.5999999999999998E-2</v>
      </c>
      <c r="AB32" s="3">
        <v>0.20200000000000001</v>
      </c>
    </row>
    <row r="33" spans="1:28" x14ac:dyDescent="0.25">
      <c r="A33" s="2">
        <v>45716</v>
      </c>
      <c r="B33" t="s">
        <v>83</v>
      </c>
      <c r="C33">
        <v>1.3049999999999999</v>
      </c>
      <c r="D33" t="s">
        <v>612</v>
      </c>
      <c r="E33" t="s">
        <v>618</v>
      </c>
      <c r="F33" t="s">
        <v>693</v>
      </c>
      <c r="G33" t="s">
        <v>616</v>
      </c>
      <c r="H33" t="s">
        <v>368</v>
      </c>
      <c r="I33" t="s">
        <v>651</v>
      </c>
      <c r="J33" s="4">
        <v>0.75</v>
      </c>
      <c r="K33" s="6">
        <f t="shared" si="2"/>
        <v>-42.528735632183903</v>
      </c>
      <c r="L33" s="4">
        <v>1.36</v>
      </c>
      <c r="M33" s="4">
        <v>0.69499999999999995</v>
      </c>
      <c r="N33" t="s">
        <v>665</v>
      </c>
      <c r="O33" s="3">
        <v>1</v>
      </c>
      <c r="P33" t="s">
        <v>666</v>
      </c>
      <c r="R33" s="3">
        <v>0</v>
      </c>
      <c r="S33" t="s">
        <v>667</v>
      </c>
      <c r="T33" t="s">
        <v>668</v>
      </c>
      <c r="U33" t="s">
        <v>669</v>
      </c>
      <c r="V33" s="3">
        <v>1.3620000000000001</v>
      </c>
      <c r="W33" s="3">
        <v>1.2999999999999999E-2</v>
      </c>
      <c r="X33" t="s">
        <v>670</v>
      </c>
      <c r="Y33" s="3">
        <v>-0.03</v>
      </c>
      <c r="Z33" s="3">
        <v>-2.8000000000000001E-2</v>
      </c>
      <c r="AB33" s="3">
        <v>-4.3999999999999997E-2</v>
      </c>
    </row>
    <row r="34" spans="1:28" x14ac:dyDescent="0.25">
      <c r="A34" s="2">
        <v>45716</v>
      </c>
      <c r="B34" t="s">
        <v>80</v>
      </c>
      <c r="C34">
        <v>10.56</v>
      </c>
      <c r="D34" t="s">
        <v>612</v>
      </c>
      <c r="E34" t="s">
        <v>618</v>
      </c>
      <c r="F34" t="s">
        <v>693</v>
      </c>
      <c r="G34" t="s">
        <v>616</v>
      </c>
      <c r="H34" t="s">
        <v>369</v>
      </c>
      <c r="I34" t="s">
        <v>671</v>
      </c>
      <c r="J34" s="4">
        <v>9.81</v>
      </c>
      <c r="K34" s="6">
        <f t="shared" si="2"/>
        <v>-7.1022727272727293</v>
      </c>
      <c r="L34" s="4">
        <v>11.94</v>
      </c>
      <c r="M34" s="4">
        <v>9.5399999999999991</v>
      </c>
      <c r="N34" t="s">
        <v>604</v>
      </c>
      <c r="O34" s="3">
        <v>1</v>
      </c>
      <c r="P34" t="s">
        <v>672</v>
      </c>
      <c r="Q34" t="s">
        <v>673</v>
      </c>
      <c r="R34" s="3">
        <v>5.8999999999999997E-2</v>
      </c>
      <c r="S34" t="s">
        <v>674</v>
      </c>
      <c r="T34" t="s">
        <v>675</v>
      </c>
      <c r="U34" t="s">
        <v>676</v>
      </c>
      <c r="V34" s="3">
        <v>0.53400000000000003</v>
      </c>
      <c r="W34" s="3">
        <v>8.9999999999999993E-3</v>
      </c>
      <c r="X34" t="s">
        <v>677</v>
      </c>
      <c r="Y34" s="3">
        <v>1.6E-2</v>
      </c>
      <c r="Z34" s="3">
        <v>7.4999999999999997E-2</v>
      </c>
      <c r="AB34" s="3">
        <v>4.2999999999999997E-2</v>
      </c>
    </row>
    <row r="35" spans="1:28" x14ac:dyDescent="0.25">
      <c r="A35" s="2">
        <v>45716</v>
      </c>
      <c r="B35" t="s">
        <v>88</v>
      </c>
      <c r="C35">
        <v>14</v>
      </c>
      <c r="D35" t="s">
        <v>612</v>
      </c>
      <c r="E35" t="s">
        <v>618</v>
      </c>
      <c r="F35" t="s">
        <v>693</v>
      </c>
      <c r="G35" t="s">
        <v>616</v>
      </c>
      <c r="H35" t="s">
        <v>370</v>
      </c>
      <c r="I35" t="s">
        <v>678</v>
      </c>
      <c r="J35" s="4">
        <v>15.27</v>
      </c>
      <c r="K35" s="6">
        <f t="shared" si="2"/>
        <v>9.0714285714285747</v>
      </c>
      <c r="L35" s="4">
        <v>17.97</v>
      </c>
      <c r="M35" s="4">
        <v>12.06</v>
      </c>
      <c r="N35" t="s">
        <v>679</v>
      </c>
      <c r="O35" s="3">
        <v>1</v>
      </c>
      <c r="P35" t="s">
        <v>680</v>
      </c>
      <c r="Q35" t="s">
        <v>681</v>
      </c>
      <c r="R35" s="3">
        <v>4.4999999999999998E-2</v>
      </c>
      <c r="S35" t="s">
        <v>682</v>
      </c>
      <c r="T35" t="s">
        <v>648</v>
      </c>
      <c r="U35" t="s">
        <v>683</v>
      </c>
      <c r="V35" s="3">
        <v>0.85599999999999998</v>
      </c>
      <c r="W35" s="3">
        <v>1.0999999999999999E-2</v>
      </c>
      <c r="X35" t="s">
        <v>684</v>
      </c>
      <c r="Y35" s="3">
        <v>5.7000000000000002E-2</v>
      </c>
      <c r="Z35" s="3">
        <v>0.04</v>
      </c>
      <c r="AA35" s="3">
        <v>-7.1999999999999995E-2</v>
      </c>
      <c r="AB35" s="3">
        <v>0.17100000000000001</v>
      </c>
    </row>
    <row r="36" spans="1:28" x14ac:dyDescent="0.25">
      <c r="A36" s="2">
        <v>45709</v>
      </c>
      <c r="B36" t="s">
        <v>81</v>
      </c>
      <c r="C36">
        <v>28.34</v>
      </c>
      <c r="D36" t="s">
        <v>612</v>
      </c>
      <c r="E36" t="s">
        <v>619</v>
      </c>
      <c r="F36" t="s">
        <v>693</v>
      </c>
      <c r="G36" t="s">
        <v>616</v>
      </c>
      <c r="H36" t="s">
        <v>371</v>
      </c>
      <c r="I36" t="s">
        <v>27</v>
      </c>
      <c r="J36" s="4">
        <v>33.99</v>
      </c>
      <c r="K36" s="6">
        <f t="shared" si="2"/>
        <v>19.936485532815816</v>
      </c>
      <c r="L36" s="4">
        <v>36.119999999999997</v>
      </c>
      <c r="M36" s="4">
        <v>27.21</v>
      </c>
      <c r="N36" t="s">
        <v>685</v>
      </c>
      <c r="O36" s="3">
        <v>1</v>
      </c>
      <c r="P36" t="s">
        <v>686</v>
      </c>
      <c r="Q36" t="s">
        <v>687</v>
      </c>
      <c r="R36" s="3">
        <v>2.5000000000000001E-2</v>
      </c>
      <c r="S36" t="s">
        <v>688</v>
      </c>
      <c r="T36" t="s">
        <v>689</v>
      </c>
      <c r="U36" t="s">
        <v>690</v>
      </c>
      <c r="V36" s="3">
        <v>0.56000000000000005</v>
      </c>
      <c r="W36" s="3">
        <v>0.01</v>
      </c>
      <c r="X36" t="s">
        <v>691</v>
      </c>
      <c r="Y36" s="3">
        <v>0.13400000000000001</v>
      </c>
      <c r="Z36" s="3">
        <v>0.47799999999999998</v>
      </c>
      <c r="AA36" s="3">
        <v>0.104</v>
      </c>
      <c r="AB36" s="3">
        <v>7.9000000000000001E-2</v>
      </c>
    </row>
    <row r="38" spans="1:28" x14ac:dyDescent="0.25">
      <c r="E38" s="2"/>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row r="51" spans="3:21" x14ac:dyDescent="0.25">
      <c r="C51" s="4"/>
      <c r="E51" s="4"/>
      <c r="F51" s="4"/>
      <c r="H51" s="3"/>
      <c r="K51" s="3"/>
      <c r="O51" s="3"/>
      <c r="R51" s="3"/>
      <c r="S51" s="3"/>
      <c r="T51" s="3"/>
      <c r="U51" s="3"/>
    </row>
    <row r="52" spans="3:21" x14ac:dyDescent="0.25">
      <c r="C52" s="4"/>
      <c r="E52" s="4"/>
      <c r="F52" s="4"/>
      <c r="H52" s="3"/>
      <c r="K52" s="3"/>
      <c r="O52" s="3"/>
      <c r="P52" s="3"/>
      <c r="R52" s="3"/>
      <c r="S52" s="3"/>
      <c r="T52" s="3"/>
      <c r="U52" s="3"/>
    </row>
    <row r="53" spans="3:21" x14ac:dyDescent="0.25">
      <c r="C53" s="4"/>
      <c r="E53" s="4"/>
      <c r="F53" s="4"/>
      <c r="H53" s="3"/>
      <c r="K53" s="3"/>
      <c r="O53" s="3"/>
      <c r="P53" s="3"/>
      <c r="R53" s="3"/>
      <c r="S53" s="3"/>
      <c r="T53" s="3"/>
      <c r="U5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14.209055340658638</v>
      </c>
      <c r="B2">
        <v>3013.0357999999997</v>
      </c>
      <c r="C2">
        <f>COUNTA(Trades!$A$2:A1048576)</f>
        <v>381</v>
      </c>
      <c r="D2">
        <f>COUNTIF(Trades!$J$2:J895,"&gt;0")</f>
        <v>209</v>
      </c>
      <c r="E2">
        <f>AVERAGEIF(Trades!$J$2:J895,"&gt;0")*100</f>
        <v>45.813274350164171</v>
      </c>
      <c r="F2">
        <f>C2-D2</f>
        <v>172</v>
      </c>
      <c r="G2">
        <f>AVERAGEIF(Trades!$J$2:J895,"&lt;0")*100</f>
        <v>-14.299993205313049</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9"/>
  <sheetViews>
    <sheetView topLeftCell="A1333" workbookViewId="0">
      <selection activeCell="A1380" sqref="A1380"/>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5" x14ac:dyDescent="0.25">
      <c r="A1377" s="2">
        <v>46005</v>
      </c>
      <c r="B1377">
        <v>3079463.5</v>
      </c>
      <c r="C1377" s="4">
        <v>1250485.8782993001</v>
      </c>
      <c r="D1377">
        <f t="shared" ref="D1377" si="34">B1377-MAX(B41:B1377,100000)</f>
        <v>-318106.75</v>
      </c>
      <c r="E1377">
        <f>D1377/MAX($B$2:B1377,100000)</f>
        <v>-9.3627718220101561E-2</v>
      </c>
    </row>
    <row r="1378" spans="1:5" x14ac:dyDescent="0.25">
      <c r="A1378" s="2">
        <v>46006</v>
      </c>
      <c r="B1378">
        <v>3067763</v>
      </c>
      <c r="C1378" s="4">
        <v>1446027.7207193</v>
      </c>
      <c r="D1378">
        <f t="shared" ref="D1378" si="35">B1378-MAX(B42:B1378,100000)</f>
        <v>-329807.25</v>
      </c>
      <c r="E1378">
        <f>D1378/MAX($B$2:B1378,100000)</f>
        <v>-9.7071502789383091E-2</v>
      </c>
    </row>
    <row r="1379" spans="1:5" x14ac:dyDescent="0.25">
      <c r="A1379" s="2">
        <v>46012</v>
      </c>
      <c r="B1379">
        <v>3089656.5</v>
      </c>
      <c r="C1379" s="4">
        <v>1446027.7207193</v>
      </c>
      <c r="D1379">
        <f t="shared" ref="D1379" si="36">B1379-MAX(B43:B1379,100000)</f>
        <v>-307913.75</v>
      </c>
      <c r="E1379">
        <f>D1379/MAX($B$2:B1379,100000)</f>
        <v>-9.0627633085732365E-2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10" sqref="N10"/>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360</v>
      </c>
      <c r="C1" s="1" t="s">
        <v>70</v>
      </c>
      <c r="D1" s="1" t="s">
        <v>66</v>
      </c>
      <c r="E1" s="1" t="s">
        <v>71</v>
      </c>
      <c r="F1" s="1" t="s">
        <v>72</v>
      </c>
      <c r="G1" s="1" t="s">
        <v>73</v>
      </c>
      <c r="H1" s="1" t="s">
        <v>74</v>
      </c>
      <c r="I1" s="1" t="s">
        <v>75</v>
      </c>
      <c r="J1" s="1" t="s">
        <v>76</v>
      </c>
      <c r="K1" s="1" t="s">
        <v>77</v>
      </c>
      <c r="N1" s="21"/>
      <c r="O1" s="21"/>
    </row>
    <row r="2" spans="1:30" x14ac:dyDescent="0.25">
      <c r="A2" t="s">
        <v>96</v>
      </c>
      <c r="B2" t="s">
        <v>217</v>
      </c>
      <c r="C2" t="s">
        <v>358</v>
      </c>
      <c r="D2" s="2">
        <v>45786</v>
      </c>
      <c r="E2">
        <v>3.07</v>
      </c>
      <c r="F2" s="19">
        <v>46010</v>
      </c>
      <c r="G2" s="4">
        <v>3.35</v>
      </c>
      <c r="H2" s="3">
        <f t="shared" ref="H2:H8" si="0">G2/E2-1</f>
        <v>9.1205211726384405E-2</v>
      </c>
      <c r="I2">
        <f t="shared" ref="I2:I8" si="1">K2*E2*J2</f>
        <v>17963.846700000006</v>
      </c>
      <c r="J2" s="3">
        <f t="shared" ref="J2:J8" si="2">H2-0.002</f>
        <v>8.9205211726384404E-2</v>
      </c>
      <c r="K2">
        <v>65595</v>
      </c>
      <c r="M2" s="4"/>
      <c r="N2" s="4"/>
      <c r="O2" s="4"/>
      <c r="Q2" s="17"/>
      <c r="T2" s="3"/>
      <c r="V2" s="3"/>
      <c r="AB2" s="3"/>
      <c r="AC2" s="3"/>
      <c r="AD2" s="3"/>
    </row>
    <row r="3" spans="1:30" x14ac:dyDescent="0.25">
      <c r="A3" t="s">
        <v>97</v>
      </c>
      <c r="B3" t="s">
        <v>218</v>
      </c>
      <c r="C3" t="s">
        <v>358</v>
      </c>
      <c r="D3" s="2">
        <v>45786</v>
      </c>
      <c r="E3">
        <v>7.23</v>
      </c>
      <c r="F3" s="19">
        <v>46010</v>
      </c>
      <c r="G3" s="4">
        <v>9.56</v>
      </c>
      <c r="H3" s="3">
        <f t="shared" si="0"/>
        <v>0.32226832641770398</v>
      </c>
      <c r="I3">
        <f t="shared" si="1"/>
        <v>63672.718919999992</v>
      </c>
      <c r="J3" s="3">
        <f t="shared" si="2"/>
        <v>0.32026832641770397</v>
      </c>
      <c r="K3">
        <v>27498</v>
      </c>
      <c r="M3" s="4"/>
      <c r="N3" s="4"/>
      <c r="O3" s="4"/>
      <c r="Q3" s="17"/>
      <c r="T3" s="3"/>
      <c r="V3" s="3"/>
      <c r="AB3" s="3"/>
      <c r="AC3" s="3"/>
      <c r="AD3" s="3"/>
    </row>
    <row r="4" spans="1:30" x14ac:dyDescent="0.25">
      <c r="A4" t="s">
        <v>98</v>
      </c>
      <c r="B4" t="s">
        <v>220</v>
      </c>
      <c r="C4" t="s">
        <v>358</v>
      </c>
      <c r="D4" s="2">
        <v>45786</v>
      </c>
      <c r="E4">
        <v>3.64</v>
      </c>
      <c r="F4" s="19">
        <v>46010</v>
      </c>
      <c r="G4" s="4">
        <v>4.04</v>
      </c>
      <c r="H4" s="3">
        <f t="shared" si="0"/>
        <v>0.10989010989010994</v>
      </c>
      <c r="I4">
        <f t="shared" si="1"/>
        <v>22032.377440000011</v>
      </c>
      <c r="J4" s="3">
        <f t="shared" si="2"/>
        <v>0.10789010989010994</v>
      </c>
      <c r="K4">
        <v>56102</v>
      </c>
      <c r="M4" s="4"/>
      <c r="N4" s="4"/>
      <c r="O4" s="4"/>
      <c r="Q4" s="17"/>
      <c r="T4" s="3"/>
      <c r="V4" s="3"/>
      <c r="AB4" s="3"/>
      <c r="AC4" s="3"/>
      <c r="AD4" s="3"/>
    </row>
    <row r="5" spans="1:30" x14ac:dyDescent="0.25">
      <c r="A5" t="s">
        <v>51</v>
      </c>
      <c r="B5" t="s">
        <v>222</v>
      </c>
      <c r="C5" t="s">
        <v>358</v>
      </c>
      <c r="D5" s="2">
        <v>45786</v>
      </c>
      <c r="E5">
        <v>5.18</v>
      </c>
      <c r="F5" s="19">
        <v>46010</v>
      </c>
      <c r="G5" s="4">
        <v>4.82</v>
      </c>
      <c r="H5" s="3">
        <f t="shared" si="0"/>
        <v>-6.9498069498069359E-2</v>
      </c>
      <c r="I5">
        <f t="shared" si="1"/>
        <v>-14218.120399999971</v>
      </c>
      <c r="J5" s="3">
        <f t="shared" si="2"/>
        <v>-7.1498069498069361E-2</v>
      </c>
      <c r="K5">
        <v>38390</v>
      </c>
      <c r="M5" s="4"/>
      <c r="N5" s="4"/>
      <c r="O5" s="4"/>
      <c r="Q5" s="17"/>
      <c r="T5" s="3"/>
      <c r="V5" s="3"/>
      <c r="AB5" s="3"/>
      <c r="AC5" s="3"/>
      <c r="AD5" s="3"/>
    </row>
    <row r="6" spans="1:30" x14ac:dyDescent="0.25">
      <c r="A6" t="s">
        <v>36</v>
      </c>
      <c r="B6" t="s">
        <v>35</v>
      </c>
      <c r="C6" t="s">
        <v>358</v>
      </c>
      <c r="D6" s="2">
        <v>45786</v>
      </c>
      <c r="E6">
        <v>4.3499999999999996</v>
      </c>
      <c r="F6" s="19">
        <v>46010</v>
      </c>
      <c r="G6" s="4">
        <v>5.86</v>
      </c>
      <c r="H6" s="3">
        <f t="shared" si="0"/>
        <v>0.34712643678160937</v>
      </c>
      <c r="I6">
        <f t="shared" si="1"/>
        <v>68657.451600000029</v>
      </c>
      <c r="J6" s="3">
        <f t="shared" si="2"/>
        <v>0.34512643678160937</v>
      </c>
      <c r="K6">
        <v>45732</v>
      </c>
      <c r="M6" s="4"/>
      <c r="N6" s="4"/>
      <c r="O6" s="4"/>
      <c r="Q6" s="17"/>
      <c r="T6" s="3"/>
      <c r="V6" s="3"/>
      <c r="AB6" s="3"/>
      <c r="AC6" s="3"/>
      <c r="AD6" s="3"/>
    </row>
    <row r="7" spans="1:30" x14ac:dyDescent="0.25">
      <c r="A7" t="s">
        <v>33</v>
      </c>
      <c r="B7" t="s">
        <v>32</v>
      </c>
      <c r="C7" t="s">
        <v>358</v>
      </c>
      <c r="D7" s="2">
        <v>45709</v>
      </c>
      <c r="E7">
        <v>12.2315</v>
      </c>
      <c r="F7" s="19">
        <v>46010</v>
      </c>
      <c r="G7" s="4">
        <v>13.42</v>
      </c>
      <c r="H7" s="3">
        <f t="shared" si="0"/>
        <v>9.7167150390385482E-2</v>
      </c>
      <c r="I7">
        <f t="shared" si="1"/>
        <v>19130.948095</v>
      </c>
      <c r="J7" s="3">
        <f t="shared" si="2"/>
        <v>9.516715039038548E-2</v>
      </c>
      <c r="K7">
        <v>16435</v>
      </c>
      <c r="M7" s="4"/>
      <c r="N7" s="4"/>
      <c r="O7" s="4"/>
      <c r="Q7" s="17"/>
      <c r="T7" s="3"/>
      <c r="V7" s="3"/>
      <c r="AB7" s="3"/>
      <c r="AC7" s="3"/>
      <c r="AD7" s="3"/>
    </row>
    <row r="8" spans="1:30" x14ac:dyDescent="0.25">
      <c r="A8" t="s">
        <v>22</v>
      </c>
      <c r="B8" t="s">
        <v>21</v>
      </c>
      <c r="C8" t="s">
        <v>358</v>
      </c>
      <c r="D8" s="2">
        <v>45128</v>
      </c>
      <c r="E8">
        <v>4.2682180000000001</v>
      </c>
      <c r="F8" s="19">
        <v>46010</v>
      </c>
      <c r="G8" s="4">
        <v>7.94</v>
      </c>
      <c r="H8" s="3">
        <f t="shared" si="0"/>
        <v>0.86026112068315164</v>
      </c>
      <c r="I8">
        <f t="shared" si="1"/>
        <v>120308.31081288801</v>
      </c>
      <c r="J8" s="3">
        <f t="shared" si="2"/>
        <v>0.85826112068315163</v>
      </c>
      <c r="K8">
        <v>32842</v>
      </c>
      <c r="M8" s="4"/>
      <c r="N8" s="4"/>
      <c r="O8" s="4"/>
      <c r="Q8" s="17"/>
      <c r="T8" s="3"/>
      <c r="V8" s="3"/>
      <c r="AB8" s="3"/>
      <c r="AC8" s="3"/>
      <c r="AD8" s="3"/>
    </row>
    <row r="9" spans="1:30" x14ac:dyDescent="0.25">
      <c r="A9" t="s">
        <v>87</v>
      </c>
      <c r="B9" t="s">
        <v>223</v>
      </c>
      <c r="C9" t="s">
        <v>359</v>
      </c>
      <c r="D9" s="2">
        <v>44876</v>
      </c>
      <c r="E9">
        <v>25.921890000000001</v>
      </c>
      <c r="F9" s="19">
        <v>46006</v>
      </c>
      <c r="G9" s="4">
        <v>35.369999999999997</v>
      </c>
      <c r="H9" s="3">
        <f t="shared" ref="H9" si="3">G9/E9-1</f>
        <v>0.3644838397200203</v>
      </c>
      <c r="I9">
        <f t="shared" ref="I9" si="4">K9*E9*J9</f>
        <v>51998.937261479987</v>
      </c>
      <c r="J9" s="3">
        <f t="shared" ref="J9" si="5">H9-0.002</f>
        <v>0.3624838397200203</v>
      </c>
      <c r="K9">
        <v>5534</v>
      </c>
      <c r="L9" s="4"/>
      <c r="M9" s="4"/>
      <c r="N9" s="4"/>
      <c r="O9" s="4"/>
      <c r="Q9" s="17"/>
      <c r="T9" s="3"/>
      <c r="V9" s="3"/>
      <c r="AB9" s="3"/>
      <c r="AC9" s="3"/>
      <c r="AD9" s="3"/>
    </row>
    <row r="10" spans="1:30" x14ac:dyDescent="0.25">
      <c r="A10" t="s">
        <v>41</v>
      </c>
      <c r="B10" t="s">
        <v>40</v>
      </c>
      <c r="C10" t="s">
        <v>359</v>
      </c>
      <c r="D10" s="2">
        <v>45786</v>
      </c>
      <c r="E10">
        <v>2.2999999999999998</v>
      </c>
      <c r="F10" s="19">
        <v>45999</v>
      </c>
      <c r="G10" s="4">
        <v>2.0299999999999998</v>
      </c>
      <c r="H10" s="3">
        <f t="shared" ref="H10" si="6">G10/E10-1</f>
        <v>-0.11739130434782608</v>
      </c>
      <c r="I10">
        <f t="shared" ref="I10" si="7">K10*E10*J10</f>
        <v>-24237.568999999996</v>
      </c>
      <c r="J10" s="3">
        <f t="shared" ref="J10" si="8">H10-0.002</f>
        <v>-0.11939130434782608</v>
      </c>
      <c r="K10">
        <v>88265</v>
      </c>
      <c r="L10" s="4"/>
      <c r="M10" s="4"/>
      <c r="N10" s="4"/>
      <c r="O10" s="4"/>
      <c r="Q10" s="17"/>
      <c r="T10" s="3"/>
      <c r="V10" s="3"/>
      <c r="AB10" s="3"/>
      <c r="AC10" s="3"/>
      <c r="AD10" s="3"/>
    </row>
    <row r="11" spans="1:30" x14ac:dyDescent="0.25">
      <c r="A11" t="s">
        <v>26</v>
      </c>
      <c r="B11" t="s">
        <v>25</v>
      </c>
      <c r="C11" t="s">
        <v>359</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373</v>
      </c>
      <c r="C12" t="s">
        <v>359</v>
      </c>
      <c r="D12" s="2">
        <v>45894</v>
      </c>
      <c r="E12">
        <v>46</v>
      </c>
      <c r="F12" s="19">
        <v>45975</v>
      </c>
      <c r="G12" s="4">
        <v>36.299999999999997</v>
      </c>
      <c r="H12" s="3">
        <f t="shared" ref="H12" si="9">G12/E12-1</f>
        <v>-0.21086956521739142</v>
      </c>
      <c r="I12">
        <f t="shared" ref="I12" si="10">K12*E12*J12</f>
        <v>-48930.624000000025</v>
      </c>
      <c r="J12" s="3">
        <f t="shared" ref="J12" si="11">H12-0.002</f>
        <v>-0.21286956521739142</v>
      </c>
      <c r="K12">
        <v>4997</v>
      </c>
      <c r="M12" s="4"/>
      <c r="N12" s="4"/>
      <c r="O12" s="4"/>
      <c r="Q12" s="17"/>
      <c r="T12" s="3"/>
      <c r="V12" s="3"/>
      <c r="AB12" s="3"/>
      <c r="AC12" s="3"/>
      <c r="AD12" s="3"/>
    </row>
    <row r="13" spans="1:30" x14ac:dyDescent="0.25">
      <c r="A13" t="s">
        <v>94</v>
      </c>
      <c r="B13" t="s">
        <v>214</v>
      </c>
      <c r="C13" t="s">
        <v>359</v>
      </c>
      <c r="D13" s="2">
        <v>45786</v>
      </c>
      <c r="E13">
        <v>169.28</v>
      </c>
      <c r="F13" s="19">
        <v>45975</v>
      </c>
      <c r="G13" s="4">
        <v>156.88</v>
      </c>
      <c r="H13" s="3">
        <f t="shared" ref="H13" si="12">G13/E13-1</f>
        <v>-7.3251417769376159E-2</v>
      </c>
      <c r="I13">
        <f t="shared" ref="I13" si="13">K13*E13*J13</f>
        <v>-14955.069439999996</v>
      </c>
      <c r="J13" s="3">
        <f t="shared" ref="J13" si="14">H13-0.002</f>
        <v>-7.5251417769376161E-2</v>
      </c>
      <c r="K13">
        <v>1174</v>
      </c>
      <c r="M13" s="4"/>
      <c r="N13" s="4"/>
      <c r="O13" s="4"/>
      <c r="Q13" s="17"/>
      <c r="T13" s="3"/>
      <c r="V13" s="3"/>
      <c r="AB13" s="3"/>
      <c r="AC13" s="3"/>
      <c r="AD13" s="3"/>
    </row>
    <row r="14" spans="1:30" x14ac:dyDescent="0.25">
      <c r="A14" t="s">
        <v>30</v>
      </c>
      <c r="B14" t="s">
        <v>29</v>
      </c>
      <c r="C14" t="s">
        <v>359</v>
      </c>
      <c r="D14" s="2">
        <v>44785</v>
      </c>
      <c r="E14">
        <v>4.9811699999999997</v>
      </c>
      <c r="F14" s="19">
        <v>45971</v>
      </c>
      <c r="G14" s="4">
        <v>5.31</v>
      </c>
      <c r="H14" s="3">
        <f t="shared" ref="H14:H16" si="15">G14/E14-1</f>
        <v>6.6014611025120518E-2</v>
      </c>
      <c r="I14">
        <f t="shared" ref="I14:I16" si="16">K14*E14*J14</f>
        <v>9561.5656527599858</v>
      </c>
      <c r="J14" s="3">
        <f t="shared" ref="J14:J16" si="17">H14-0.002</f>
        <v>6.4014611025120516E-2</v>
      </c>
      <c r="K14">
        <v>29986</v>
      </c>
      <c r="M14" s="4"/>
      <c r="O14" s="4"/>
      <c r="Q14" s="17"/>
      <c r="T14" s="3"/>
      <c r="V14" s="3"/>
      <c r="AB14" s="3"/>
      <c r="AC14" s="3"/>
      <c r="AD14" s="3"/>
    </row>
    <row r="15" spans="1:30" x14ac:dyDescent="0.25">
      <c r="A15" s="11" t="s">
        <v>764</v>
      </c>
      <c r="B15" s="11" t="s">
        <v>765</v>
      </c>
      <c r="C15" t="s">
        <v>359</v>
      </c>
      <c r="D15" s="19">
        <v>45929</v>
      </c>
      <c r="E15" s="11">
        <v>7.63</v>
      </c>
      <c r="F15" s="19">
        <v>45971</v>
      </c>
      <c r="G15" s="4">
        <v>5.69</v>
      </c>
      <c r="H15" s="3">
        <f t="shared" si="15"/>
        <v>-0.25425950196592395</v>
      </c>
      <c r="I15">
        <f t="shared" si="16"/>
        <v>-55468.770939999995</v>
      </c>
      <c r="J15" s="3">
        <f t="shared" si="17"/>
        <v>-0.25625950196592395</v>
      </c>
      <c r="K15" s="11">
        <v>28369</v>
      </c>
      <c r="M15" s="4"/>
      <c r="O15" s="4"/>
      <c r="Q15" s="17"/>
      <c r="T15" s="3"/>
      <c r="V15" s="3"/>
      <c r="AB15" s="3"/>
      <c r="AC15" s="3"/>
      <c r="AD15" s="3"/>
    </row>
    <row r="16" spans="1:30" x14ac:dyDescent="0.25">
      <c r="A16" t="s">
        <v>90</v>
      </c>
      <c r="B16" t="s">
        <v>372</v>
      </c>
      <c r="C16" t="s">
        <v>359</v>
      </c>
      <c r="D16" s="2">
        <v>45880</v>
      </c>
      <c r="E16">
        <v>3.28</v>
      </c>
      <c r="F16" s="19">
        <v>45971</v>
      </c>
      <c r="G16" s="4">
        <v>3.41</v>
      </c>
      <c r="H16" s="3">
        <f t="shared" si="15"/>
        <v>3.9634146341463561E-2</v>
      </c>
      <c r="I16">
        <f t="shared" si="16"/>
        <v>8059.6444800000299</v>
      </c>
      <c r="J16" s="3">
        <f t="shared" si="17"/>
        <v>3.7634146341463559E-2</v>
      </c>
      <c r="K16">
        <v>65292</v>
      </c>
      <c r="M16" s="4"/>
      <c r="O16" s="4"/>
      <c r="Q16" s="17"/>
      <c r="T16" s="3"/>
      <c r="V16" s="3"/>
      <c r="AB16" s="3"/>
      <c r="AC16" s="3"/>
      <c r="AD16" s="3"/>
    </row>
    <row r="17" spans="1:30" x14ac:dyDescent="0.25">
      <c r="A17" t="s">
        <v>95</v>
      </c>
      <c r="B17" t="s">
        <v>215</v>
      </c>
      <c r="C17" t="s">
        <v>359</v>
      </c>
      <c r="D17" s="2">
        <v>45786</v>
      </c>
      <c r="E17">
        <v>32.71</v>
      </c>
      <c r="F17" s="19">
        <v>45929</v>
      </c>
      <c r="G17" s="4">
        <v>26.85</v>
      </c>
      <c r="H17" s="3">
        <f t="shared" ref="H17" si="18">G17/E17-1</f>
        <v>-0.17915010700091716</v>
      </c>
      <c r="I17">
        <f t="shared" ref="I17" si="19">K17*E17*J17</f>
        <v>-36002.851920000001</v>
      </c>
      <c r="J17" s="3">
        <f t="shared" ref="J17" si="20">H17-0.002</f>
        <v>-0.18115010700091716</v>
      </c>
      <c r="K17">
        <v>6076</v>
      </c>
      <c r="O17" s="4"/>
      <c r="Q17" s="17"/>
      <c r="T17" s="3"/>
      <c r="V17" s="3"/>
      <c r="AB17" s="3"/>
      <c r="AC17" s="3"/>
      <c r="AD17" s="3"/>
    </row>
    <row r="18" spans="1:30" x14ac:dyDescent="0.25">
      <c r="A18" t="s">
        <v>46</v>
      </c>
      <c r="B18" t="s">
        <v>45</v>
      </c>
      <c r="C18" t="s">
        <v>359</v>
      </c>
      <c r="D18" s="2">
        <v>45786</v>
      </c>
      <c r="E18">
        <v>3.5</v>
      </c>
      <c r="F18" s="2">
        <v>45884</v>
      </c>
      <c r="G18" s="4">
        <v>2.86</v>
      </c>
      <c r="H18" s="3">
        <f t="shared" ref="H18" si="21">G18/E18-1</f>
        <v>-0.18285714285714294</v>
      </c>
      <c r="I18">
        <f t="shared" ref="I18" si="22">K18*E18*J18</f>
        <v>-36765.775000000016</v>
      </c>
      <c r="J18" s="3">
        <f t="shared" ref="J18" si="23">H18-0.002</f>
        <v>-0.18485714285714294</v>
      </c>
      <c r="K18">
        <v>56825</v>
      </c>
      <c r="Q18" s="17"/>
      <c r="T18" s="3"/>
      <c r="V18" s="3"/>
      <c r="AB18" s="3"/>
      <c r="AC18" s="3"/>
      <c r="AD18" s="3"/>
    </row>
    <row r="19" spans="1:30" x14ac:dyDescent="0.25">
      <c r="A19" t="s">
        <v>93</v>
      </c>
      <c r="B19" t="s">
        <v>209</v>
      </c>
      <c r="C19" t="s">
        <v>359</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240</v>
      </c>
      <c r="B20" t="s">
        <v>361</v>
      </c>
      <c r="C20" t="s">
        <v>359</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362</v>
      </c>
      <c r="C21" t="s">
        <v>359</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363</v>
      </c>
      <c r="C22" t="s">
        <v>359</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364</v>
      </c>
      <c r="C23" t="s">
        <v>359</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365</v>
      </c>
      <c r="C24" t="s">
        <v>359</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366</v>
      </c>
      <c r="C25" t="s">
        <v>359</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367</v>
      </c>
      <c r="C26" t="s">
        <v>359</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368</v>
      </c>
      <c r="C27" t="s">
        <v>359</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369</v>
      </c>
      <c r="C28" t="s">
        <v>359</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370</v>
      </c>
      <c r="C29" t="s">
        <v>359</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371</v>
      </c>
      <c r="C30" t="s">
        <v>359</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372</v>
      </c>
      <c r="C31" t="s">
        <v>359</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373</v>
      </c>
      <c r="C32" t="s">
        <v>359</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374</v>
      </c>
      <c r="C33" t="s">
        <v>359</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366</v>
      </c>
      <c r="C34" t="s">
        <v>359</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375</v>
      </c>
      <c r="C35" t="s">
        <v>359</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376</v>
      </c>
      <c r="C36" t="s">
        <v>359</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377</v>
      </c>
      <c r="C37" t="s">
        <v>359</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378</v>
      </c>
      <c r="C38" t="s">
        <v>359</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379</v>
      </c>
      <c r="C39" t="s">
        <v>359</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380</v>
      </c>
      <c r="C40" t="s">
        <v>359</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381</v>
      </c>
      <c r="C41" t="s">
        <v>359</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382</v>
      </c>
      <c r="C42" t="s">
        <v>359</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383</v>
      </c>
      <c r="C43" t="s">
        <v>359</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384</v>
      </c>
      <c r="C44" t="s">
        <v>359</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385</v>
      </c>
      <c r="C45" t="s">
        <v>359</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386</v>
      </c>
      <c r="C46" t="s">
        <v>359</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387</v>
      </c>
      <c r="C47" t="s">
        <v>359</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388</v>
      </c>
      <c r="C48" t="s">
        <v>359</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387</v>
      </c>
      <c r="C49" t="s">
        <v>359</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389</v>
      </c>
      <c r="C50" t="s">
        <v>359</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241</v>
      </c>
      <c r="B51" t="s">
        <v>390</v>
      </c>
      <c r="C51" t="s">
        <v>359</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391</v>
      </c>
      <c r="C52" t="s">
        <v>359</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392</v>
      </c>
      <c r="C53" t="s">
        <v>359</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383</v>
      </c>
      <c r="C54" t="s">
        <v>359</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387</v>
      </c>
      <c r="C55" t="s">
        <v>359</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393</v>
      </c>
      <c r="C56" t="s">
        <v>359</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359</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394</v>
      </c>
      <c r="C58" t="s">
        <v>359</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395</v>
      </c>
      <c r="C59" t="s">
        <v>359</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396</v>
      </c>
      <c r="C60" t="s">
        <v>359</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397</v>
      </c>
      <c r="C61" t="s">
        <v>359</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367</v>
      </c>
      <c r="C62" t="s">
        <v>359</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398</v>
      </c>
      <c r="C63" t="s">
        <v>359</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384</v>
      </c>
      <c r="C64" t="s">
        <v>359</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399</v>
      </c>
      <c r="C65" t="s">
        <v>359</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400</v>
      </c>
      <c r="C66" t="s">
        <v>359</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242</v>
      </c>
      <c r="B67" t="s">
        <v>401</v>
      </c>
      <c r="C67" t="s">
        <v>359</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395</v>
      </c>
      <c r="C68" t="s">
        <v>359</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386</v>
      </c>
      <c r="C69" t="s">
        <v>359</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402</v>
      </c>
      <c r="C70" t="s">
        <v>359</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243</v>
      </c>
      <c r="B71" t="s">
        <v>403</v>
      </c>
      <c r="C71" t="s">
        <v>359</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404</v>
      </c>
      <c r="C72" t="s">
        <v>359</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405</v>
      </c>
      <c r="C73" t="s">
        <v>359</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406</v>
      </c>
      <c r="C74" t="s">
        <v>359</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407</v>
      </c>
      <c r="C75" t="s">
        <v>359</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408</v>
      </c>
      <c r="C76" t="s">
        <v>359</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385</v>
      </c>
      <c r="C77" t="s">
        <v>359</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409</v>
      </c>
      <c r="C78" t="s">
        <v>359</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244</v>
      </c>
      <c r="B79" t="s">
        <v>410</v>
      </c>
      <c r="C79" t="s">
        <v>359</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245</v>
      </c>
      <c r="B80" t="s">
        <v>411</v>
      </c>
      <c r="C80" t="s">
        <v>359</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412</v>
      </c>
      <c r="C81" t="s">
        <v>359</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413</v>
      </c>
      <c r="C82" t="s">
        <v>359</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371</v>
      </c>
      <c r="C83" t="s">
        <v>359</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404</v>
      </c>
      <c r="C84" t="s">
        <v>359</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246</v>
      </c>
      <c r="B85" t="s">
        <v>414</v>
      </c>
      <c r="C85" t="s">
        <v>359</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415</v>
      </c>
      <c r="C86" t="s">
        <v>359</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416</v>
      </c>
      <c r="C87" t="s">
        <v>359</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402</v>
      </c>
      <c r="C88" t="s">
        <v>359</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247</v>
      </c>
      <c r="B89" t="s">
        <v>417</v>
      </c>
      <c r="C89" t="s">
        <v>359</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418</v>
      </c>
      <c r="C90" t="s">
        <v>359</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248</v>
      </c>
      <c r="B91" t="s">
        <v>419</v>
      </c>
      <c r="C91" t="s">
        <v>359</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420</v>
      </c>
      <c r="C92" t="s">
        <v>359</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421</v>
      </c>
      <c r="C93" t="s">
        <v>359</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398</v>
      </c>
      <c r="C94" t="s">
        <v>359</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396</v>
      </c>
      <c r="C95" t="s">
        <v>359</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359</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391</v>
      </c>
      <c r="C97" t="s">
        <v>359</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412</v>
      </c>
      <c r="C98" t="s">
        <v>359</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422</v>
      </c>
      <c r="C99" t="s">
        <v>359</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423</v>
      </c>
      <c r="C100" t="s">
        <v>359</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424</v>
      </c>
      <c r="C101" t="s">
        <v>359</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421</v>
      </c>
      <c r="C102" t="s">
        <v>359</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249</v>
      </c>
      <c r="B103" t="s">
        <v>425</v>
      </c>
      <c r="C103" t="s">
        <v>359</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250</v>
      </c>
      <c r="B104" t="s">
        <v>426</v>
      </c>
      <c r="C104" t="s">
        <v>359</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427</v>
      </c>
      <c r="C105" t="s">
        <v>359</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428</v>
      </c>
      <c r="C106" t="s">
        <v>359</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429</v>
      </c>
      <c r="C107" t="s">
        <v>359</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430</v>
      </c>
      <c r="C108" t="s">
        <v>359</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391</v>
      </c>
      <c r="C109" t="s">
        <v>359</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251</v>
      </c>
      <c r="B110" t="s">
        <v>431</v>
      </c>
      <c r="C110" t="s">
        <v>359</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432</v>
      </c>
      <c r="C111" t="s">
        <v>359</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424</v>
      </c>
      <c r="C112" t="s">
        <v>359</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433</v>
      </c>
      <c r="C113" t="s">
        <v>359</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252</v>
      </c>
      <c r="B114" t="s">
        <v>434</v>
      </c>
      <c r="C114" t="s">
        <v>359</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253</v>
      </c>
      <c r="B115" t="s">
        <v>400</v>
      </c>
      <c r="C115" t="s">
        <v>359</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376</v>
      </c>
      <c r="C116" t="s">
        <v>359</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424</v>
      </c>
      <c r="C117" t="s">
        <v>359</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435</v>
      </c>
      <c r="C118" t="s">
        <v>359</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254</v>
      </c>
      <c r="B119" t="s">
        <v>436</v>
      </c>
      <c r="C119" t="s">
        <v>359</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379</v>
      </c>
      <c r="C120" t="s">
        <v>359</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437</v>
      </c>
      <c r="C121" t="s">
        <v>359</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385</v>
      </c>
      <c r="C122" t="s">
        <v>359</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362</v>
      </c>
      <c r="C123" t="s">
        <v>359</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252</v>
      </c>
      <c r="B124" t="s">
        <v>434</v>
      </c>
      <c r="C124" t="s">
        <v>359</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438</v>
      </c>
      <c r="C125" t="s">
        <v>359</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366</v>
      </c>
      <c r="C126" t="s">
        <v>359</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439</v>
      </c>
      <c r="C127" t="s">
        <v>359</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440</v>
      </c>
      <c r="C128" t="s">
        <v>359</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430</v>
      </c>
      <c r="C129" t="s">
        <v>359</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250</v>
      </c>
      <c r="B130" t="s">
        <v>426</v>
      </c>
      <c r="C130" t="s">
        <v>359</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247</v>
      </c>
      <c r="B131" t="s">
        <v>417</v>
      </c>
      <c r="C131" t="s">
        <v>359</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384</v>
      </c>
      <c r="C132" t="s">
        <v>359</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359</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441</v>
      </c>
      <c r="C134" t="s">
        <v>359</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255</v>
      </c>
      <c r="B135" t="s">
        <v>442</v>
      </c>
      <c r="C135" t="s">
        <v>359</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443</v>
      </c>
      <c r="C136" t="s">
        <v>359</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444</v>
      </c>
      <c r="C137" t="s">
        <v>359</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445</v>
      </c>
      <c r="C138" t="s">
        <v>359</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433</v>
      </c>
      <c r="C139" t="s">
        <v>359</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256</v>
      </c>
      <c r="B140" t="s">
        <v>446</v>
      </c>
      <c r="C140" t="s">
        <v>359</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257</v>
      </c>
      <c r="B141" t="s">
        <v>447</v>
      </c>
      <c r="C141" t="s">
        <v>359</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448</v>
      </c>
      <c r="C142" t="s">
        <v>359</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449</v>
      </c>
      <c r="C143" t="s">
        <v>359</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370</v>
      </c>
      <c r="C144" t="s">
        <v>359</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359</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389</v>
      </c>
      <c r="C146" t="s">
        <v>359</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362</v>
      </c>
      <c r="C147" t="s">
        <v>359</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258</v>
      </c>
      <c r="B148" t="s">
        <v>450</v>
      </c>
      <c r="C148" t="s">
        <v>359</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259</v>
      </c>
      <c r="B149" t="s">
        <v>451</v>
      </c>
      <c r="C149" t="s">
        <v>359</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379</v>
      </c>
      <c r="C150" t="s">
        <v>359</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422</v>
      </c>
      <c r="C151" t="s">
        <v>359</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452</v>
      </c>
      <c r="C152" t="s">
        <v>359</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406</v>
      </c>
      <c r="C153" t="s">
        <v>359</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453</v>
      </c>
      <c r="C154" t="s">
        <v>359</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391</v>
      </c>
      <c r="C155" t="s">
        <v>359</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445</v>
      </c>
      <c r="C156" t="s">
        <v>359</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359</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260</v>
      </c>
      <c r="B158" t="s">
        <v>454</v>
      </c>
      <c r="C158" t="s">
        <v>359</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261</v>
      </c>
      <c r="B159" t="s">
        <v>455</v>
      </c>
      <c r="C159" t="s">
        <v>359</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456</v>
      </c>
      <c r="C160" t="s">
        <v>359</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359</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457</v>
      </c>
      <c r="C162" t="s">
        <v>359</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406</v>
      </c>
      <c r="C163" t="s">
        <v>359</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458</v>
      </c>
      <c r="C164" t="s">
        <v>359</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262</v>
      </c>
      <c r="B165" t="s">
        <v>459</v>
      </c>
      <c r="C165" t="s">
        <v>359</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460</v>
      </c>
      <c r="C166" t="s">
        <v>359</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448</v>
      </c>
      <c r="C167" t="s">
        <v>359</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362</v>
      </c>
      <c r="C168" t="s">
        <v>359</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241</v>
      </c>
      <c r="B169" t="s">
        <v>390</v>
      </c>
      <c r="C169" t="s">
        <v>359</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382</v>
      </c>
      <c r="C170" t="s">
        <v>359</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395</v>
      </c>
      <c r="C171" t="s">
        <v>359</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461</v>
      </c>
      <c r="C172" t="s">
        <v>359</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462</v>
      </c>
      <c r="C173" t="s">
        <v>359</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463</v>
      </c>
      <c r="C174" t="s">
        <v>359</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263</v>
      </c>
      <c r="B175" t="s">
        <v>464</v>
      </c>
      <c r="C175" t="s">
        <v>359</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458</v>
      </c>
      <c r="C176" t="s">
        <v>359</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359</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465</v>
      </c>
      <c r="C178" t="s">
        <v>359</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264</v>
      </c>
      <c r="B179" t="s">
        <v>466</v>
      </c>
      <c r="C179" t="s">
        <v>359</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265</v>
      </c>
      <c r="B180" t="s">
        <v>467</v>
      </c>
      <c r="C180" t="s">
        <v>359</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409</v>
      </c>
      <c r="C181" t="s">
        <v>359</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468</v>
      </c>
      <c r="C182" t="s">
        <v>359</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469</v>
      </c>
      <c r="C183" t="s">
        <v>359</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362</v>
      </c>
      <c r="C184" t="s">
        <v>359</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443</v>
      </c>
      <c r="C185" t="s">
        <v>359</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470</v>
      </c>
      <c r="C186" t="s">
        <v>359</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262</v>
      </c>
      <c r="B187" t="s">
        <v>459</v>
      </c>
      <c r="C187" t="s">
        <v>359</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266</v>
      </c>
      <c r="B188" t="s">
        <v>471</v>
      </c>
      <c r="C188" t="s">
        <v>359</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363</v>
      </c>
      <c r="C189" t="s">
        <v>359</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472</v>
      </c>
      <c r="C190" t="s">
        <v>359</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267</v>
      </c>
      <c r="B191" t="s">
        <v>473</v>
      </c>
      <c r="C191" t="s">
        <v>359</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268</v>
      </c>
      <c r="B192" t="s">
        <v>474</v>
      </c>
      <c r="C192" t="s">
        <v>359</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374</v>
      </c>
      <c r="C193" t="s">
        <v>359</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257</v>
      </c>
      <c r="B194" t="s">
        <v>447</v>
      </c>
      <c r="C194" t="s">
        <v>359</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475</v>
      </c>
      <c r="C195" t="s">
        <v>359</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269</v>
      </c>
      <c r="B196" t="s">
        <v>476</v>
      </c>
      <c r="C196" t="s">
        <v>359</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270</v>
      </c>
      <c r="B197" t="s">
        <v>477</v>
      </c>
      <c r="C197" t="s">
        <v>359</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478</v>
      </c>
      <c r="C198" t="s">
        <v>359</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479</v>
      </c>
      <c r="C199" t="s">
        <v>359</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271</v>
      </c>
      <c r="B200" t="s">
        <v>480</v>
      </c>
      <c r="C200" t="s">
        <v>359</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272</v>
      </c>
      <c r="B201" t="s">
        <v>481</v>
      </c>
      <c r="C201" t="s">
        <v>359</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482</v>
      </c>
      <c r="C202" t="s">
        <v>359</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418</v>
      </c>
      <c r="C203" t="s">
        <v>359</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457</v>
      </c>
      <c r="C204" t="s">
        <v>359</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248</v>
      </c>
      <c r="B205" t="s">
        <v>419</v>
      </c>
      <c r="C205" t="s">
        <v>359</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398</v>
      </c>
      <c r="C206" t="s">
        <v>359</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273</v>
      </c>
      <c r="B207" t="s">
        <v>483</v>
      </c>
      <c r="C207" t="s">
        <v>359</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395</v>
      </c>
      <c r="C208" t="s">
        <v>359</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274</v>
      </c>
      <c r="B209" t="s">
        <v>484</v>
      </c>
      <c r="C209" t="s">
        <v>359</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485</v>
      </c>
      <c r="C210" t="s">
        <v>359</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275</v>
      </c>
      <c r="B211" t="s">
        <v>486</v>
      </c>
      <c r="C211" t="s">
        <v>359</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472</v>
      </c>
      <c r="C212" t="s">
        <v>359</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276</v>
      </c>
      <c r="B213" t="s">
        <v>487</v>
      </c>
      <c r="C213" t="s">
        <v>359</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277</v>
      </c>
      <c r="B214" t="s">
        <v>488</v>
      </c>
      <c r="C214" t="s">
        <v>359</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270</v>
      </c>
      <c r="B215" t="s">
        <v>477</v>
      </c>
      <c r="C215" t="s">
        <v>359</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278</v>
      </c>
      <c r="B216" t="s">
        <v>489</v>
      </c>
      <c r="C216" t="s">
        <v>359</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279</v>
      </c>
      <c r="B217" t="s">
        <v>490</v>
      </c>
      <c r="C217" t="s">
        <v>359</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280</v>
      </c>
      <c r="B218" t="s">
        <v>491</v>
      </c>
      <c r="C218" t="s">
        <v>359</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492</v>
      </c>
      <c r="C219" t="s">
        <v>359</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281</v>
      </c>
      <c r="B220" t="s">
        <v>493</v>
      </c>
      <c r="C220" t="s">
        <v>359</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494</v>
      </c>
      <c r="C221" t="s">
        <v>359</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495</v>
      </c>
      <c r="C222" t="s">
        <v>359</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385</v>
      </c>
      <c r="C223" t="s">
        <v>359</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282</v>
      </c>
      <c r="B224" t="s">
        <v>496</v>
      </c>
      <c r="C224" t="s">
        <v>359</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283</v>
      </c>
      <c r="B225" t="s">
        <v>497</v>
      </c>
      <c r="C225" t="s">
        <v>359</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443</v>
      </c>
      <c r="C226" t="s">
        <v>359</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498</v>
      </c>
      <c r="C227" t="s">
        <v>359</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460</v>
      </c>
      <c r="C228" t="s">
        <v>359</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499</v>
      </c>
      <c r="C229" t="s">
        <v>359</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500</v>
      </c>
      <c r="C230" t="s">
        <v>359</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284</v>
      </c>
      <c r="B231" t="s">
        <v>501</v>
      </c>
      <c r="C231" t="s">
        <v>359</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453</v>
      </c>
      <c r="C232" t="s">
        <v>359</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256</v>
      </c>
      <c r="B233" t="s">
        <v>446</v>
      </c>
      <c r="C233" t="s">
        <v>359</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365</v>
      </c>
      <c r="C234" t="s">
        <v>359</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502</v>
      </c>
      <c r="C235" t="s">
        <v>359</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285</v>
      </c>
      <c r="B236" t="s">
        <v>503</v>
      </c>
      <c r="C236" t="s">
        <v>359</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359</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504</v>
      </c>
      <c r="C238" t="s">
        <v>359</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418</v>
      </c>
      <c r="C239" t="s">
        <v>359</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402</v>
      </c>
      <c r="C240" t="s">
        <v>359</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505</v>
      </c>
      <c r="C241" t="s">
        <v>359</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363</v>
      </c>
      <c r="C242" t="s">
        <v>359</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286</v>
      </c>
      <c r="B243" t="s">
        <v>506</v>
      </c>
      <c r="C243" t="s">
        <v>359</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507</v>
      </c>
      <c r="C244" t="s">
        <v>359</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287</v>
      </c>
      <c r="B245" t="s">
        <v>508</v>
      </c>
      <c r="C245" t="s">
        <v>359</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505</v>
      </c>
      <c r="C246" t="s">
        <v>359</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276</v>
      </c>
      <c r="B247" t="s">
        <v>487</v>
      </c>
      <c r="C247" t="s">
        <v>359</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443</v>
      </c>
      <c r="C248" t="s">
        <v>359</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288</v>
      </c>
      <c r="B249" t="s">
        <v>509</v>
      </c>
      <c r="C249" t="s">
        <v>359</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289</v>
      </c>
      <c r="B250" t="s">
        <v>510</v>
      </c>
      <c r="C250" t="s">
        <v>359</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266</v>
      </c>
      <c r="B251" t="s">
        <v>471</v>
      </c>
      <c r="C251" t="s">
        <v>359</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420</v>
      </c>
      <c r="C252" t="s">
        <v>359</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290</v>
      </c>
      <c r="B253" t="s">
        <v>511</v>
      </c>
      <c r="C253" t="s">
        <v>359</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291</v>
      </c>
      <c r="B254" t="s">
        <v>512</v>
      </c>
      <c r="C254" t="s">
        <v>359</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292</v>
      </c>
      <c r="B255" t="s">
        <v>513</v>
      </c>
      <c r="C255" t="s">
        <v>359</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514</v>
      </c>
      <c r="C256" t="s">
        <v>359</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293</v>
      </c>
      <c r="B257" t="s">
        <v>515</v>
      </c>
      <c r="C257" t="s">
        <v>359</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516</v>
      </c>
      <c r="C258" t="s">
        <v>359</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284</v>
      </c>
      <c r="B259" t="s">
        <v>501</v>
      </c>
      <c r="C259" t="s">
        <v>359</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294</v>
      </c>
      <c r="B260" t="s">
        <v>517</v>
      </c>
      <c r="C260" t="s">
        <v>359</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363</v>
      </c>
      <c r="C261" t="s">
        <v>359</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364</v>
      </c>
      <c r="C262" t="s">
        <v>359</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295</v>
      </c>
      <c r="B263" t="s">
        <v>518</v>
      </c>
      <c r="C263" t="s">
        <v>359</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475</v>
      </c>
      <c r="C264" t="s">
        <v>359</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397</v>
      </c>
      <c r="C265" t="s">
        <v>359</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395</v>
      </c>
      <c r="C266" t="s">
        <v>359</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519</v>
      </c>
      <c r="C267" t="s">
        <v>359</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296</v>
      </c>
      <c r="B268" t="s">
        <v>520</v>
      </c>
      <c r="C268" t="s">
        <v>359</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297</v>
      </c>
      <c r="B269" t="s">
        <v>521</v>
      </c>
      <c r="C269" t="s">
        <v>359</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522</v>
      </c>
      <c r="C270" t="s">
        <v>359</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523</v>
      </c>
      <c r="C271" t="s">
        <v>359</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298</v>
      </c>
      <c r="B272" t="s">
        <v>524</v>
      </c>
      <c r="C272" t="s">
        <v>359</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525</v>
      </c>
      <c r="C273" t="s">
        <v>359</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299</v>
      </c>
      <c r="B274" t="s">
        <v>526</v>
      </c>
      <c r="C274" t="s">
        <v>359</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300</v>
      </c>
      <c r="B275" t="s">
        <v>527</v>
      </c>
      <c r="C275" t="s">
        <v>359</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528</v>
      </c>
      <c r="C276" t="s">
        <v>359</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529</v>
      </c>
      <c r="C277" t="s">
        <v>359</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449</v>
      </c>
      <c r="C278" t="s">
        <v>359</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530</v>
      </c>
      <c r="C279" t="s">
        <v>359</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288</v>
      </c>
      <c r="B280" t="s">
        <v>509</v>
      </c>
      <c r="C280" t="s">
        <v>359</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301</v>
      </c>
      <c r="B281" t="s">
        <v>531</v>
      </c>
      <c r="C281" t="s">
        <v>359</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302</v>
      </c>
      <c r="B282" t="s">
        <v>447</v>
      </c>
      <c r="C282" t="s">
        <v>359</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404</v>
      </c>
      <c r="C283" t="s">
        <v>359</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405</v>
      </c>
      <c r="C284" t="s">
        <v>359</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449</v>
      </c>
      <c r="C285" t="s">
        <v>359</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392</v>
      </c>
      <c r="C286" t="s">
        <v>359</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274</v>
      </c>
      <c r="B287" t="s">
        <v>484</v>
      </c>
      <c r="C287" t="s">
        <v>359</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532</v>
      </c>
      <c r="C288" t="s">
        <v>359</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519</v>
      </c>
      <c r="C289" t="s">
        <v>359</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406</v>
      </c>
      <c r="C290" t="s">
        <v>359</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409</v>
      </c>
      <c r="C291" t="s">
        <v>359</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533</v>
      </c>
      <c r="C292" t="s">
        <v>359</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303</v>
      </c>
      <c r="B293" t="s">
        <v>534</v>
      </c>
      <c r="C293" t="s">
        <v>359</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304</v>
      </c>
      <c r="B294" t="s">
        <v>535</v>
      </c>
      <c r="C294" t="s">
        <v>359</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305</v>
      </c>
      <c r="B295" t="s">
        <v>536</v>
      </c>
      <c r="C295" t="s">
        <v>359</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306</v>
      </c>
      <c r="B296" t="s">
        <v>537</v>
      </c>
      <c r="C296" t="s">
        <v>359</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307</v>
      </c>
      <c r="B297" t="s">
        <v>405</v>
      </c>
      <c r="C297" t="s">
        <v>359</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308</v>
      </c>
      <c r="B298" t="s">
        <v>538</v>
      </c>
      <c r="C298" t="s">
        <v>359</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290</v>
      </c>
      <c r="B299" t="s">
        <v>511</v>
      </c>
      <c r="C299" t="s">
        <v>359</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539</v>
      </c>
      <c r="C300" t="s">
        <v>359</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279</v>
      </c>
      <c r="B301" t="s">
        <v>490</v>
      </c>
      <c r="C301" t="s">
        <v>359</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540</v>
      </c>
      <c r="C302" t="s">
        <v>359</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541</v>
      </c>
      <c r="C303" t="s">
        <v>359</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463</v>
      </c>
      <c r="C304" t="s">
        <v>359</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309</v>
      </c>
      <c r="B305" t="s">
        <v>542</v>
      </c>
      <c r="C305" t="s">
        <v>359</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543</v>
      </c>
      <c r="C306" t="s">
        <v>359</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402</v>
      </c>
      <c r="C307" t="s">
        <v>359</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432</v>
      </c>
      <c r="C308" t="s">
        <v>359</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285</v>
      </c>
      <c r="B309" t="s">
        <v>503</v>
      </c>
      <c r="C309" t="s">
        <v>359</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382</v>
      </c>
      <c r="C310" t="s">
        <v>359</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544</v>
      </c>
      <c r="C311" t="s">
        <v>359</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310</v>
      </c>
      <c r="B312" t="s">
        <v>545</v>
      </c>
      <c r="C312" t="s">
        <v>359</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543</v>
      </c>
      <c r="C313" t="s">
        <v>359</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311</v>
      </c>
      <c r="B314" t="s">
        <v>546</v>
      </c>
      <c r="C314" t="s">
        <v>359</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312</v>
      </c>
      <c r="B315" t="s">
        <v>547</v>
      </c>
      <c r="C315" t="s">
        <v>359</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313</v>
      </c>
      <c r="B316" t="s">
        <v>548</v>
      </c>
      <c r="C316" t="s">
        <v>359</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549</v>
      </c>
      <c r="C317" t="s">
        <v>359</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314</v>
      </c>
      <c r="B318" t="s">
        <v>550</v>
      </c>
      <c r="C318" t="s">
        <v>359</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315</v>
      </c>
      <c r="B319" t="s">
        <v>551</v>
      </c>
      <c r="C319" t="s">
        <v>359</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364</v>
      </c>
      <c r="C320" t="s">
        <v>359</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264</v>
      </c>
      <c r="B321" t="s">
        <v>466</v>
      </c>
      <c r="C321" t="s">
        <v>359</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316</v>
      </c>
      <c r="B322" t="s">
        <v>552</v>
      </c>
      <c r="C322" t="s">
        <v>359</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317</v>
      </c>
      <c r="B323" t="s">
        <v>553</v>
      </c>
      <c r="C323" t="s">
        <v>359</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318</v>
      </c>
      <c r="B324" t="s">
        <v>554</v>
      </c>
      <c r="C324" t="s">
        <v>359</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319</v>
      </c>
      <c r="B325" t="s">
        <v>555</v>
      </c>
      <c r="C325" t="s">
        <v>359</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310</v>
      </c>
      <c r="B326" t="s">
        <v>545</v>
      </c>
      <c r="C326" t="s">
        <v>359</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320</v>
      </c>
      <c r="B327" t="s">
        <v>556</v>
      </c>
      <c r="C327" t="s">
        <v>359</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321</v>
      </c>
      <c r="B328" t="s">
        <v>557</v>
      </c>
      <c r="C328" t="s">
        <v>359</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250</v>
      </c>
      <c r="B329" t="s">
        <v>426</v>
      </c>
      <c r="C329" t="s">
        <v>359</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430</v>
      </c>
      <c r="C330" t="s">
        <v>359</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322</v>
      </c>
      <c r="B331" t="s">
        <v>558</v>
      </c>
      <c r="C331" t="s">
        <v>359</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323</v>
      </c>
      <c r="B332" t="s">
        <v>559</v>
      </c>
      <c r="C332" t="s">
        <v>359</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324</v>
      </c>
      <c r="B333" t="s">
        <v>560</v>
      </c>
      <c r="C333" t="s">
        <v>359</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325</v>
      </c>
      <c r="B334" t="s">
        <v>561</v>
      </c>
      <c r="C334" t="s">
        <v>359</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326</v>
      </c>
      <c r="B335" t="s">
        <v>562</v>
      </c>
      <c r="C335" t="s">
        <v>359</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327</v>
      </c>
      <c r="B336" t="s">
        <v>563</v>
      </c>
      <c r="C336" t="s">
        <v>359</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564</v>
      </c>
      <c r="C337" t="s">
        <v>359</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328</v>
      </c>
      <c r="B338" t="s">
        <v>565</v>
      </c>
      <c r="C338" t="s">
        <v>359</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329</v>
      </c>
      <c r="B339" t="s">
        <v>566</v>
      </c>
      <c r="C339" t="s">
        <v>359</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330</v>
      </c>
      <c r="B340" t="s">
        <v>567</v>
      </c>
      <c r="C340" t="s">
        <v>359</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359</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331</v>
      </c>
      <c r="B342" t="s">
        <v>568</v>
      </c>
      <c r="C342" t="s">
        <v>359</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332</v>
      </c>
      <c r="B343" t="s">
        <v>569</v>
      </c>
      <c r="C343" t="s">
        <v>359</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333</v>
      </c>
      <c r="B344" t="s">
        <v>570</v>
      </c>
      <c r="C344" t="s">
        <v>359</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334</v>
      </c>
      <c r="B345" t="s">
        <v>571</v>
      </c>
      <c r="C345" t="s">
        <v>359</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277</v>
      </c>
      <c r="B346" t="s">
        <v>488</v>
      </c>
      <c r="C346" t="s">
        <v>359</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335</v>
      </c>
      <c r="B347" t="s">
        <v>572</v>
      </c>
      <c r="C347" t="s">
        <v>359</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336</v>
      </c>
      <c r="B348" t="s">
        <v>573</v>
      </c>
      <c r="C348" t="s">
        <v>359</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337</v>
      </c>
      <c r="B349" t="s">
        <v>574</v>
      </c>
      <c r="C349" t="s">
        <v>359</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338</v>
      </c>
      <c r="B350" t="s">
        <v>575</v>
      </c>
      <c r="C350" t="s">
        <v>359</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576</v>
      </c>
      <c r="C351" t="s">
        <v>359</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339</v>
      </c>
      <c r="B352" t="s">
        <v>577</v>
      </c>
      <c r="C352" t="s">
        <v>359</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340</v>
      </c>
      <c r="B353" t="s">
        <v>491</v>
      </c>
      <c r="C353" t="s">
        <v>359</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278</v>
      </c>
      <c r="B354" t="s">
        <v>489</v>
      </c>
      <c r="C354" t="s">
        <v>359</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248</v>
      </c>
      <c r="B355" t="s">
        <v>419</v>
      </c>
      <c r="C355" t="s">
        <v>359</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413</v>
      </c>
      <c r="C356" t="s">
        <v>359</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341</v>
      </c>
      <c r="B357" t="s">
        <v>578</v>
      </c>
      <c r="C357" t="s">
        <v>359</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392</v>
      </c>
      <c r="C358" t="s">
        <v>359</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342</v>
      </c>
      <c r="B359" t="s">
        <v>579</v>
      </c>
      <c r="C359" t="s">
        <v>359</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343</v>
      </c>
      <c r="B360" t="s">
        <v>580</v>
      </c>
      <c r="C360" t="s">
        <v>359</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344</v>
      </c>
      <c r="B361" t="s">
        <v>581</v>
      </c>
      <c r="C361" t="s">
        <v>359</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541</v>
      </c>
      <c r="C362" t="s">
        <v>359</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359</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345</v>
      </c>
      <c r="B364" t="s">
        <v>582</v>
      </c>
      <c r="C364" t="s">
        <v>359</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359</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346</v>
      </c>
      <c r="B366" t="s">
        <v>583</v>
      </c>
      <c r="C366" t="s">
        <v>359</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347</v>
      </c>
      <c r="B367" t="s">
        <v>584</v>
      </c>
      <c r="C367" t="s">
        <v>359</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585</v>
      </c>
      <c r="C368" t="s">
        <v>359</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453</v>
      </c>
      <c r="C369" t="s">
        <v>359</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318</v>
      </c>
      <c r="B370" t="s">
        <v>554</v>
      </c>
      <c r="C370" t="s">
        <v>359</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348</v>
      </c>
      <c r="B371" t="s">
        <v>586</v>
      </c>
      <c r="C371" t="s">
        <v>359</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349</v>
      </c>
      <c r="B372" t="s">
        <v>587</v>
      </c>
      <c r="C372" t="s">
        <v>359</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350</v>
      </c>
      <c r="B373" t="s">
        <v>588</v>
      </c>
      <c r="C373" t="s">
        <v>359</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351</v>
      </c>
      <c r="B374" t="s">
        <v>589</v>
      </c>
      <c r="C374" t="s">
        <v>359</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352</v>
      </c>
      <c r="B375" t="s">
        <v>590</v>
      </c>
      <c r="C375" t="s">
        <v>359</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343</v>
      </c>
      <c r="B376" t="s">
        <v>580</v>
      </c>
      <c r="C376" t="s">
        <v>359</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353</v>
      </c>
      <c r="B377" t="s">
        <v>591</v>
      </c>
      <c r="C377" t="s">
        <v>359</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354</v>
      </c>
      <c r="B378" t="s">
        <v>592</v>
      </c>
      <c r="C378" t="s">
        <v>359</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335</v>
      </c>
      <c r="B379" t="s">
        <v>572</v>
      </c>
      <c r="C379" t="s">
        <v>359</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355</v>
      </c>
      <c r="B380" t="s">
        <v>593</v>
      </c>
      <c r="C380" t="s">
        <v>359</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356</v>
      </c>
      <c r="B381" t="s">
        <v>594</v>
      </c>
      <c r="C381" t="s">
        <v>359</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357</v>
      </c>
      <c r="B382" t="s">
        <v>595</v>
      </c>
      <c r="C382" t="s">
        <v>359</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238</v>
      </c>
      <c r="N27" s="3">
        <v>1.9668011971810673E-2</v>
      </c>
      <c r="O27" s="3"/>
      <c r="Q27" s="3"/>
      <c r="R27" s="3"/>
      <c r="S27" s="3"/>
      <c r="T27" s="3"/>
      <c r="U27" s="3"/>
      <c r="V27" s="3"/>
      <c r="W27" s="3"/>
      <c r="X27" s="3"/>
      <c r="Y27" s="3"/>
      <c r="Z27" s="3"/>
      <c r="AA27" s="3"/>
      <c r="AB27" s="3"/>
      <c r="AC27" s="16"/>
    </row>
    <row r="28" spans="1:29" x14ac:dyDescent="0.25">
      <c r="A28" t="s">
        <v>239</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7"/>
  <sheetViews>
    <sheetView topLeftCell="A1341" workbookViewId="0">
      <selection activeCell="M1367" sqref="M1367"/>
    </sheetView>
  </sheetViews>
  <sheetFormatPr defaultRowHeight="15" x14ac:dyDescent="0.25"/>
  <cols>
    <col min="1" max="1" width="10.7109375" bestFit="1" customWidth="1"/>
    <col min="6" max="7" width="13.85546875" bestFit="1" customWidth="1"/>
  </cols>
  <sheetData>
    <row r="1" spans="1:8" x14ac:dyDescent="0.25">
      <c r="A1" s="8" t="s">
        <v>605</v>
      </c>
      <c r="B1" s="7" t="s">
        <v>358</v>
      </c>
      <c r="C1" s="7" t="s">
        <v>606</v>
      </c>
      <c r="D1" s="7" t="s">
        <v>607</v>
      </c>
      <c r="E1" s="7" t="s">
        <v>608</v>
      </c>
      <c r="F1" s="7" t="s">
        <v>609</v>
      </c>
      <c r="G1" s="7" t="s">
        <v>610</v>
      </c>
      <c r="H1" s="7" t="s">
        <v>713</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7"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2025-12-21T06:24:42Z</dcterms:modified>
</cp:coreProperties>
</file>