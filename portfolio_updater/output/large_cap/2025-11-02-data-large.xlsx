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40555D46-D4E5-418B-B9D5-0BD0C797262B}"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I2" i="6"/>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<sst xmlns="http://schemas.openxmlformats.org/spreadsheetml/2006/main" count="1761" uniqueCount="818">
  <si>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</si>
  <si>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</si>
  <si>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</si>
  <si>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</si>
  <si>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</si>
  <si>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</si>
  <si>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</si>
  <si>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</si>
  <si>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</si>
  <si>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</si>
  <si>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</si>
  <si>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</si>
  <si>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</si>
  <si>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</si>
  <si>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</si>
  <si>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</si>
  <si>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</si>
  <si>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</si>
  <si>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</si>
  <si>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</si>
  <si>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</si>
  <si>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</si>
  <si>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</si>
  <si>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</si>
  <si>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</si>
  <si>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</si>
  <si>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</si>
  <si>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</si>
  <si>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</si>
  <si>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</si>
  <si>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</si>
  <si>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</si>
  <si>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</si>
  <si>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</si>
  <si>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</si>
  <si>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</si>
  <si>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</si>
  <si>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</si>
  <si>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</si>
  <si>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</si>
  <si>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</si>
  <si>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</si>
  <si>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</si>
  <si>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</si>
  <si>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</si>
  <si>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</si>
  <si>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</si>
  <si>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</si>
  <si>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</si>
  <si>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</si>
  <si>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</si>
  <si>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</si>
  <si>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</si>
  <si>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</si>
  <si>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</si>
  <si>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</si>
  <si>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</si>
  <si>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</si>
  <si>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</si>
  <si>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</si>
  <si>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</si>
  <si>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</si>
  <si>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</si>
  <si>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</si>
  <si>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</si>
  <si>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</si>
  <si>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</si>
  <si>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</si>
  <si>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</si>
  <si>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</si>
  <si>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</si>
  <si>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</si>
  <si>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</si>
  <si>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</si>
  <si>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</si>
  <si>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</si>
  <si>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</si>
  <si>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</si>
  <si>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</si>
  <si>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</si>
  <si>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</si>
  <si>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</si>
  <si>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</si>
  <si>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</si>
  <si>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</si>
  <si>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</si>
  <si>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</si>
  <si>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</si>
  <si>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</si>
  <si>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</si>
  <si>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</si>
  <si>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</si>
  <si>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</si>
  <si>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</si>
  <si>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</si>
  <si>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</si>
  <si>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</si>
  <si>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</si>
  <si>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</si>
  <si>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</si>
  <si>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</si>
  <si>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</si>
  <si>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</si>
  <si>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</si>
  <si>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</si>
  <si>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</si>
  <si>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</si>
  <si>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</si>
  <si>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</si>
  <si>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</si>
  <si>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</si>
  <si>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</si>
  <si>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</si>
  <si>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</si>
  <si>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</si>
  <si>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</si>
  <si>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</si>
  <si>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</si>
  <si>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</si>
  <si>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</si>
  <si>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</si>
  <si>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</si>
  <si>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</si>
  <si>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</si>
  <si>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</si>
  <si>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</si>
  <si>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</si>
  <si>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</si>
  <si>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</si>
  <si>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</si>
  <si>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</si>
  <si>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</si>
  <si>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</si>
  <si>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</si>
  <si>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</si>
  <si>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</si>
  <si>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</si>
  <si>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</si>
  <si>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</si>
  <si>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</si>
  <si>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</si>
  <si>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</si>
  <si>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</si>
  <si>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</si>
  <si>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</si>
  <si>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</si>
  <si>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</si>
  <si>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</si>
  <si>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</si>
  <si>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</si>
  <si>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</si>
  <si>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</si>
  <si>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</si>
  <si>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</si>
  <si>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</si>
  <si>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</si>
  <si>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</si>
  <si>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</si>
  <si>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</si>
  <si>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</si>
  <si>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</si>
  <si>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</si>
  <si>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</si>
  <si>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</si>
  <si>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</si>
  <si>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</si>
  <si>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</si>
  <si>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</si>
  <si>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</si>
  <si>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</si>
  <si>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</si>
  <si>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</si>
  <si>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</si>
  <si>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</si>
  <si>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</si>
  <si>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</si>
  <si>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</si>
  <si>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</si>
  <si>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</si>
  <si>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</si>
  <si>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</si>
  <si>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</si>
  <si>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</si>
  <si>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</si>
  <si>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</si>
  <si>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</si>
  <si>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</si>
  <si>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</si>
  <si>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</si>
  <si>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</si>
  <si>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</si>
  <si>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</si>
  <si>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</si>
  <si>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</si>
  <si>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</si>
  <si>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</si>
  <si>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</si>
  <si>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</si>
  <si>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</si>
  <si>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</si>
  <si>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</si>
  <si>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</si>
  <si>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</si>
  <si>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</si>
  <si>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</si>
  <si>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</si>
  <si>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</si>
  <si>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</si>
  <si>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</si>
  <si>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</si>
  <si>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</si>
  <si>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</si>
  <si>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</si>
  <si>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</si>
  <si>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</si>
  <si>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</si>
  <si>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</si>
  <si>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</si>
  <si>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</si>
  <si>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</si>
  <si>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</si>
  <si>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</si>
  <si>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</si>
  <si>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</si>
  <si>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</si>
  <si>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</si>
  <si>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</si>
  <si>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</si>
  <si>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</si>
  <si>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</si>
  <si>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</si>
  <si>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</si>
  <si>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</si>
  <si>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</si>
  <si>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</si>
  <si>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</si>
  <si>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</si>
  <si>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</si>
  <si>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</si>
  <si>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</si>
  <si>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</si>
  <si>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</si>
  <si>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</si>
  <si>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</si>
  <si>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</si>
  <si>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</si>
  <si>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</si>
  <si>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</si>
  <si>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</si>
  <si>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</si>
  <si>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</si>
  <si>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</si>
  <si>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</si>
  <si>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</si>
  <si>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</si>
  <si>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</si>
  <si>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</si>
  <si>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</si>
  <si>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</si>
  <si>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</si>
  <si>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</si>
  <si>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</si>
  <si>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</si>
  <si>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</si>
  <si>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</si>
  <si>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</si>
  <si>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</si>
  <si>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</si>
  <si>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</si>
  <si>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</si>
  <si>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</si>
  <si>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</si>
  <si>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</si>
  <si>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</si>
  <si>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</si>
  <si>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</si>
  <si>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</si>
  <si>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</si>
  <si>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</si>
  <si>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</si>
  <si>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</si>
  <si>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</si>
  <si>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</si>
  <si>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</si>
  <si>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</si>
  <si>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</si>
  <si>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</si>
  <si>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</si>
  <si>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</si>
  <si>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</si>
  <si>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</si>
  <si>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</si>
  <si>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</si>
  <si>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</si>
  <si>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</si>
  <si>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</si>
  <si>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</si>
  <si>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</si>
  <si>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</si>
  <si>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</si>
  <si>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</si>
  <si>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</si>
  <si>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</si>
  <si>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</si>
  <si>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</si>
  <si>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</si>
  <si>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</si>
  <si>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</si>
  <si>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</si>
  <si>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</si>
  <si>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</si>
  <si>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</si>
  <si>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</si>
  <si>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</si>
  <si>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</si>
  <si>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</si>
  <si>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</si>
  <si>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</si>
  <si>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</si>
  <si>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</si>
  <si>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</si>
  <si>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</si>
  <si>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</si>
  <si>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</si>
  <si>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</si>
  <si>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</si>
  <si>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</si>
  <si>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</si>
  <si>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</si>
  <si>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</si>
  <si>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</si>
  <si>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</si>
  <si>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</si>
  <si>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</si>
  <si>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</si>
  <si>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</si>
  <si>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</si>
  <si>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</si>
  <si>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</si>
  <si>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</si>
  <si>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</si>
  <si>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</si>
  <si>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</si>
  <si>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</si>
  <si>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</si>
  <si>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</si>
  <si>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</si>
  <si>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</si>
  <si>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</si>
  <si>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</si>
  <si>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</si>
  <si>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</si>
  <si>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</si>
  <si>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</si>
  <si>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</si>
  <si>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</si>
  <si>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</si>
  <si>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</si>
  <si>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</si>
  <si>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</si>
  <si>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</si>
  <si>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</si>
  <si>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</si>
  <si>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</si>
  <si>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</si>
  <si>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</si>
  <si>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</si>
  <si>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</si>
  <si>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</si>
  <si>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</si>
  <si>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</si>
  <si>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</si>
  <si>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</si>
  <si>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</si>
  <si>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</si>
  <si>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</si>
  <si>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</si>
  <si>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</si>
  <si>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</si>
  <si>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</si>
  <si>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</si>
  <si>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</si>
  <si>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</si>
  <si>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</si>
  <si>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</si>
  <si>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</si>
  <si>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</si>
  <si>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</si>
  <si>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</si>
  <si>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</si>
  <si>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</si>
  <si>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</si>
  <si>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</si>
  <si>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</si>
  <si>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</si>
  <si>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</si>
  <si>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</si>
  <si>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</si>
  <si>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</si>
  <si>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</si>
  <si>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</si>
  <si>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</si>
  <si>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</si>
  <si>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</si>
  <si>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</si>
  <si>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</si>
  <si>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</si>
  <si>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</si>
  <si>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</si>
  <si>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</si>
  <si>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</si>
  <si>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</si>
  <si>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</si>
  <si>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</si>
  <si>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</si>
  <si>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</si>
  <si>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</si>
  <si>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</si>
  <si>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</si>
  <si>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</si>
  <si>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</si>
  <si>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</si>
  <si>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</si>
  <si>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</si>
  <si>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</si>
  <si>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</si>
  <si>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</si>
  <si>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</si>
  <si>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</si>
  <si>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</si>
  <si>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</si>
  <si>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</si>
  <si>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</si>
  <si>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</si>
  <si>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</si>
  <si>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</si>
  <si>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</si>
  <si>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</si>
  <si>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</si>
  <si>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</si>
  <si>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</si>
  <si>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</si>
  <si>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</si>
  <si>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</si>
  <si>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</si>
  <si>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</si>
  <si>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</si>
  <si>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</si>
  <si>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</si>
  <si>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</si>
  <si>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</si>
  <si>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</si>
  <si>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</si>
  <si>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</si>
  <si>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</si>
  <si>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</si>
  <si>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</si>
  <si>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</si>
  <si>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</si>
  <si>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</si>
  <si>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</si>
  <si>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</si>
  <si>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</si>
  <si>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</si>
  <si>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</si>
  <si>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</si>
  <si>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</si>
  <si>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</si>
  <si>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</si>
  <si>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</si>
  <si>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</si>
  <si>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</si>
  <si>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</si>
  <si>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</si>
  <si>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</si>
  <si>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</si>
  <si>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</si>
  <si>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</si>
  <si>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</si>
  <si>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</si>
  <si>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</si>
  <si>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</si>
  <si>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</si>
  <si>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</si>
  <si>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</si>
  <si>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</si>
  <si>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</si>
  <si>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</si>
  <si>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</si>
  <si>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</si>
  <si>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</si>
  <si>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</si>
  <si>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</si>
  <si>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</si>
  <si>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</si>
  <si>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</si>
  <si>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</si>
  <si>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</si>
  <si>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</si>
  <si>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</si>
  <si>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</si>
  <si>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</si>
  <si>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</si>
  <si>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</si>
  <si>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</si>
  <si>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</si>
  <si>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</si>
  <si>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</si>
  <si>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</si>
  <si>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</si>
  <si>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</si>
  <si>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</si>
  <si>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</si>
  <si>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</si>
  <si>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</si>
  <si>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</si>
  <si>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</si>
  <si>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</si>
  <si>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</si>
  <si>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</si>
  <si>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</si>
  <si>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</si>
  <si>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</si>
  <si>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</si>
  <si>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</si>
  <si>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</si>
  <si>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</si>
  <si>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</si>
  <si>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</si>
  <si>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</si>
  <si>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</si>
  <si>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</si>
  <si>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</si>
  <si>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</si>
  <si>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</si>
  <si>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</si>
  <si>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</si>
  <si>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</si>
  <si>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</si>
  <si>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</si>
  <si>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</si>
  <si>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</si>
  <si>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</si>
  <si>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</si>
  <si>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</si>
  <si>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</si>
  <si>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</si>
  <si>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</si>
  <si>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</si>
  <si>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</si>
  <si>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</si>
  <si>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</si>
  <si>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</si>
  <si>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</si>
  <si>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</si>
  <si>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</si>
  <si>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</si>
  <si>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</si>
  <si>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</si>
  <si>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</si>
  <si>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</si>
  <si>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</si>
  <si>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</si>
  <si>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</si>
  <si>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</si>
  <si>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</si>
  <si>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</si>
  <si>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</si>
  <si>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</si>
  <si>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</si>
  <si>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</si>
  <si>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</si>
  <si>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</si>
  <si>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</si>
  <si>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</si>
  <si>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</si>
  <si>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</si>
  <si>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</si>
  <si>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</si>
  <si>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</si>
  <si>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</si>
  <si>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</si>
  <si>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</si>
  <si>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</si>
  <si>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</si>
  <si>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</si>
  <si>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</si>
  <si>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</si>
  <si>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</si>
  <si>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</si>
  <si>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</si>
  <si>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</si>
  <si>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</si>
  <si>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</si>
  <si>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</si>
  <si>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</si>
  <si>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</si>
  <si>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</si>
  <si>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</si>
  <si>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</si>
  <si>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</si>
  <si>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</si>
  <si>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</si>
  <si>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</si>
  <si>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</si>
  <si>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</si>
  <si>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</si>
  <si>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</si>
  <si>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</si>
  <si>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</si>
  <si>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</si>
  <si>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</si>
  <si>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</si>
  <si>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</si>
  <si>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</si>
  <si>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</si>
  <si>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</si>
  <si>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</si>
  <si>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</si>
  <si>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</si>
  <si>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</si>
  <si>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</si>
  <si>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</si>
  <si>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</si>
  <si>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</si>
  <si>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</si>
  <si>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</si>
  <si>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</si>
  <si>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</si>
  <si>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</si>
  <si>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</si>
  <si>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</si>
  <si>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</si>
  <si>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</si>
  <si>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</si>
  <si>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</si>
  <si>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</si>
  <si>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</si>
  <si>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</si>
  <si>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</si>
  <si>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</si>
  <si>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</si>
  <si>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</si>
  <si>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</si>
  <si>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</si>
  <si>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</si>
  <si>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</si>
  <si>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</si>
  <si>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</si>
  <si>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</si>
  <si>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</si>
  <si>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</si>
  <si>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</si>
  <si>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</si>
  <si>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</si>
  <si>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</si>
  <si>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</si>
  <si>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</si>
  <si>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</si>
  <si>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</si>
  <si>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</si>
  <si>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</si>
  <si>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</si>
  <si>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</si>
  <si>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</si>
  <si>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</si>
  <si>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</si>
  <si>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</si>
  <si>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</si>
  <si>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</si>
  <si>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</si>
  <si>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</si>
  <si>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</si>
  <si>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</si>
  <si>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</si>
  <si>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</si>
  <si>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</si>
  <si>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</si>
  <si>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</si>
  <si>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</si>
  <si>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</si>
  <si>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</si>
  <si>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</si>
  <si>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</si>
  <si>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</si>
  <si>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</si>
  <si>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</si>
  <si>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</si>
  <si>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</si>
  <si>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</si>
  <si>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</si>
  <si>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</si>
  <si>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</si>
  <si>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</si>
  <si>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</si>
  <si>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</si>
  <si>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</si>
  <si>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</si>
  <si>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</si>
  <si>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</si>
  <si>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</si>
  <si>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</si>
  <si>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</si>
  <si>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</si>
  <si>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</si>
  <si>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</si>
  <si>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</si>
  <si>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</si>
  <si>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</si>
  <si>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</si>
  <si>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</si>
  <si>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</si>
  <si>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</si>
  <si>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</si>
  <si>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</si>
  <si>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</si>
  <si>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</si>
  <si>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</si>
  <si>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</si>
  <si>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</si>
  <si>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</si>
  <si>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</si>
  <si>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</si>
  <si>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</si>
  <si>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</si>
  <si>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</si>
  <si>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</si>
  <si>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</si>
  <si>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</si>
  <si>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</si>
  <si>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</si>
  <si>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</si>
  <si>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</si>
  <si>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</si>
  <si>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</si>
  <si>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</si>
  <si>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</si>
  <si>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</si>
  <si>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</si>
  <si>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</si>
  <si>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</si>
  <si>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</si>
  <si>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</si>
  <si>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</si>
  <si>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</si>
  <si>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</si>
  <si>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</si>
  <si>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</si>
  <si>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</si>
  <si>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</si>
  <si>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</si>
  <si>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</si>
  <si>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</si>
  <si>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</si>
  <si>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</si>
  <si>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</si>
  <si>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</si>
  <si>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</si>
  <si>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</si>
  <si>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</si>
  <si>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</si>
  <si>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</si>
  <si>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</si>
  <si>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</si>
  <si>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</si>
  <si>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</si>
  <si>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</si>
  <si>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</si>
  <si>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1.6x</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</si>
  <si>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</si>
  <si>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</si>
  <si>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</si>
  <si>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</si>
  <si>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</si>
  <si>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</si>
  <si>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</si>
  <si>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</si>
  <si>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</si>
  <si>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</si>
  <si>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</si>
  <si>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</si>
  <si>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</si>
  <si>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</si>
  <si>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</si>
  <si>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$2.8B</t>
  </si>
  <si>
    <t>0.7x</t>
  </si>
  <si>
    <t>$5.1B</t>
  </si>
  <si>
    <t>$14.3B</t>
  </si>
  <si>
    <t>36.3x</t>
  </si>
  <si>
    <t>23.3x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</si>
  <si>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</si>
  <si>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</si>
  <si>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</si>
  <si>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</si>
  <si>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</si>
  <si>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$285.4B</t>
  </si>
  <si>
    <t>10.0x</t>
  </si>
  <si>
    <t>$2.3B</t>
  </si>
  <si>
    <t>$6.4B</t>
  </si>
  <si>
    <t>2.5x</t>
  </si>
  <si>
    <t>30.7x</t>
  </si>
  <si>
    <t>13.6x</t>
  </si>
  <si>
    <t>$7.0B</t>
  </si>
  <si>
    <t>47.8x</t>
  </si>
  <si>
    <t>$11.6B</t>
  </si>
  <si>
    <t>20.4x</t>
  </si>
  <si>
    <t>276.3x</t>
  </si>
  <si>
    <t>$9.1B</t>
  </si>
  <si>
    <t>3.7x</t>
  </si>
  <si>
    <t>68.2x</t>
  </si>
  <si>
    <t>$4.6B</t>
  </si>
  <si>
    <t>35.4x</t>
  </si>
  <si>
    <t>$2.4B</t>
  </si>
  <si>
    <t>26.1x</t>
  </si>
  <si>
    <t>18.3x</t>
  </si>
  <si>
    <t>$13.4B</t>
  </si>
  <si>
    <t>$6.9B</t>
  </si>
  <si>
    <t>23.8x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</si>
</sst>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719</v>
      </c>
    </row>
    <row r="2" spans="1:2" x14ac:dyDescent="0.25">
      <c r="A2" t="s">
        <v>705</v>
      </c>
      <c r="B2" s="15" t="s">
        <v>706</v>
      </c>
    </row>
    <row r="3" spans="1:2" x14ac:dyDescent="0.25">
      <c r="A3" t="s">
        <v>707</v>
      </c>
      <c r="B3" s="15">
        <v>15</v>
      </c>
    </row>
    <row r="4" spans="1:2" x14ac:dyDescent="0.25">
      <c r="A4" t="s">
        <v>708</v>
      </c>
      <c r="B4" s="15" t="s">
        <v>709</v>
      </c>
    </row>
    <row r="5" spans="1:2" x14ac:dyDescent="0.25">
      <c r="A5" t="s">
        <v>710</v>
      </c>
      <c r="B5" s="15" t="s">
        <v>711</v>
      </c>
    </row>
    <row r="6" spans="1:2" x14ac:dyDescent="0.25">
      <c r="A6" t="s">
        <v>712</v>
      </c>
      <c r="B6" s="15" t="s">
        <v>713</v>
      </c>
    </row>
    <row r="7" spans="1:2" x14ac:dyDescent="0.25">
      <c r="A7" t="s">
        <v>714</v>
      </c>
      <c r="B7" s="15">
        <v>2.46</v>
      </c>
    </row>
    <row r="8" spans="1:2" x14ac:dyDescent="0.25">
      <c r="A8" t="s">
        <v>715</v>
      </c>
      <c r="B8" s="15" t="s">
        <v>716</v>
      </c>
    </row>
    <row r="9" spans="1:2" x14ac:dyDescent="0.25">
      <c r="A9" t="s">
        <v>717</v>
      </c>
      <c r="B9" s="15" t="s">
        <v>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4" sqref="C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701</v>
      </c>
      <c r="E1" s="1" t="s">
        <v>3</v>
      </c>
      <c r="F1" s="1" t="s">
        <v>761</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374</v>
      </c>
      <c r="B2" t="s">
        <v>721</v>
      </c>
      <c r="C2" t="s">
        <v>28</v>
      </c>
      <c r="D2" s="11">
        <v>3.37</v>
      </c>
      <c r="E2" s="4">
        <v>3.87</v>
      </c>
      <c r="F2">
        <f>(E2/D2-1)*100</f>
        <v>14.836795252225521</v>
      </c>
      <c r="G2">
        <v>1.08500003814697</v>
      </c>
      <c r="H2" s="4">
        <v>4.93</v>
      </c>
      <c r="I2" s="4">
        <v>1.085</v>
      </c>
      <c r="J2" t="s">
        <v>793</v>
      </c>
      <c r="L2" t="s">
        <v>722</v>
      </c>
      <c r="M2" t="s">
        <v>733</v>
      </c>
      <c r="N2" s="3">
        <v>0</v>
      </c>
      <c r="O2" t="s">
        <v>794</v>
      </c>
      <c r="Q2" t="s">
        <v>734</v>
      </c>
      <c r="R2" s="3">
        <v>3.4159999999999999</v>
      </c>
      <c r="T2" t="s">
        <v>735</v>
      </c>
      <c r="U2" s="3">
        <v>7.4999999999999997E-2</v>
      </c>
      <c r="V2" s="3">
        <v>0.215</v>
      </c>
      <c r="X2" s="3">
        <v>0.14399999999999999</v>
      </c>
    </row>
    <row r="3" spans="1:24" x14ac:dyDescent="0.25">
      <c r="A3" t="s">
        <v>216</v>
      </c>
      <c r="B3" t="s">
        <v>598</v>
      </c>
      <c r="C3" t="s">
        <v>28</v>
      </c>
      <c r="D3">
        <v>169.66</v>
      </c>
      <c r="E3" s="4">
        <v>171.64</v>
      </c>
      <c r="F3">
        <f t="shared" ref="F3:F16" si="0">(E3/D3-1)*100</f>
        <v>1.1670399622774941</v>
      </c>
      <c r="G3">
        <v>138.07878112792901</v>
      </c>
      <c r="H3" s="4">
        <v>189.08</v>
      </c>
      <c r="I3" s="4">
        <v>136.96</v>
      </c>
      <c r="J3" t="s">
        <v>795</v>
      </c>
      <c r="K3" s="3">
        <v>1</v>
      </c>
      <c r="L3" t="s">
        <v>699</v>
      </c>
      <c r="M3" t="s">
        <v>729</v>
      </c>
      <c r="N3" s="3">
        <v>2.8000000000000001E-2</v>
      </c>
      <c r="O3" t="s">
        <v>796</v>
      </c>
      <c r="Q3" t="s">
        <v>730</v>
      </c>
      <c r="R3" s="3">
        <v>2.758</v>
      </c>
      <c r="T3" t="s">
        <v>731</v>
      </c>
      <c r="U3" s="3">
        <v>0.35399999999999998</v>
      </c>
      <c r="V3" s="3">
        <v>0.38900000000000001</v>
      </c>
      <c r="W3" s="3">
        <v>8.2000000000000003E-2</v>
      </c>
      <c r="X3" s="3">
        <v>0.13300000000000001</v>
      </c>
    </row>
    <row r="4" spans="1:24" x14ac:dyDescent="0.25">
      <c r="A4" t="s">
        <v>775</v>
      </c>
      <c r="B4" t="s">
        <v>778</v>
      </c>
      <c r="C4" t="s">
        <v>627</v>
      </c>
      <c r="D4">
        <v>7.7</v>
      </c>
      <c r="E4" s="4">
        <v>6.8</v>
      </c>
      <c r="F4">
        <f t="shared" si="0"/>
        <v>-11.688311688311693</v>
      </c>
      <c r="G4">
        <v>2.0699999332427899</v>
      </c>
      <c r="H4" s="4">
        <v>9.1999999999999993</v>
      </c>
      <c r="I4" s="4">
        <v>2.0699999999999998</v>
      </c>
      <c r="J4" t="s">
        <v>797</v>
      </c>
      <c r="L4" t="s">
        <v>776</v>
      </c>
      <c r="N4" s="3">
        <v>0</v>
      </c>
      <c r="Q4" t="s">
        <v>779</v>
      </c>
      <c r="R4" s="3">
        <v>4.2999999999999997E-2</v>
      </c>
      <c r="S4" s="3">
        <v>7.0000000000000007E-2</v>
      </c>
      <c r="T4" t="s">
        <v>780</v>
      </c>
      <c r="U4" s="3">
        <v>-5.8010000000000002</v>
      </c>
      <c r="V4" s="3">
        <v>3.7549999999999999</v>
      </c>
      <c r="X4" s="3">
        <v>-0.49199999999999999</v>
      </c>
    </row>
    <row r="5" spans="1:24" x14ac:dyDescent="0.25">
      <c r="A5" t="s">
        <v>219</v>
      </c>
      <c r="B5" t="s">
        <v>599</v>
      </c>
      <c r="C5" t="s">
        <v>41</v>
      </c>
      <c r="D5">
        <v>3.06</v>
      </c>
      <c r="E5" s="4">
        <v>3.54</v>
      </c>
      <c r="F5">
        <f t="shared" si="0"/>
        <v>15.68627450980391</v>
      </c>
      <c r="G5">
        <v>2.7118873596191402</v>
      </c>
      <c r="H5" s="4">
        <v>3.59</v>
      </c>
      <c r="I5" s="4">
        <v>2.67</v>
      </c>
      <c r="J5" t="s">
        <v>736</v>
      </c>
      <c r="K5" s="3">
        <v>0</v>
      </c>
      <c r="L5" t="s">
        <v>782</v>
      </c>
      <c r="M5" t="s">
        <v>723</v>
      </c>
      <c r="N5" s="3">
        <v>4.5999999999999999E-2</v>
      </c>
      <c r="O5" t="s">
        <v>783</v>
      </c>
      <c r="Q5" t="s">
        <v>724</v>
      </c>
      <c r="R5" s="3">
        <v>0.54600000000000004</v>
      </c>
      <c r="S5" s="3">
        <v>2E-3</v>
      </c>
      <c r="T5" t="s">
        <v>725</v>
      </c>
      <c r="U5" s="3">
        <v>0.56999999999999995</v>
      </c>
      <c r="V5" s="3">
        <v>4.7E-2</v>
      </c>
      <c r="W5" s="3">
        <v>-0.29499999999999998</v>
      </c>
      <c r="X5" s="3">
        <v>5.3999999999999999E-2</v>
      </c>
    </row>
    <row r="6" spans="1:24" x14ac:dyDescent="0.25">
      <c r="A6" t="s">
        <v>220</v>
      </c>
      <c r="B6" t="s">
        <v>600</v>
      </c>
      <c r="C6" t="s">
        <v>28</v>
      </c>
      <c r="D6">
        <v>7.17</v>
      </c>
      <c r="E6" s="4">
        <v>9.31</v>
      </c>
      <c r="F6">
        <f t="shared" si="0"/>
        <v>29.846582984658298</v>
      </c>
      <c r="G6">
        <v>5.6988372802734304</v>
      </c>
      <c r="H6" s="4">
        <v>9.41</v>
      </c>
      <c r="I6" s="4">
        <v>5.12</v>
      </c>
      <c r="J6" t="s">
        <v>798</v>
      </c>
      <c r="K6" s="3">
        <v>1</v>
      </c>
      <c r="L6" t="s">
        <v>221</v>
      </c>
      <c r="M6" t="s">
        <v>737</v>
      </c>
      <c r="N6" s="3">
        <v>3.2000000000000001E-2</v>
      </c>
      <c r="O6" t="s">
        <v>799</v>
      </c>
      <c r="P6" t="s">
        <v>800</v>
      </c>
      <c r="Q6" t="s">
        <v>738</v>
      </c>
      <c r="R6" s="3">
        <v>2.1389999999999998</v>
      </c>
      <c r="T6" t="s">
        <v>739</v>
      </c>
      <c r="U6" s="3">
        <v>7.5999999999999998E-2</v>
      </c>
      <c r="V6" s="3">
        <v>0.218</v>
      </c>
      <c r="W6" s="3">
        <v>-5.8999999999999997E-2</v>
      </c>
      <c r="X6" s="3">
        <v>0.05</v>
      </c>
    </row>
    <row r="7" spans="1:24" x14ac:dyDescent="0.25">
      <c r="A7" t="s">
        <v>703</v>
      </c>
      <c r="B7" t="s">
        <v>601</v>
      </c>
      <c r="C7" t="s">
        <v>41</v>
      </c>
      <c r="D7">
        <v>3.64</v>
      </c>
      <c r="E7" s="4">
        <v>3.84</v>
      </c>
      <c r="F7">
        <f t="shared" si="0"/>
        <v>5.4945054945054972</v>
      </c>
      <c r="G7">
        <v>3.2812910079956001</v>
      </c>
      <c r="H7" s="4">
        <v>3.94</v>
      </c>
      <c r="I7" s="4">
        <v>3.1</v>
      </c>
      <c r="J7" t="s">
        <v>784</v>
      </c>
      <c r="K7" s="3">
        <v>0</v>
      </c>
      <c r="L7" t="s">
        <v>223</v>
      </c>
      <c r="M7" t="s">
        <v>726</v>
      </c>
      <c r="N7" s="3">
        <v>4.9000000000000002E-2</v>
      </c>
      <c r="O7" t="s">
        <v>801</v>
      </c>
      <c r="Q7" t="s">
        <v>727</v>
      </c>
      <c r="R7" s="3">
        <v>0.28499999999999998</v>
      </c>
      <c r="S7" s="3">
        <v>3.0000000000000001E-3</v>
      </c>
      <c r="T7" t="s">
        <v>728</v>
      </c>
      <c r="U7" s="3">
        <v>1.306</v>
      </c>
      <c r="V7" s="3">
        <v>9.8000000000000004E-2</v>
      </c>
      <c r="W7" s="3">
        <v>-0.21099999999999999</v>
      </c>
      <c r="X7" s="3">
        <v>9.6000000000000002E-2</v>
      </c>
    </row>
    <row r="8" spans="1:24" x14ac:dyDescent="0.25">
      <c r="A8" t="s">
        <v>224</v>
      </c>
      <c r="B8" t="s">
        <v>602</v>
      </c>
      <c r="C8" t="s">
        <v>23</v>
      </c>
      <c r="D8">
        <v>5.19</v>
      </c>
      <c r="E8" s="4">
        <v>4.8600000000000003</v>
      </c>
      <c r="F8">
        <f t="shared" si="0"/>
        <v>-6.3583815028901753</v>
      </c>
      <c r="G8">
        <v>4.5412116050720197</v>
      </c>
      <c r="H8" s="4">
        <v>5.33</v>
      </c>
      <c r="I8" s="4">
        <v>4.17</v>
      </c>
      <c r="J8" t="s">
        <v>802</v>
      </c>
      <c r="K8" s="3">
        <v>0</v>
      </c>
      <c r="L8" t="s">
        <v>54</v>
      </c>
      <c r="M8" t="s">
        <v>756</v>
      </c>
      <c r="N8" s="3">
        <v>8.2000000000000003E-2</v>
      </c>
      <c r="O8" t="s">
        <v>803</v>
      </c>
      <c r="Q8" t="s">
        <v>757</v>
      </c>
      <c r="R8" s="3">
        <v>0.27800000000000002</v>
      </c>
      <c r="S8" s="3">
        <v>2.4E-2</v>
      </c>
      <c r="T8" t="s">
        <v>55</v>
      </c>
      <c r="U8" s="3">
        <v>1.524</v>
      </c>
      <c r="V8" s="3">
        <v>0.13200000000000001</v>
      </c>
      <c r="W8" s="3">
        <v>0.06</v>
      </c>
      <c r="X8" s="3">
        <v>3.7999999999999999E-2</v>
      </c>
    </row>
    <row r="9" spans="1:24" x14ac:dyDescent="0.25">
      <c r="A9" t="s">
        <v>375</v>
      </c>
      <c r="B9">
        <v>360</v>
      </c>
      <c r="C9" t="s">
        <v>748</v>
      </c>
      <c r="D9" s="11">
        <v>45.06</v>
      </c>
      <c r="E9" s="4">
        <v>49.76</v>
      </c>
      <c r="F9">
        <f t="shared" si="0"/>
        <v>10.4305370616955</v>
      </c>
      <c r="G9">
        <v>14.9300003051757</v>
      </c>
      <c r="H9" s="4">
        <v>55.87</v>
      </c>
      <c r="I9" s="4">
        <v>14.93</v>
      </c>
      <c r="J9" t="s">
        <v>804</v>
      </c>
      <c r="L9" t="s">
        <v>749</v>
      </c>
      <c r="M9" t="s">
        <v>750</v>
      </c>
      <c r="N9" s="3">
        <v>0</v>
      </c>
      <c r="O9" t="s">
        <v>805</v>
      </c>
      <c r="P9" t="s">
        <v>806</v>
      </c>
      <c r="Q9" t="s">
        <v>751</v>
      </c>
      <c r="R9" s="3">
        <v>0.84399999999999997</v>
      </c>
      <c r="S9" s="3">
        <v>7.0999999999999994E-2</v>
      </c>
      <c r="T9" t="s">
        <v>752</v>
      </c>
      <c r="U9" s="3">
        <v>6.5000000000000002E-2</v>
      </c>
      <c r="V9" s="3">
        <v>0.48799999999999999</v>
      </c>
      <c r="X9" s="3">
        <v>0.08</v>
      </c>
    </row>
    <row r="10" spans="1:24" x14ac:dyDescent="0.25">
      <c r="A10" t="s">
        <v>42</v>
      </c>
      <c r="B10" t="s">
        <v>603</v>
      </c>
      <c r="C10" t="s">
        <v>41</v>
      </c>
      <c r="D10">
        <v>2.2999999999999998</v>
      </c>
      <c r="E10" s="4">
        <v>2.2999999999999998</v>
      </c>
      <c r="F10">
        <f t="shared" si="0"/>
        <v>0</v>
      </c>
      <c r="G10">
        <v>1.97433865070343</v>
      </c>
      <c r="H10" s="4">
        <v>2.46</v>
      </c>
      <c r="I10" s="4">
        <v>1.7749999999999999</v>
      </c>
      <c r="J10" t="s">
        <v>807</v>
      </c>
      <c r="K10" s="3">
        <v>0</v>
      </c>
      <c r="L10" t="s">
        <v>44</v>
      </c>
      <c r="M10" t="s">
        <v>740</v>
      </c>
      <c r="N10" s="3">
        <v>3.9E-2</v>
      </c>
      <c r="O10" t="s">
        <v>808</v>
      </c>
      <c r="P10" t="s">
        <v>809</v>
      </c>
      <c r="Q10" t="s">
        <v>741</v>
      </c>
      <c r="R10" s="3">
        <v>0.502</v>
      </c>
      <c r="S10" s="3">
        <v>0.01</v>
      </c>
      <c r="T10" t="s">
        <v>742</v>
      </c>
      <c r="U10" s="3">
        <v>2.8000000000000001E-2</v>
      </c>
      <c r="V10" s="3">
        <v>2.3E-2</v>
      </c>
      <c r="W10" s="3">
        <v>-0.57799999999999996</v>
      </c>
      <c r="X10" s="3">
        <v>7.0000000000000001E-3</v>
      </c>
    </row>
    <row r="11" spans="1:24" x14ac:dyDescent="0.25">
      <c r="A11" t="s">
        <v>37</v>
      </c>
      <c r="B11" t="s">
        <v>604</v>
      </c>
      <c r="C11" t="s">
        <v>23</v>
      </c>
      <c r="D11">
        <v>4.34</v>
      </c>
      <c r="E11" s="4">
        <v>5.73</v>
      </c>
      <c r="F11">
        <f t="shared" si="0"/>
        <v>32.027649769585274</v>
      </c>
      <c r="G11">
        <v>3.7949135303497301</v>
      </c>
      <c r="H11" s="4">
        <v>5.74</v>
      </c>
      <c r="I11" s="4">
        <v>2.94</v>
      </c>
      <c r="J11" t="s">
        <v>810</v>
      </c>
      <c r="K11" s="3">
        <v>0.9</v>
      </c>
      <c r="L11" t="s">
        <v>771</v>
      </c>
      <c r="M11" t="s">
        <v>743</v>
      </c>
      <c r="N11" s="3">
        <v>3.6999999999999998E-2</v>
      </c>
      <c r="O11" t="s">
        <v>785</v>
      </c>
      <c r="P11" t="s">
        <v>811</v>
      </c>
      <c r="Q11" t="s">
        <v>744</v>
      </c>
      <c r="R11" s="3">
        <v>1.5249999999999999</v>
      </c>
      <c r="S11" s="3">
        <v>0.01</v>
      </c>
      <c r="T11" t="s">
        <v>39</v>
      </c>
      <c r="U11" s="3">
        <v>4.2000000000000003E-2</v>
      </c>
      <c r="V11" s="3">
        <v>0.10299999999999999</v>
      </c>
      <c r="X11" s="3">
        <v>0.42899999999999999</v>
      </c>
    </row>
    <row r="12" spans="1:24" x14ac:dyDescent="0.25">
      <c r="A12" t="s">
        <v>33</v>
      </c>
      <c r="B12" t="s">
        <v>605</v>
      </c>
      <c r="C12" t="s">
        <v>35</v>
      </c>
      <c r="D12">
        <v>12.37</v>
      </c>
      <c r="E12" s="4">
        <v>14.49</v>
      </c>
      <c r="F12">
        <f t="shared" si="0"/>
        <v>17.138237671786595</v>
      </c>
      <c r="G12">
        <v>11.760043144226</v>
      </c>
      <c r="H12" s="4">
        <v>17.7</v>
      </c>
      <c r="I12" s="4">
        <v>10.51</v>
      </c>
      <c r="J12" t="s">
        <v>812</v>
      </c>
      <c r="K12" s="3">
        <v>1</v>
      </c>
      <c r="L12" t="s">
        <v>36</v>
      </c>
      <c r="M12" t="s">
        <v>758</v>
      </c>
      <c r="N12" s="3">
        <v>2.5999999999999999E-2</v>
      </c>
      <c r="O12" t="s">
        <v>642</v>
      </c>
      <c r="P12" t="s">
        <v>813</v>
      </c>
      <c r="Q12" t="s">
        <v>759</v>
      </c>
      <c r="R12" s="3">
        <v>1.3839999999999999</v>
      </c>
      <c r="S12" s="3">
        <v>3.0000000000000001E-3</v>
      </c>
      <c r="T12" t="s">
        <v>760</v>
      </c>
      <c r="U12" s="3">
        <v>2.7E-2</v>
      </c>
      <c r="V12" s="3">
        <v>0.128</v>
      </c>
      <c r="W12" s="3">
        <v>-0.14799999999999999</v>
      </c>
      <c r="X12" s="3">
        <v>3.5000000000000003E-2</v>
      </c>
    </row>
    <row r="13" spans="1:24" x14ac:dyDescent="0.25">
      <c r="A13" t="s">
        <v>21</v>
      </c>
      <c r="B13" t="s">
        <v>606</v>
      </c>
      <c r="C13" t="s">
        <v>23</v>
      </c>
      <c r="D13">
        <v>4.58</v>
      </c>
      <c r="E13" s="4">
        <v>7.73</v>
      </c>
      <c r="F13">
        <f t="shared" si="0"/>
        <v>68.777292576419228</v>
      </c>
      <c r="G13">
        <v>4.9105057716369602</v>
      </c>
      <c r="H13" s="4">
        <v>7.75</v>
      </c>
      <c r="I13" s="4">
        <v>4.84</v>
      </c>
      <c r="J13" t="s">
        <v>786</v>
      </c>
      <c r="K13" s="3">
        <v>1</v>
      </c>
      <c r="L13" t="s">
        <v>24</v>
      </c>
      <c r="M13" t="s">
        <v>745</v>
      </c>
      <c r="N13" s="3">
        <v>3.2000000000000001E-2</v>
      </c>
      <c r="O13" t="s">
        <v>681</v>
      </c>
      <c r="P13" t="s">
        <v>814</v>
      </c>
      <c r="Q13" t="s">
        <v>746</v>
      </c>
      <c r="R13" s="3">
        <v>0.68600000000000005</v>
      </c>
      <c r="S13" s="3">
        <v>8.9999999999999993E-3</v>
      </c>
      <c r="T13" t="s">
        <v>747</v>
      </c>
      <c r="U13" s="3">
        <v>1.4E-2</v>
      </c>
      <c r="V13" s="3">
        <v>-1.4E-2</v>
      </c>
      <c r="W13" s="3">
        <v>-3.0000000000000001E-3</v>
      </c>
      <c r="X13" s="3">
        <v>6.6000000000000003E-2</v>
      </c>
    </row>
    <row r="14" spans="1:24" x14ac:dyDescent="0.25">
      <c r="A14" t="s">
        <v>26</v>
      </c>
      <c r="B14" t="s">
        <v>607</v>
      </c>
      <c r="C14" t="s">
        <v>28</v>
      </c>
      <c r="D14">
        <v>3.49</v>
      </c>
      <c r="E14" s="4">
        <v>4.88</v>
      </c>
      <c r="F14">
        <f t="shared" si="0"/>
        <v>39.828080229226344</v>
      </c>
      <c r="G14">
        <v>4.1038346290588299</v>
      </c>
      <c r="H14" s="4">
        <v>5.2</v>
      </c>
      <c r="I14" s="4">
        <v>3.43</v>
      </c>
      <c r="J14" t="s">
        <v>815</v>
      </c>
      <c r="K14" s="3">
        <v>1</v>
      </c>
      <c r="L14" t="s">
        <v>29</v>
      </c>
      <c r="M14" t="s">
        <v>762</v>
      </c>
      <c r="N14" s="3">
        <v>3.6999999999999998E-2</v>
      </c>
      <c r="O14" t="s">
        <v>768</v>
      </c>
      <c r="Q14" t="s">
        <v>763</v>
      </c>
      <c r="R14" s="3">
        <v>8.8999999999999996E-2</v>
      </c>
      <c r="T14" t="s">
        <v>764</v>
      </c>
      <c r="U14" s="3">
        <v>6.2E-2</v>
      </c>
      <c r="V14" s="3">
        <v>4.7E-2</v>
      </c>
      <c r="W14" s="3">
        <v>8.3000000000000004E-2</v>
      </c>
      <c r="X14" s="3">
        <v>0.216</v>
      </c>
    </row>
    <row r="15" spans="1:24" x14ac:dyDescent="0.25">
      <c r="A15" t="s">
        <v>777</v>
      </c>
      <c r="B15" t="s">
        <v>608</v>
      </c>
      <c r="C15" t="s">
        <v>28</v>
      </c>
      <c r="D15">
        <v>28.81</v>
      </c>
      <c r="E15" s="4">
        <v>37.6</v>
      </c>
      <c r="F15">
        <f t="shared" si="0"/>
        <v>30.510239500173554</v>
      </c>
      <c r="G15">
        <v>32.420413970947202</v>
      </c>
      <c r="H15" s="4">
        <v>45.14</v>
      </c>
      <c r="I15" s="4">
        <v>30.88</v>
      </c>
      <c r="J15" t="s">
        <v>787</v>
      </c>
      <c r="K15" s="3">
        <v>1</v>
      </c>
      <c r="L15" t="s">
        <v>781</v>
      </c>
      <c r="M15" t="s">
        <v>788</v>
      </c>
      <c r="N15" s="3">
        <v>2.7E-2</v>
      </c>
      <c r="O15" t="s">
        <v>789</v>
      </c>
      <c r="Q15" t="s">
        <v>790</v>
      </c>
      <c r="R15" s="3">
        <v>0.107</v>
      </c>
      <c r="S15" s="3">
        <v>1.2999999999999999E-2</v>
      </c>
      <c r="T15" t="s">
        <v>791</v>
      </c>
      <c r="U15" s="3">
        <v>0.59099999999999997</v>
      </c>
      <c r="V15" s="3">
        <v>-0.39500000000000002</v>
      </c>
      <c r="X15" s="3">
        <v>0.04</v>
      </c>
    </row>
    <row r="16" spans="1:24" x14ac:dyDescent="0.25">
      <c r="A16" t="s">
        <v>30</v>
      </c>
      <c r="B16" t="s">
        <v>609</v>
      </c>
      <c r="C16" t="s">
        <v>28</v>
      </c>
      <c r="D16">
        <v>5.41</v>
      </c>
      <c r="E16" s="4">
        <v>5.6</v>
      </c>
      <c r="F16">
        <f t="shared" si="0"/>
        <v>3.512014787430684</v>
      </c>
      <c r="G16">
        <v>5.1316223144531197</v>
      </c>
      <c r="H16" s="4">
        <v>6.66</v>
      </c>
      <c r="I16" s="4">
        <v>5.03</v>
      </c>
      <c r="J16" t="s">
        <v>816</v>
      </c>
      <c r="K16" s="3">
        <v>1</v>
      </c>
      <c r="L16" t="s">
        <v>792</v>
      </c>
      <c r="M16" t="s">
        <v>765</v>
      </c>
      <c r="N16" s="3">
        <v>3.5000000000000003E-2</v>
      </c>
      <c r="O16" t="s">
        <v>695</v>
      </c>
      <c r="P16" t="s">
        <v>817</v>
      </c>
      <c r="Q16" t="s">
        <v>766</v>
      </c>
      <c r="R16" s="3">
        <v>0.68</v>
      </c>
      <c r="S16" s="3">
        <v>1.4E-2</v>
      </c>
      <c r="T16" t="s">
        <v>767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M28" sqref="M2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68</v>
      </c>
      <c r="B1" s="1" t="s">
        <v>1</v>
      </c>
      <c r="C1" s="1" t="s">
        <v>701</v>
      </c>
      <c r="D1" s="1" t="s">
        <v>56</v>
      </c>
      <c r="E1" s="1" t="s">
        <v>57</v>
      </c>
      <c r="F1" s="1" t="s">
        <v>59</v>
      </c>
      <c r="G1" s="1" t="s">
        <v>60</v>
      </c>
      <c r="H1" s="1" t="s">
        <v>0</v>
      </c>
      <c r="I1" s="1" t="s">
        <v>2</v>
      </c>
      <c r="J1" s="1" t="s">
        <v>3</v>
      </c>
      <c r="K1" s="5" t="s">
        <v>702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774</v>
      </c>
      <c r="C2" s="11">
        <v>7.7</v>
      </c>
      <c r="D2" s="11" t="s">
        <v>620</v>
      </c>
      <c r="E2" t="s">
        <v>626</v>
      </c>
      <c r="F2" t="s">
        <v>621</v>
      </c>
      <c r="G2" t="s">
        <v>622</v>
      </c>
      <c r="H2" t="s">
        <v>775</v>
      </c>
      <c r="I2" t="s">
        <v>627</v>
      </c>
      <c r="J2" s="4">
        <v>6.8</v>
      </c>
      <c r="K2" s="11">
        <f t="shared" ref="K2:K4" si="0">(J2/C2-1)*100</f>
        <v>-11.688311688311693</v>
      </c>
      <c r="L2" s="4">
        <v>9.1999999999999993</v>
      </c>
      <c r="M2" s="4">
        <v>2.0699999999999998</v>
      </c>
      <c r="N2" t="s">
        <v>797</v>
      </c>
      <c r="P2" t="s">
        <v>776</v>
      </c>
      <c r="R2" s="3">
        <v>0</v>
      </c>
      <c r="U2" t="s">
        <v>779</v>
      </c>
      <c r="V2" s="3">
        <v>4.2999999999999997E-2</v>
      </c>
      <c r="W2" s="3">
        <v>7.0000000000000007E-2</v>
      </c>
      <c r="X2" t="s">
        <v>780</v>
      </c>
      <c r="Y2" s="3">
        <v>-5.8010000000000002</v>
      </c>
      <c r="Z2" s="3">
        <v>3.7549999999999999</v>
      </c>
      <c r="AB2" s="3">
        <v>-0.49199999999999999</v>
      </c>
    </row>
    <row r="3" spans="1:28" x14ac:dyDescent="0.25">
      <c r="A3" s="19">
        <v>45929</v>
      </c>
      <c r="B3" s="11" t="s">
        <v>97</v>
      </c>
      <c r="C3" s="11">
        <v>26.79</v>
      </c>
      <c r="D3" s="11" t="s">
        <v>619</v>
      </c>
      <c r="E3" t="s">
        <v>626</v>
      </c>
      <c r="F3" s="11" t="s">
        <v>700</v>
      </c>
      <c r="G3" t="s">
        <v>622</v>
      </c>
      <c r="H3" t="s">
        <v>217</v>
      </c>
      <c r="I3" t="s">
        <v>46</v>
      </c>
      <c r="J3" s="4">
        <v>26.79</v>
      </c>
      <c r="K3" s="14">
        <f t="shared" si="0"/>
        <v>0</v>
      </c>
      <c r="L3" s="4">
        <v>33.229999999999997</v>
      </c>
      <c r="M3" s="4">
        <v>26.61</v>
      </c>
      <c r="N3" t="s">
        <v>772</v>
      </c>
      <c r="O3" s="3">
        <v>1</v>
      </c>
      <c r="P3" t="s">
        <v>218</v>
      </c>
      <c r="Q3" t="s">
        <v>753</v>
      </c>
      <c r="R3" s="3">
        <v>3.1E-2</v>
      </c>
      <c r="S3" t="s">
        <v>681</v>
      </c>
      <c r="T3" t="s">
        <v>773</v>
      </c>
      <c r="U3" t="s">
        <v>754</v>
      </c>
      <c r="V3" s="3">
        <v>3.577</v>
      </c>
      <c r="W3" s="3">
        <v>6.0000000000000001E-3</v>
      </c>
      <c r="X3" t="s">
        <v>755</v>
      </c>
      <c r="Y3" s="3">
        <v>1.4E-2</v>
      </c>
      <c r="Z3" s="3">
        <v>4.2999999999999997E-2</v>
      </c>
      <c r="AA3" s="3">
        <v>-0.14599999999999999</v>
      </c>
      <c r="AB3" s="3">
        <v>0.188</v>
      </c>
    </row>
    <row r="4" spans="1:28" x14ac:dyDescent="0.25">
      <c r="A4" s="19">
        <v>45894</v>
      </c>
      <c r="B4" s="11" t="s">
        <v>81</v>
      </c>
      <c r="C4" s="11">
        <v>45.06</v>
      </c>
      <c r="D4" s="11" t="s">
        <v>620</v>
      </c>
      <c r="E4" t="s">
        <v>626</v>
      </c>
      <c r="F4" t="s">
        <v>621</v>
      </c>
      <c r="G4" t="s">
        <v>622</v>
      </c>
      <c r="H4" t="s">
        <v>375</v>
      </c>
      <c r="I4" t="s">
        <v>748</v>
      </c>
      <c r="J4" s="4">
        <v>49.76</v>
      </c>
      <c r="K4" s="14">
        <f t="shared" si="0"/>
        <v>10.4305370616955</v>
      </c>
      <c r="L4" s="4">
        <v>55.87</v>
      </c>
      <c r="M4" s="4">
        <v>14.93</v>
      </c>
      <c r="N4" t="s">
        <v>804</v>
      </c>
      <c r="P4" t="s">
        <v>749</v>
      </c>
      <c r="Q4" t="s">
        <v>750</v>
      </c>
      <c r="R4" s="3">
        <v>0</v>
      </c>
      <c r="S4" t="s">
        <v>805</v>
      </c>
      <c r="T4" t="s">
        <v>806</v>
      </c>
      <c r="U4" t="s">
        <v>751</v>
      </c>
      <c r="V4" s="3">
        <v>0.84399999999999997</v>
      </c>
      <c r="W4" s="3">
        <v>7.0999999999999994E-2</v>
      </c>
      <c r="X4" t="s">
        <v>752</v>
      </c>
      <c r="Y4" s="3">
        <v>6.5000000000000002E-2</v>
      </c>
      <c r="Z4" s="3">
        <v>0.48799999999999999</v>
      </c>
      <c r="AB4" s="3">
        <v>0.08</v>
      </c>
    </row>
    <row r="5" spans="1:28" x14ac:dyDescent="0.25">
      <c r="A5" s="19">
        <v>45894</v>
      </c>
      <c r="B5" t="s">
        <v>48</v>
      </c>
      <c r="C5" s="11">
        <v>2.83</v>
      </c>
      <c r="D5" s="11" t="s">
        <v>619</v>
      </c>
      <c r="E5" t="s">
        <v>626</v>
      </c>
      <c r="F5" s="11" t="s">
        <v>700</v>
      </c>
      <c r="G5" t="s">
        <v>622</v>
      </c>
      <c r="H5" t="s">
        <v>47</v>
      </c>
      <c r="I5" t="s">
        <v>46</v>
      </c>
      <c r="J5" s="11">
        <v>2.83</v>
      </c>
      <c r="K5" s="21">
        <f>(J5/C5-1)*100</f>
        <v>0</v>
      </c>
      <c r="L5" s="4">
        <v>3.9</v>
      </c>
      <c r="M5" s="4">
        <v>2.72</v>
      </c>
      <c r="N5" t="s">
        <v>610</v>
      </c>
      <c r="O5" s="3">
        <v>1</v>
      </c>
      <c r="P5" t="s">
        <v>49</v>
      </c>
      <c r="Q5" t="s">
        <v>50</v>
      </c>
      <c r="R5" s="3">
        <v>5.3999999999999999E-2</v>
      </c>
      <c r="S5" t="s">
        <v>25</v>
      </c>
      <c r="T5" t="s">
        <v>732</v>
      </c>
      <c r="U5" t="s">
        <v>51</v>
      </c>
      <c r="V5" s="3">
        <v>6.4219999999999997</v>
      </c>
      <c r="W5" s="3">
        <v>1.2999999999999999E-2</v>
      </c>
      <c r="X5" t="s">
        <v>52</v>
      </c>
      <c r="Y5" s="3">
        <v>2.8000000000000001E-2</v>
      </c>
      <c r="Z5" s="3">
        <v>6.9000000000000006E-2</v>
      </c>
      <c r="AA5" s="3">
        <v>6.7000000000000004E-2</v>
      </c>
      <c r="AB5" s="3">
        <v>0.38600000000000001</v>
      </c>
    </row>
    <row r="6" spans="1:28" x14ac:dyDescent="0.25">
      <c r="A6" s="19">
        <v>45879</v>
      </c>
      <c r="B6" s="11" t="s">
        <v>92</v>
      </c>
      <c r="C6" s="11">
        <v>3.37</v>
      </c>
      <c r="D6" s="11" t="s">
        <v>620</v>
      </c>
      <c r="E6" t="s">
        <v>626</v>
      </c>
      <c r="F6" t="s">
        <v>621</v>
      </c>
      <c r="G6" t="s">
        <v>622</v>
      </c>
      <c r="H6" t="s">
        <v>374</v>
      </c>
      <c r="I6" t="s">
        <v>28</v>
      </c>
      <c r="J6" s="4">
        <v>3.87</v>
      </c>
      <c r="K6" s="6">
        <f>(J6/C6-1)*100</f>
        <v>14.836795252225521</v>
      </c>
      <c r="L6" s="4">
        <v>4.93</v>
      </c>
      <c r="M6" s="4">
        <v>1.085</v>
      </c>
      <c r="N6" t="s">
        <v>793</v>
      </c>
      <c r="P6" t="s">
        <v>722</v>
      </c>
      <c r="Q6" t="s">
        <v>733</v>
      </c>
      <c r="R6" s="3">
        <v>0</v>
      </c>
      <c r="S6" t="s">
        <v>794</v>
      </c>
      <c r="U6" t="s">
        <v>734</v>
      </c>
      <c r="V6" s="3">
        <v>3.4159999999999999</v>
      </c>
      <c r="X6" t="s">
        <v>735</v>
      </c>
      <c r="Y6" s="3">
        <v>7.4999999999999997E-2</v>
      </c>
      <c r="Z6" s="3">
        <v>0.215</v>
      </c>
      <c r="AB6" s="3">
        <v>0.14399999999999999</v>
      </c>
    </row>
    <row r="7" spans="1:28" x14ac:dyDescent="0.25">
      <c r="A7" s="12">
        <v>45872</v>
      </c>
      <c r="B7" t="s">
        <v>95</v>
      </c>
      <c r="C7" s="11">
        <v>1.7050000000000001</v>
      </c>
      <c r="D7" s="11" t="s">
        <v>619</v>
      </c>
      <c r="E7" t="s">
        <v>626</v>
      </c>
      <c r="F7" s="10" t="s">
        <v>700</v>
      </c>
      <c r="G7" t="s">
        <v>622</v>
      </c>
      <c r="H7" t="s">
        <v>211</v>
      </c>
      <c r="I7" t="s">
        <v>212</v>
      </c>
      <c r="J7" s="13">
        <v>1.7050000000000001</v>
      </c>
      <c r="K7" s="14">
        <v>0</v>
      </c>
      <c r="L7" s="4">
        <v>4.75</v>
      </c>
      <c r="M7" s="4">
        <v>1.68</v>
      </c>
      <c r="N7" t="s">
        <v>704</v>
      </c>
      <c r="P7" t="s">
        <v>213</v>
      </c>
      <c r="R7" s="3">
        <v>0</v>
      </c>
      <c r="U7" t="s">
        <v>214</v>
      </c>
      <c r="V7" s="3">
        <v>1E-3</v>
      </c>
      <c r="W7" s="3">
        <v>0.13900000000000001</v>
      </c>
      <c r="X7" t="s">
        <v>215</v>
      </c>
      <c r="Y7" s="3">
        <v>-0.47199999999999998</v>
      </c>
      <c r="AA7" s="3">
        <v>2.157</v>
      </c>
      <c r="AB7" s="3">
        <v>-4.4999999999999998E-2</v>
      </c>
    </row>
    <row r="8" spans="1:28" x14ac:dyDescent="0.25">
      <c r="A8" s="2">
        <v>45786</v>
      </c>
      <c r="B8" t="s">
        <v>95</v>
      </c>
      <c r="C8">
        <v>3.58</v>
      </c>
      <c r="D8" t="s">
        <v>620</v>
      </c>
      <c r="E8" t="s">
        <v>626</v>
      </c>
      <c r="F8" t="s">
        <v>621</v>
      </c>
      <c r="G8" t="s">
        <v>622</v>
      </c>
      <c r="H8" t="s">
        <v>211</v>
      </c>
      <c r="I8" t="s">
        <v>212</v>
      </c>
      <c r="J8" s="4">
        <v>1.71</v>
      </c>
      <c r="K8" s="6">
        <f t="shared" ref="K8:K28" si="1">(J8/C8-1)*100</f>
        <v>-52.234636871508378</v>
      </c>
      <c r="L8" s="4">
        <v>4.75</v>
      </c>
      <c r="M8" s="4">
        <v>1.68</v>
      </c>
      <c r="N8" t="s">
        <v>704</v>
      </c>
      <c r="P8" t="s">
        <v>213</v>
      </c>
      <c r="R8" s="3">
        <v>0</v>
      </c>
      <c r="U8" t="s">
        <v>214</v>
      </c>
      <c r="V8" s="3">
        <v>1E-3</v>
      </c>
      <c r="W8" s="3">
        <v>0.13900000000000001</v>
      </c>
      <c r="X8" t="s">
        <v>215</v>
      </c>
      <c r="Y8" s="3">
        <v>-0.47199999999999998</v>
      </c>
      <c r="AA8" s="3">
        <v>2.157</v>
      </c>
      <c r="AB8" s="3">
        <v>-4.4999999999999998E-2</v>
      </c>
    </row>
    <row r="9" spans="1:28" x14ac:dyDescent="0.25">
      <c r="A9" s="2">
        <v>45786</v>
      </c>
      <c r="B9" t="s">
        <v>96</v>
      </c>
      <c r="C9">
        <v>169.66</v>
      </c>
      <c r="D9" t="s">
        <v>620</v>
      </c>
      <c r="E9" t="s">
        <v>626</v>
      </c>
      <c r="F9" t="s">
        <v>621</v>
      </c>
      <c r="G9" t="s">
        <v>622</v>
      </c>
      <c r="H9" t="s">
        <v>216</v>
      </c>
      <c r="I9" t="s">
        <v>28</v>
      </c>
      <c r="J9" s="4">
        <v>171.64</v>
      </c>
      <c r="K9" s="6">
        <f t="shared" si="1"/>
        <v>1.1670399622774941</v>
      </c>
      <c r="L9" s="4">
        <v>189.08</v>
      </c>
      <c r="M9" s="4">
        <v>136.96</v>
      </c>
      <c r="N9" t="s">
        <v>795</v>
      </c>
      <c r="O9" s="3">
        <v>1</v>
      </c>
      <c r="P9" t="s">
        <v>699</v>
      </c>
      <c r="Q9" t="s">
        <v>729</v>
      </c>
      <c r="R9" s="3">
        <v>2.8000000000000001E-2</v>
      </c>
      <c r="S9" t="s">
        <v>796</v>
      </c>
      <c r="U9" t="s">
        <v>730</v>
      </c>
      <c r="V9" s="3">
        <v>2.758</v>
      </c>
      <c r="X9" t="s">
        <v>731</v>
      </c>
      <c r="Y9" s="3">
        <v>0.35399999999999998</v>
      </c>
      <c r="Z9" s="3">
        <v>0.38900000000000001</v>
      </c>
      <c r="AA9" s="3">
        <v>8.2000000000000003E-2</v>
      </c>
      <c r="AB9" s="3">
        <v>0.13300000000000001</v>
      </c>
    </row>
    <row r="10" spans="1:28" x14ac:dyDescent="0.25">
      <c r="A10" s="2">
        <v>45786</v>
      </c>
      <c r="B10" t="s">
        <v>97</v>
      </c>
      <c r="C10">
        <v>32.68</v>
      </c>
      <c r="D10" t="s">
        <v>620</v>
      </c>
      <c r="E10" t="s">
        <v>626</v>
      </c>
      <c r="F10" t="s">
        <v>621</v>
      </c>
      <c r="G10" t="s">
        <v>622</v>
      </c>
      <c r="H10" t="s">
        <v>217</v>
      </c>
      <c r="I10" t="s">
        <v>46</v>
      </c>
      <c r="J10" s="4">
        <v>27.38</v>
      </c>
      <c r="K10" s="6">
        <f t="shared" si="1"/>
        <v>-16.217870257037948</v>
      </c>
      <c r="L10" s="4">
        <v>33.4</v>
      </c>
      <c r="M10" s="4">
        <v>27.08</v>
      </c>
      <c r="N10" t="s">
        <v>769</v>
      </c>
      <c r="O10" s="3">
        <v>1</v>
      </c>
      <c r="P10" t="s">
        <v>218</v>
      </c>
      <c r="Q10" t="s">
        <v>753</v>
      </c>
      <c r="R10" s="3">
        <v>3.1E-2</v>
      </c>
      <c r="S10" t="s">
        <v>681</v>
      </c>
      <c r="T10" t="s">
        <v>770</v>
      </c>
      <c r="U10" t="s">
        <v>754</v>
      </c>
      <c r="V10" s="3">
        <v>3.577</v>
      </c>
      <c r="W10" s="3">
        <v>6.0000000000000001E-3</v>
      </c>
      <c r="X10" t="s">
        <v>755</v>
      </c>
      <c r="Y10" s="3">
        <v>1.4E-2</v>
      </c>
      <c r="Z10" s="3">
        <v>4.2999999999999997E-2</v>
      </c>
      <c r="AA10" s="3">
        <v>-0.14599999999999999</v>
      </c>
      <c r="AB10" s="3">
        <v>0.188</v>
      </c>
    </row>
    <row r="11" spans="1:28" x14ac:dyDescent="0.25">
      <c r="A11" s="2">
        <v>45786</v>
      </c>
      <c r="B11" t="s">
        <v>98</v>
      </c>
      <c r="C11">
        <v>3.06</v>
      </c>
      <c r="D11" t="s">
        <v>620</v>
      </c>
      <c r="E11" t="s">
        <v>626</v>
      </c>
      <c r="F11" t="s">
        <v>621</v>
      </c>
      <c r="G11" t="s">
        <v>622</v>
      </c>
      <c r="H11" t="s">
        <v>219</v>
      </c>
      <c r="I11" t="s">
        <v>41</v>
      </c>
      <c r="J11" s="4">
        <v>3.54</v>
      </c>
      <c r="K11" s="6">
        <f t="shared" si="1"/>
        <v>15.68627450980391</v>
      </c>
      <c r="L11" s="4">
        <v>3.59</v>
      </c>
      <c r="M11" s="4">
        <v>2.67</v>
      </c>
      <c r="N11" t="s">
        <v>736</v>
      </c>
      <c r="O11" s="3">
        <v>0</v>
      </c>
      <c r="P11" t="s">
        <v>782</v>
      </c>
      <c r="Q11" t="s">
        <v>723</v>
      </c>
      <c r="R11" s="3">
        <v>4.5999999999999999E-2</v>
      </c>
      <c r="S11" t="s">
        <v>783</v>
      </c>
      <c r="U11" t="s">
        <v>724</v>
      </c>
      <c r="V11" s="3">
        <v>0.54600000000000004</v>
      </c>
      <c r="W11" s="3">
        <v>2E-3</v>
      </c>
      <c r="X11" t="s">
        <v>725</v>
      </c>
      <c r="Y11" s="3">
        <v>0.56999999999999995</v>
      </c>
      <c r="Z11" s="3">
        <v>4.7E-2</v>
      </c>
      <c r="AA11" s="3">
        <v>-0.29499999999999998</v>
      </c>
      <c r="AB11" s="3">
        <v>5.3999999999999999E-2</v>
      </c>
    </row>
    <row r="12" spans="1:28" x14ac:dyDescent="0.25">
      <c r="A12" s="2">
        <v>45786</v>
      </c>
      <c r="B12" t="s">
        <v>99</v>
      </c>
      <c r="C12">
        <v>7.17</v>
      </c>
      <c r="D12" t="s">
        <v>620</v>
      </c>
      <c r="E12" t="s">
        <v>626</v>
      </c>
      <c r="F12" t="s">
        <v>621</v>
      </c>
      <c r="G12" t="s">
        <v>622</v>
      </c>
      <c r="H12" t="s">
        <v>220</v>
      </c>
      <c r="I12" t="s">
        <v>28</v>
      </c>
      <c r="J12" s="4">
        <v>9.31</v>
      </c>
      <c r="K12" s="6">
        <f t="shared" si="1"/>
        <v>29.846582984658298</v>
      </c>
      <c r="L12" s="4">
        <v>9.41</v>
      </c>
      <c r="M12" s="4">
        <v>5.12</v>
      </c>
      <c r="N12" t="s">
        <v>798</v>
      </c>
      <c r="O12" s="3">
        <v>1</v>
      </c>
      <c r="P12" t="s">
        <v>221</v>
      </c>
      <c r="Q12" t="s">
        <v>737</v>
      </c>
      <c r="R12" s="3">
        <v>3.2000000000000001E-2</v>
      </c>
      <c r="S12" t="s">
        <v>799</v>
      </c>
      <c r="T12" t="s">
        <v>800</v>
      </c>
      <c r="U12" t="s">
        <v>738</v>
      </c>
      <c r="V12" s="3">
        <v>2.1389999999999998</v>
      </c>
      <c r="X12" t="s">
        <v>739</v>
      </c>
      <c r="Y12" s="3">
        <v>7.5999999999999998E-2</v>
      </c>
      <c r="Z12" s="3">
        <v>0.218</v>
      </c>
      <c r="AA12" s="3">
        <v>-5.8999999999999997E-2</v>
      </c>
      <c r="AB12" s="3">
        <v>0.05</v>
      </c>
    </row>
    <row r="13" spans="1:28" x14ac:dyDescent="0.25">
      <c r="A13" s="2">
        <v>45786</v>
      </c>
      <c r="B13" t="s">
        <v>100</v>
      </c>
      <c r="C13">
        <v>3.64</v>
      </c>
      <c r="D13" t="s">
        <v>620</v>
      </c>
      <c r="E13" t="s">
        <v>626</v>
      </c>
      <c r="F13" t="s">
        <v>621</v>
      </c>
      <c r="G13" t="s">
        <v>622</v>
      </c>
      <c r="H13" t="s">
        <v>703</v>
      </c>
      <c r="I13" t="s">
        <v>41</v>
      </c>
      <c r="J13" s="4">
        <v>3.84</v>
      </c>
      <c r="K13" s="6">
        <f t="shared" si="1"/>
        <v>5.4945054945054972</v>
      </c>
      <c r="L13" s="4">
        <v>3.94</v>
      </c>
      <c r="M13" s="4">
        <v>3.1</v>
      </c>
      <c r="N13" t="s">
        <v>784</v>
      </c>
      <c r="O13" s="3">
        <v>0</v>
      </c>
      <c r="P13" t="s">
        <v>223</v>
      </c>
      <c r="Q13" t="s">
        <v>726</v>
      </c>
      <c r="R13" s="3">
        <v>4.9000000000000002E-2</v>
      </c>
      <c r="S13" t="s">
        <v>801</v>
      </c>
      <c r="U13" t="s">
        <v>727</v>
      </c>
      <c r="V13" s="3">
        <v>0.28499999999999998</v>
      </c>
      <c r="W13" s="3">
        <v>3.0000000000000001E-3</v>
      </c>
      <c r="X13" t="s">
        <v>728</v>
      </c>
      <c r="Y13" s="3">
        <v>1.306</v>
      </c>
      <c r="Z13" s="3">
        <v>9.8000000000000004E-2</v>
      </c>
      <c r="AA13" s="3">
        <v>-0.21099999999999999</v>
      </c>
      <c r="AB13" s="3">
        <v>9.6000000000000002E-2</v>
      </c>
    </row>
    <row r="14" spans="1:28" x14ac:dyDescent="0.25">
      <c r="A14" s="2">
        <v>45786</v>
      </c>
      <c r="B14" t="s">
        <v>53</v>
      </c>
      <c r="C14">
        <v>5.19</v>
      </c>
      <c r="D14" t="s">
        <v>620</v>
      </c>
      <c r="E14" t="s">
        <v>626</v>
      </c>
      <c r="F14" t="s">
        <v>621</v>
      </c>
      <c r="G14" t="s">
        <v>622</v>
      </c>
      <c r="H14" t="s">
        <v>224</v>
      </c>
      <c r="I14" t="s">
        <v>23</v>
      </c>
      <c r="J14" s="4">
        <v>4.8600000000000003</v>
      </c>
      <c r="K14" s="6">
        <f t="shared" si="1"/>
        <v>-6.3583815028901753</v>
      </c>
      <c r="L14" s="4">
        <v>5.33</v>
      </c>
      <c r="M14" s="4">
        <v>4.17</v>
      </c>
      <c r="N14" t="s">
        <v>802</v>
      </c>
      <c r="O14" s="3">
        <v>0</v>
      </c>
      <c r="P14" t="s">
        <v>54</v>
      </c>
      <c r="Q14" t="s">
        <v>756</v>
      </c>
      <c r="R14" s="3">
        <v>8.2000000000000003E-2</v>
      </c>
      <c r="S14" t="s">
        <v>803</v>
      </c>
      <c r="U14" t="s">
        <v>757</v>
      </c>
      <c r="V14" s="3">
        <v>0.27800000000000002</v>
      </c>
      <c r="W14" s="3">
        <v>2.4E-2</v>
      </c>
      <c r="X14" t="s">
        <v>55</v>
      </c>
      <c r="Y14" s="3">
        <v>1.524</v>
      </c>
      <c r="Z14" s="3">
        <v>0.13200000000000001</v>
      </c>
      <c r="AA14" s="3">
        <v>0.06</v>
      </c>
      <c r="AB14" s="3">
        <v>3.7999999999999999E-2</v>
      </c>
    </row>
    <row r="15" spans="1:28" x14ac:dyDescent="0.25">
      <c r="A15" s="2">
        <v>45786</v>
      </c>
      <c r="B15" t="s">
        <v>48</v>
      </c>
      <c r="C15">
        <v>3.5</v>
      </c>
      <c r="D15" t="s">
        <v>620</v>
      </c>
      <c r="E15" t="s">
        <v>626</v>
      </c>
      <c r="F15" t="s">
        <v>621</v>
      </c>
      <c r="G15" t="s">
        <v>622</v>
      </c>
      <c r="H15" t="s">
        <v>47</v>
      </c>
      <c r="I15" t="s">
        <v>46</v>
      </c>
      <c r="J15" s="4">
        <v>3.53</v>
      </c>
      <c r="K15" s="6">
        <f t="shared" si="1"/>
        <v>0.85714285714284522</v>
      </c>
      <c r="L15" s="4">
        <v>3.9</v>
      </c>
      <c r="M15" s="4">
        <v>2.72</v>
      </c>
      <c r="N15" t="s">
        <v>610</v>
      </c>
      <c r="O15" s="3">
        <v>1</v>
      </c>
      <c r="P15" t="s">
        <v>49</v>
      </c>
      <c r="Q15" t="s">
        <v>50</v>
      </c>
      <c r="R15" s="3">
        <v>5.3999999999999999E-2</v>
      </c>
      <c r="S15" t="s">
        <v>25</v>
      </c>
      <c r="T15" t="s">
        <v>732</v>
      </c>
      <c r="U15" t="s">
        <v>51</v>
      </c>
      <c r="V15" s="3">
        <v>6.4219999999999997</v>
      </c>
      <c r="W15" s="3">
        <v>1.2999999999999999E-2</v>
      </c>
      <c r="X15" t="s">
        <v>52</v>
      </c>
      <c r="Y15" s="3">
        <v>2.8000000000000001E-2</v>
      </c>
      <c r="Z15" s="3">
        <v>6.9000000000000006E-2</v>
      </c>
      <c r="AA15" s="3">
        <v>6.7000000000000004E-2</v>
      </c>
      <c r="AB15" s="3">
        <v>0.38600000000000001</v>
      </c>
    </row>
    <row r="16" spans="1:28" x14ac:dyDescent="0.25">
      <c r="A16" s="2">
        <v>45786</v>
      </c>
      <c r="B16" t="s">
        <v>43</v>
      </c>
      <c r="C16">
        <v>2.2999999999999998</v>
      </c>
      <c r="D16" t="s">
        <v>620</v>
      </c>
      <c r="E16" t="s">
        <v>626</v>
      </c>
      <c r="F16" t="s">
        <v>621</v>
      </c>
      <c r="G16" t="s">
        <v>622</v>
      </c>
      <c r="H16" t="s">
        <v>42</v>
      </c>
      <c r="I16" t="s">
        <v>41</v>
      </c>
      <c r="J16" s="4">
        <v>2.2999999999999998</v>
      </c>
      <c r="K16" s="6">
        <f t="shared" si="1"/>
        <v>0</v>
      </c>
      <c r="L16" s="4">
        <v>2.46</v>
      </c>
      <c r="M16" s="4">
        <v>1.7749999999999999</v>
      </c>
      <c r="N16" t="s">
        <v>807</v>
      </c>
      <c r="O16" s="3">
        <v>0</v>
      </c>
      <c r="P16" t="s">
        <v>44</v>
      </c>
      <c r="Q16" t="s">
        <v>740</v>
      </c>
      <c r="R16" s="3">
        <v>3.9E-2</v>
      </c>
      <c r="S16" t="s">
        <v>808</v>
      </c>
      <c r="T16" t="s">
        <v>809</v>
      </c>
      <c r="U16" t="s">
        <v>741</v>
      </c>
      <c r="V16" s="3">
        <v>0.502</v>
      </c>
      <c r="W16" s="3">
        <v>0.01</v>
      </c>
      <c r="X16" t="s">
        <v>742</v>
      </c>
      <c r="Y16" s="3">
        <v>2.8000000000000001E-2</v>
      </c>
      <c r="Z16" s="3">
        <v>2.3E-2</v>
      </c>
      <c r="AA16" s="3">
        <v>-0.57799999999999996</v>
      </c>
      <c r="AB16" s="3">
        <v>7.0000000000000001E-3</v>
      </c>
    </row>
    <row r="17" spans="1:28" x14ac:dyDescent="0.25">
      <c r="A17" s="2">
        <v>45786</v>
      </c>
      <c r="B17" t="s">
        <v>38</v>
      </c>
      <c r="C17">
        <v>4.34</v>
      </c>
      <c r="D17" t="s">
        <v>620</v>
      </c>
      <c r="E17" t="s">
        <v>626</v>
      </c>
      <c r="F17" t="s">
        <v>621</v>
      </c>
      <c r="G17" t="s">
        <v>622</v>
      </c>
      <c r="H17" t="s">
        <v>37</v>
      </c>
      <c r="I17" t="s">
        <v>23</v>
      </c>
      <c r="J17" s="4">
        <v>5.73</v>
      </c>
      <c r="K17" s="6">
        <f t="shared" si="1"/>
        <v>32.027649769585274</v>
      </c>
      <c r="L17" s="4">
        <v>5.74</v>
      </c>
      <c r="M17" s="4">
        <v>2.94</v>
      </c>
      <c r="N17" t="s">
        <v>810</v>
      </c>
      <c r="O17" s="3">
        <v>0.9</v>
      </c>
      <c r="P17" t="s">
        <v>771</v>
      </c>
      <c r="Q17" t="s">
        <v>743</v>
      </c>
      <c r="R17" s="3">
        <v>3.6999999999999998E-2</v>
      </c>
      <c r="S17" t="s">
        <v>785</v>
      </c>
      <c r="T17" t="s">
        <v>811</v>
      </c>
      <c r="U17" t="s">
        <v>744</v>
      </c>
      <c r="V17" s="3">
        <v>1.5249999999999999</v>
      </c>
      <c r="W17" s="3">
        <v>0.01</v>
      </c>
      <c r="X17" t="s">
        <v>39</v>
      </c>
      <c r="Y17" s="3">
        <v>4.2000000000000003E-2</v>
      </c>
      <c r="Z17" s="3">
        <v>0.10299999999999999</v>
      </c>
      <c r="AB17" s="3">
        <v>0.42899999999999999</v>
      </c>
    </row>
    <row r="18" spans="1:28" x14ac:dyDescent="0.25">
      <c r="A18" s="2">
        <v>45770</v>
      </c>
      <c r="B18" t="s">
        <v>242</v>
      </c>
      <c r="C18">
        <v>2.64</v>
      </c>
      <c r="D18" t="s">
        <v>619</v>
      </c>
      <c r="E18" t="s">
        <v>624</v>
      </c>
      <c r="F18" t="s">
        <v>700</v>
      </c>
      <c r="G18" t="s">
        <v>622</v>
      </c>
      <c r="H18" t="s">
        <v>363</v>
      </c>
      <c r="I18" t="s">
        <v>627</v>
      </c>
      <c r="J18" s="4">
        <v>2.46</v>
      </c>
      <c r="K18" s="6">
        <f t="shared" si="1"/>
        <v>-6.8181818181818237</v>
      </c>
      <c r="L18" s="4">
        <v>2.77</v>
      </c>
      <c r="M18" s="4">
        <v>0.98499999999999999</v>
      </c>
      <c r="N18" t="s">
        <v>628</v>
      </c>
      <c r="P18" t="s">
        <v>629</v>
      </c>
      <c r="R18" s="3">
        <v>0</v>
      </c>
      <c r="S18" t="s">
        <v>630</v>
      </c>
      <c r="U18" t="s">
        <v>631</v>
      </c>
      <c r="V18" s="3">
        <v>6.0000000000000001E-3</v>
      </c>
      <c r="W18" s="3">
        <v>0.33100000000000002</v>
      </c>
      <c r="X18" t="s">
        <v>632</v>
      </c>
      <c r="Y18" s="3">
        <v>-0.20899999999999999</v>
      </c>
      <c r="Z18" s="3">
        <v>2.7229999999999999</v>
      </c>
      <c r="AB18" s="3">
        <v>-7.0000000000000001E-3</v>
      </c>
    </row>
    <row r="19" spans="1:28" x14ac:dyDescent="0.25">
      <c r="A19" s="2">
        <v>45758</v>
      </c>
      <c r="B19" t="s">
        <v>101</v>
      </c>
      <c r="C19">
        <v>1.2450000000000001</v>
      </c>
      <c r="D19" t="s">
        <v>619</v>
      </c>
      <c r="E19" t="s">
        <v>625</v>
      </c>
      <c r="F19" t="s">
        <v>700</v>
      </c>
      <c r="G19" t="s">
        <v>623</v>
      </c>
      <c r="H19" t="s">
        <v>364</v>
      </c>
      <c r="I19" t="s">
        <v>212</v>
      </c>
      <c r="J19" s="4">
        <v>1.36</v>
      </c>
      <c r="K19" s="6">
        <f t="shared" si="1"/>
        <v>9.2369477911646634</v>
      </c>
      <c r="L19" s="4">
        <v>1.5149999999999999</v>
      </c>
      <c r="M19" s="4">
        <v>1.04</v>
      </c>
      <c r="N19" t="s">
        <v>633</v>
      </c>
      <c r="O19" s="3">
        <v>1</v>
      </c>
      <c r="P19" t="s">
        <v>634</v>
      </c>
      <c r="Q19" t="s">
        <v>635</v>
      </c>
      <c r="R19" s="3">
        <v>3.6999999999999998E-2</v>
      </c>
      <c r="S19" t="s">
        <v>636</v>
      </c>
      <c r="U19" t="s">
        <v>637</v>
      </c>
      <c r="V19" s="3">
        <v>0.19400000000000001</v>
      </c>
      <c r="W19" s="3">
        <v>8.0000000000000002E-3</v>
      </c>
      <c r="X19" t="s">
        <v>638</v>
      </c>
      <c r="Y19" s="3">
        <v>4.9000000000000002E-2</v>
      </c>
      <c r="Z19" s="3">
        <v>4.8000000000000001E-2</v>
      </c>
      <c r="AB19" s="3">
        <v>2.5999999999999999E-2</v>
      </c>
    </row>
    <row r="20" spans="1:28" x14ac:dyDescent="0.25">
      <c r="A20" s="2">
        <v>45758</v>
      </c>
      <c r="B20" t="s">
        <v>88</v>
      </c>
      <c r="C20">
        <v>45.15</v>
      </c>
      <c r="D20" t="s">
        <v>619</v>
      </c>
      <c r="E20" t="s">
        <v>625</v>
      </c>
      <c r="F20" t="s">
        <v>700</v>
      </c>
      <c r="G20" t="s">
        <v>623</v>
      </c>
      <c r="H20" t="s">
        <v>365</v>
      </c>
      <c r="I20" t="s">
        <v>23</v>
      </c>
      <c r="J20" s="4">
        <v>50.67</v>
      </c>
      <c r="K20" s="6">
        <f t="shared" si="1"/>
        <v>12.225913621262464</v>
      </c>
      <c r="L20" s="4">
        <v>55.65</v>
      </c>
      <c r="M20" s="4">
        <v>34.71</v>
      </c>
      <c r="N20" t="s">
        <v>639</v>
      </c>
      <c r="O20" s="3">
        <v>1</v>
      </c>
      <c r="P20" t="s">
        <v>640</v>
      </c>
      <c r="Q20" t="s">
        <v>641</v>
      </c>
      <c r="R20" s="3">
        <v>1.2E-2</v>
      </c>
      <c r="S20" t="s">
        <v>642</v>
      </c>
      <c r="U20" t="s">
        <v>643</v>
      </c>
      <c r="V20" s="3">
        <v>1.224</v>
      </c>
      <c r="W20" s="3">
        <v>0.02</v>
      </c>
      <c r="X20" t="s">
        <v>644</v>
      </c>
      <c r="Y20" s="3">
        <v>7.5999999999999998E-2</v>
      </c>
      <c r="Z20" s="3">
        <v>0.29899999999999999</v>
      </c>
      <c r="AA20" s="3">
        <v>-0.124</v>
      </c>
      <c r="AB20" s="3">
        <v>0.182</v>
      </c>
    </row>
    <row r="21" spans="1:28" x14ac:dyDescent="0.25">
      <c r="A21" s="2">
        <v>45737</v>
      </c>
      <c r="B21" t="s">
        <v>84</v>
      </c>
      <c r="C21">
        <v>37.54</v>
      </c>
      <c r="D21" t="s">
        <v>619</v>
      </c>
      <c r="E21" t="s">
        <v>625</v>
      </c>
      <c r="F21" t="s">
        <v>700</v>
      </c>
      <c r="G21" t="s">
        <v>623</v>
      </c>
      <c r="H21" t="s">
        <v>366</v>
      </c>
      <c r="I21" t="s">
        <v>23</v>
      </c>
      <c r="J21" s="4">
        <v>40.61</v>
      </c>
      <c r="K21" s="6">
        <f t="shared" si="1"/>
        <v>8.1779435269046417</v>
      </c>
      <c r="L21" s="4">
        <v>43.23</v>
      </c>
      <c r="M21" s="4">
        <v>24.42</v>
      </c>
      <c r="N21" t="s">
        <v>645</v>
      </c>
      <c r="O21" s="3">
        <v>0</v>
      </c>
      <c r="P21" t="s">
        <v>646</v>
      </c>
      <c r="Q21" t="s">
        <v>647</v>
      </c>
      <c r="R21" s="3">
        <v>2.1000000000000001E-2</v>
      </c>
      <c r="S21" t="s">
        <v>648</v>
      </c>
      <c r="T21" t="s">
        <v>649</v>
      </c>
      <c r="U21" t="s">
        <v>650</v>
      </c>
      <c r="V21" s="3">
        <v>0.90700000000000003</v>
      </c>
      <c r="W21" s="3">
        <v>1.4999999999999999E-2</v>
      </c>
      <c r="X21" t="s">
        <v>651</v>
      </c>
      <c r="Y21" s="3">
        <v>0.18</v>
      </c>
      <c r="Z21" s="3">
        <v>9.1999999999999998E-2</v>
      </c>
      <c r="AA21" s="3">
        <v>0.34499999999999997</v>
      </c>
      <c r="AB21" s="3">
        <v>0.27300000000000002</v>
      </c>
    </row>
    <row r="22" spans="1:28" x14ac:dyDescent="0.25">
      <c r="A22" s="2">
        <v>45730</v>
      </c>
      <c r="B22" t="s">
        <v>91</v>
      </c>
      <c r="C22">
        <v>18.73</v>
      </c>
      <c r="D22" t="s">
        <v>619</v>
      </c>
      <c r="E22" t="s">
        <v>625</v>
      </c>
      <c r="F22" t="s">
        <v>700</v>
      </c>
      <c r="G22" t="s">
        <v>623</v>
      </c>
      <c r="H22" t="s">
        <v>367</v>
      </c>
      <c r="I22" t="s">
        <v>28</v>
      </c>
      <c r="J22" s="4">
        <v>20.59</v>
      </c>
      <c r="K22" s="6">
        <f t="shared" si="1"/>
        <v>9.9305926321409554</v>
      </c>
      <c r="L22" s="4">
        <v>22.14</v>
      </c>
      <c r="M22" s="4">
        <v>15.01</v>
      </c>
      <c r="N22" t="s">
        <v>652</v>
      </c>
      <c r="O22" s="3">
        <v>1</v>
      </c>
      <c r="P22" t="s">
        <v>653</v>
      </c>
      <c r="Q22" t="s">
        <v>654</v>
      </c>
      <c r="R22" s="3">
        <v>4.1000000000000002E-2</v>
      </c>
      <c r="S22" t="s">
        <v>636</v>
      </c>
      <c r="T22" t="s">
        <v>655</v>
      </c>
      <c r="U22" t="s">
        <v>656</v>
      </c>
      <c r="V22" s="3">
        <v>0.17399999999999999</v>
      </c>
      <c r="X22" t="s">
        <v>657</v>
      </c>
      <c r="Y22" s="3">
        <v>0.09</v>
      </c>
      <c r="Z22" s="3">
        <v>-2.5000000000000001E-2</v>
      </c>
      <c r="AA22" s="3">
        <v>-3.5000000000000003E-2</v>
      </c>
      <c r="AB22" s="3">
        <v>8.5000000000000006E-2</v>
      </c>
    </row>
    <row r="23" spans="1:28" x14ac:dyDescent="0.25">
      <c r="A23" s="2">
        <v>45723</v>
      </c>
      <c r="B23" t="s">
        <v>86</v>
      </c>
      <c r="C23">
        <v>253.25</v>
      </c>
      <c r="D23" t="s">
        <v>619</v>
      </c>
      <c r="E23" t="s">
        <v>625</v>
      </c>
      <c r="F23" t="s">
        <v>700</v>
      </c>
      <c r="G23" t="s">
        <v>623</v>
      </c>
      <c r="H23" t="s">
        <v>368</v>
      </c>
      <c r="I23" t="s">
        <v>658</v>
      </c>
      <c r="J23" s="4">
        <v>317.69</v>
      </c>
      <c r="K23" s="6">
        <f t="shared" si="1"/>
        <v>25.44521224086871</v>
      </c>
      <c r="L23" s="4">
        <v>325</v>
      </c>
      <c r="M23" s="4">
        <v>120.92</v>
      </c>
      <c r="N23" t="s">
        <v>659</v>
      </c>
      <c r="O23" s="3">
        <v>1</v>
      </c>
      <c r="P23" t="s">
        <v>660</v>
      </c>
      <c r="Q23" t="s">
        <v>661</v>
      </c>
      <c r="R23" s="3">
        <v>1E-3</v>
      </c>
      <c r="S23" t="s">
        <v>662</v>
      </c>
      <c r="T23" t="s">
        <v>663</v>
      </c>
      <c r="U23" t="s">
        <v>664</v>
      </c>
      <c r="V23" s="3">
        <v>8.0000000000000002E-3</v>
      </c>
      <c r="W23" s="3">
        <v>7.0000000000000007E-2</v>
      </c>
      <c r="X23" t="s">
        <v>665</v>
      </c>
      <c r="Y23" s="3">
        <v>0.51500000000000001</v>
      </c>
      <c r="Z23" s="3">
        <v>0.34699999999999998</v>
      </c>
      <c r="AA23" s="3">
        <v>0.38900000000000001</v>
      </c>
      <c r="AB23" s="3">
        <v>0.51500000000000001</v>
      </c>
    </row>
    <row r="24" spans="1:28" x14ac:dyDescent="0.25">
      <c r="A24" s="2">
        <v>45723</v>
      </c>
      <c r="B24" t="s">
        <v>87</v>
      </c>
      <c r="C24">
        <v>22.85</v>
      </c>
      <c r="D24" t="s">
        <v>619</v>
      </c>
      <c r="E24" t="s">
        <v>625</v>
      </c>
      <c r="F24" t="s">
        <v>700</v>
      </c>
      <c r="G24" t="s">
        <v>623</v>
      </c>
      <c r="H24" t="s">
        <v>369</v>
      </c>
      <c r="I24" t="s">
        <v>28</v>
      </c>
      <c r="J24" s="4">
        <v>20.98</v>
      </c>
      <c r="K24" s="6">
        <f t="shared" si="1"/>
        <v>-8.1838074398249532</v>
      </c>
      <c r="L24" s="4">
        <v>26.68</v>
      </c>
      <c r="M24" s="4">
        <v>13.59</v>
      </c>
      <c r="N24" t="s">
        <v>666</v>
      </c>
      <c r="O24" s="3">
        <v>0.72</v>
      </c>
      <c r="P24" t="s">
        <v>667</v>
      </c>
      <c r="Q24" t="s">
        <v>618</v>
      </c>
      <c r="R24" s="3">
        <v>2.8000000000000001E-2</v>
      </c>
      <c r="S24" t="s">
        <v>668</v>
      </c>
      <c r="T24" t="s">
        <v>669</v>
      </c>
      <c r="U24" t="s">
        <v>670</v>
      </c>
      <c r="V24" s="3">
        <v>0.12</v>
      </c>
      <c r="W24" s="3">
        <v>4.2000000000000003E-2</v>
      </c>
      <c r="X24" t="s">
        <v>671</v>
      </c>
      <c r="Y24" s="3">
        <v>2.5649999999999999</v>
      </c>
      <c r="Z24" s="3">
        <v>0.14599999999999999</v>
      </c>
      <c r="AA24" s="3">
        <v>7.5999999999999998E-2</v>
      </c>
      <c r="AB24" s="3">
        <v>0.20200000000000001</v>
      </c>
    </row>
    <row r="25" spans="1:28" x14ac:dyDescent="0.25">
      <c r="A25" s="2">
        <v>45716</v>
      </c>
      <c r="B25" t="s">
        <v>85</v>
      </c>
      <c r="C25">
        <v>1.3049999999999999</v>
      </c>
      <c r="D25" t="s">
        <v>619</v>
      </c>
      <c r="E25" t="s">
        <v>625</v>
      </c>
      <c r="F25" t="s">
        <v>700</v>
      </c>
      <c r="G25" t="s">
        <v>623</v>
      </c>
      <c r="H25" t="s">
        <v>370</v>
      </c>
      <c r="I25" t="s">
        <v>658</v>
      </c>
      <c r="J25" s="4">
        <v>0.75</v>
      </c>
      <c r="K25" s="6">
        <f t="shared" si="1"/>
        <v>-42.528735632183903</v>
      </c>
      <c r="L25" s="4">
        <v>1.36</v>
      </c>
      <c r="M25" s="4">
        <v>0.69499999999999995</v>
      </c>
      <c r="N25" t="s">
        <v>672</v>
      </c>
      <c r="O25" s="3">
        <v>1</v>
      </c>
      <c r="P25" t="s">
        <v>673</v>
      </c>
      <c r="R25" s="3">
        <v>0</v>
      </c>
      <c r="S25" t="s">
        <v>674</v>
      </c>
      <c r="T25" t="s">
        <v>675</v>
      </c>
      <c r="U25" t="s">
        <v>676</v>
      </c>
      <c r="V25" s="3">
        <v>1.3620000000000001</v>
      </c>
      <c r="W25" s="3">
        <v>1.2999999999999999E-2</v>
      </c>
      <c r="X25" t="s">
        <v>677</v>
      </c>
      <c r="Y25" s="3">
        <v>-0.03</v>
      </c>
      <c r="Z25" s="3">
        <v>-2.8000000000000001E-2</v>
      </c>
      <c r="AB25" s="3">
        <v>-4.3999999999999997E-2</v>
      </c>
    </row>
    <row r="26" spans="1:28" x14ac:dyDescent="0.25">
      <c r="A26" s="2">
        <v>45716</v>
      </c>
      <c r="B26" t="s">
        <v>82</v>
      </c>
      <c r="C26">
        <v>10.56</v>
      </c>
      <c r="D26" t="s">
        <v>619</v>
      </c>
      <c r="E26" t="s">
        <v>625</v>
      </c>
      <c r="F26" t="s">
        <v>700</v>
      </c>
      <c r="G26" t="s">
        <v>623</v>
      </c>
      <c r="H26" t="s">
        <v>371</v>
      </c>
      <c r="I26" t="s">
        <v>678</v>
      </c>
      <c r="J26" s="4">
        <v>9.81</v>
      </c>
      <c r="K26" s="6">
        <f t="shared" si="1"/>
        <v>-7.1022727272727293</v>
      </c>
      <c r="L26" s="4">
        <v>11.94</v>
      </c>
      <c r="M26" s="4">
        <v>9.5399999999999991</v>
      </c>
      <c r="N26" t="s">
        <v>611</v>
      </c>
      <c r="O26" s="3">
        <v>1</v>
      </c>
      <c r="P26" t="s">
        <v>679</v>
      </c>
      <c r="Q26" t="s">
        <v>680</v>
      </c>
      <c r="R26" s="3">
        <v>5.8999999999999997E-2</v>
      </c>
      <c r="S26" t="s">
        <v>681</v>
      </c>
      <c r="T26" t="s">
        <v>682</v>
      </c>
      <c r="U26" t="s">
        <v>683</v>
      </c>
      <c r="V26" s="3">
        <v>0.53400000000000003</v>
      </c>
      <c r="W26" s="3">
        <v>8.9999999999999993E-3</v>
      </c>
      <c r="X26" t="s">
        <v>684</v>
      </c>
      <c r="Y26" s="3">
        <v>1.6E-2</v>
      </c>
      <c r="Z26" s="3">
        <v>7.4999999999999997E-2</v>
      </c>
      <c r="AB26" s="3">
        <v>4.2999999999999997E-2</v>
      </c>
    </row>
    <row r="27" spans="1:28" x14ac:dyDescent="0.25">
      <c r="A27" s="2">
        <v>45716</v>
      </c>
      <c r="B27" t="s">
        <v>90</v>
      </c>
      <c r="C27">
        <v>14</v>
      </c>
      <c r="D27" t="s">
        <v>619</v>
      </c>
      <c r="E27" t="s">
        <v>625</v>
      </c>
      <c r="F27" t="s">
        <v>700</v>
      </c>
      <c r="G27" t="s">
        <v>623</v>
      </c>
      <c r="H27" t="s">
        <v>372</v>
      </c>
      <c r="I27" t="s">
        <v>685</v>
      </c>
      <c r="J27" s="4">
        <v>15.27</v>
      </c>
      <c r="K27" s="6">
        <f t="shared" si="1"/>
        <v>9.0714285714285747</v>
      </c>
      <c r="L27" s="4">
        <v>17.97</v>
      </c>
      <c r="M27" s="4">
        <v>12.06</v>
      </c>
      <c r="N27" t="s">
        <v>686</v>
      </c>
      <c r="O27" s="3">
        <v>1</v>
      </c>
      <c r="P27" t="s">
        <v>687</v>
      </c>
      <c r="Q27" t="s">
        <v>688</v>
      </c>
      <c r="R27" s="3">
        <v>4.4999999999999998E-2</v>
      </c>
      <c r="S27" t="s">
        <v>689</v>
      </c>
      <c r="T27" t="s">
        <v>655</v>
      </c>
      <c r="U27" t="s">
        <v>690</v>
      </c>
      <c r="V27" s="3">
        <v>0.85599999999999998</v>
      </c>
      <c r="W27" s="3">
        <v>1.0999999999999999E-2</v>
      </c>
      <c r="X27" t="s">
        <v>691</v>
      </c>
      <c r="Y27" s="3">
        <v>5.7000000000000002E-2</v>
      </c>
      <c r="Z27" s="3">
        <v>0.04</v>
      </c>
      <c r="AA27" s="3">
        <v>-7.1999999999999995E-2</v>
      </c>
      <c r="AB27" s="3">
        <v>0.17100000000000001</v>
      </c>
    </row>
    <row r="28" spans="1:28" x14ac:dyDescent="0.25">
      <c r="A28" s="2">
        <v>45709</v>
      </c>
      <c r="B28" t="s">
        <v>83</v>
      </c>
      <c r="C28">
        <v>28.34</v>
      </c>
      <c r="D28" t="s">
        <v>619</v>
      </c>
      <c r="E28" t="s">
        <v>626</v>
      </c>
      <c r="F28" t="s">
        <v>700</v>
      </c>
      <c r="G28" t="s">
        <v>623</v>
      </c>
      <c r="H28" t="s">
        <v>373</v>
      </c>
      <c r="I28" t="s">
        <v>28</v>
      </c>
      <c r="J28" s="4">
        <v>33.99</v>
      </c>
      <c r="K28" s="6">
        <f t="shared" si="1"/>
        <v>19.936485532815816</v>
      </c>
      <c r="L28" s="4">
        <v>36.119999999999997</v>
      </c>
      <c r="M28" s="4">
        <v>27.21</v>
      </c>
      <c r="N28" t="s">
        <v>692</v>
      </c>
      <c r="O28" s="3">
        <v>1</v>
      </c>
      <c r="P28" t="s">
        <v>693</v>
      </c>
      <c r="Q28" t="s">
        <v>694</v>
      </c>
      <c r="R28" s="3">
        <v>2.5000000000000001E-2</v>
      </c>
      <c r="S28" t="s">
        <v>695</v>
      </c>
      <c r="T28" t="s">
        <v>696</v>
      </c>
      <c r="U28" t="s">
        <v>697</v>
      </c>
      <c r="V28" s="3">
        <v>0.56000000000000005</v>
      </c>
      <c r="W28" s="3">
        <v>0.01</v>
      </c>
      <c r="X28" t="s">
        <v>698</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211</v>
      </c>
      <c r="E2">
        <f>AVERAGEIF(Trades!$J$2:J895,"&gt;0")*100</f>
        <v>45.605678445374828</v>
      </c>
      <c r="F2">
        <f>C2-D2</f>
        <v>170</v>
      </c>
      <c r="G2">
        <f>AVERAGEIF(Trades!$J$2:J895,"&lt;0")*100</f>
        <v>-14.139573907791569</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4"/>
  <sheetViews>
    <sheetView topLeftCell="A1342" workbookViewId="0">
      <selection activeCell="G1363" sqref="G1363:O1365"/>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3" sqref="N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s="11" t="s">
        <v>774</v>
      </c>
      <c r="B2" s="11" t="s">
        <v>775</v>
      </c>
      <c r="C2" s="11" t="s">
        <v>360</v>
      </c>
      <c r="D2" s="19">
        <v>45929</v>
      </c>
      <c r="E2" s="11">
        <v>7.63</v>
      </c>
      <c r="F2" s="19">
        <v>45954</v>
      </c>
      <c r="G2" s="4">
        <v>6.8</v>
      </c>
      <c r="H2" s="3">
        <f t="shared" ref="H2" si="0">G2/E2-1</f>
        <v>-0.10878112712975097</v>
      </c>
      <c r="I2">
        <f t="shared" ref="I2" si="1">K2*E2*J2</f>
        <v>-23979.180939999998</v>
      </c>
      <c r="J2" s="3">
        <f t="shared" ref="J2" si="2">H2-0.002</f>
        <v>-0.11078112712975097</v>
      </c>
      <c r="K2" s="11">
        <v>28369</v>
      </c>
      <c r="N2" s="4"/>
      <c r="O2" s="22"/>
    </row>
    <row r="3" spans="1:30" x14ac:dyDescent="0.25">
      <c r="A3" t="s">
        <v>81</v>
      </c>
      <c r="B3" t="s">
        <v>375</v>
      </c>
      <c r="C3" t="s">
        <v>360</v>
      </c>
      <c r="D3" s="2">
        <v>45894</v>
      </c>
      <c r="E3">
        <v>46</v>
      </c>
      <c r="F3" s="19">
        <v>45954</v>
      </c>
      <c r="G3" s="4">
        <v>49.76</v>
      </c>
      <c r="H3" s="3">
        <f t="shared" ref="H3" si="3">G3/E3-1</f>
        <v>8.1739130434782536E-2</v>
      </c>
      <c r="I3">
        <f t="shared" ref="I3" si="4">K3*E3*J3</f>
        <v>18328.995999999985</v>
      </c>
      <c r="J3" s="3">
        <f t="shared" ref="J3" si="5">H3-0.002</f>
        <v>7.9739130434782535E-2</v>
      </c>
      <c r="K3">
        <v>4997</v>
      </c>
      <c r="N3" s="4"/>
      <c r="O3" s="4"/>
    </row>
    <row r="4" spans="1:30" x14ac:dyDescent="0.25">
      <c r="A4" t="s">
        <v>92</v>
      </c>
      <c r="B4" t="s">
        <v>374</v>
      </c>
      <c r="C4" t="s">
        <v>360</v>
      </c>
      <c r="D4" s="2">
        <v>45880</v>
      </c>
      <c r="E4">
        <v>3.28</v>
      </c>
      <c r="F4" s="19">
        <v>45954</v>
      </c>
      <c r="G4" s="4">
        <v>3.87</v>
      </c>
      <c r="H4" s="3">
        <f t="shared" ref="H4:H16" si="6">G4/E4-1</f>
        <v>0.17987804878048785</v>
      </c>
      <c r="I4">
        <f t="shared" ref="I4:I16" si="7">K4*E4*J4</f>
        <v>38093.96448000001</v>
      </c>
      <c r="J4" s="3">
        <f t="shared" ref="J4:J16" si="8">H4-0.002</f>
        <v>0.17787804878048785</v>
      </c>
      <c r="K4">
        <v>65292</v>
      </c>
      <c r="N4" s="4"/>
      <c r="O4" s="4"/>
      <c r="AB4" s="3"/>
      <c r="AC4" s="3"/>
      <c r="AD4" s="3"/>
    </row>
    <row r="5" spans="1:30" x14ac:dyDescent="0.25">
      <c r="A5" t="s">
        <v>96</v>
      </c>
      <c r="B5" t="s">
        <v>216</v>
      </c>
      <c r="C5" t="s">
        <v>360</v>
      </c>
      <c r="D5" s="2">
        <v>45786</v>
      </c>
      <c r="E5">
        <v>169.28</v>
      </c>
      <c r="F5" s="19">
        <v>45954</v>
      </c>
      <c r="G5" s="4">
        <v>171.64</v>
      </c>
      <c r="H5" s="3">
        <f t="shared" si="6"/>
        <v>1.3941398865784382E-2</v>
      </c>
      <c r="I5">
        <f t="shared" si="7"/>
        <v>2373.1705599999768</v>
      </c>
      <c r="J5" s="3">
        <f t="shared" si="8"/>
        <v>1.1941398865784382E-2</v>
      </c>
      <c r="K5">
        <v>1174</v>
      </c>
      <c r="N5" s="4"/>
      <c r="O5" s="4"/>
      <c r="Q5" s="20"/>
      <c r="T5" s="3"/>
      <c r="V5" s="3"/>
      <c r="AB5" s="3"/>
      <c r="AC5" s="3"/>
      <c r="AD5" s="3"/>
    </row>
    <row r="6" spans="1:30" x14ac:dyDescent="0.25">
      <c r="A6" t="s">
        <v>98</v>
      </c>
      <c r="B6" t="s">
        <v>219</v>
      </c>
      <c r="C6" t="s">
        <v>360</v>
      </c>
      <c r="D6" s="2">
        <v>45786</v>
      </c>
      <c r="E6">
        <v>3.07</v>
      </c>
      <c r="F6" s="19">
        <v>45954</v>
      </c>
      <c r="G6" s="4">
        <v>3.54</v>
      </c>
      <c r="H6" s="3">
        <f t="shared" si="6"/>
        <v>0.15309446254071668</v>
      </c>
      <c r="I6">
        <f t="shared" si="7"/>
        <v>30426.896700000012</v>
      </c>
      <c r="J6" s="3">
        <f t="shared" si="8"/>
        <v>0.15109446254071668</v>
      </c>
      <c r="K6">
        <v>65595</v>
      </c>
      <c r="N6" s="4"/>
      <c r="O6" s="4"/>
      <c r="Q6" s="17"/>
      <c r="T6" s="3"/>
      <c r="V6" s="3"/>
      <c r="AB6" s="3"/>
      <c r="AC6" s="3"/>
      <c r="AD6" s="3"/>
    </row>
    <row r="7" spans="1:30" x14ac:dyDescent="0.25">
      <c r="A7" t="s">
        <v>99</v>
      </c>
      <c r="B7" t="s">
        <v>220</v>
      </c>
      <c r="C7" t="s">
        <v>360</v>
      </c>
      <c r="D7" s="2">
        <v>45786</v>
      </c>
      <c r="E7">
        <v>7.23</v>
      </c>
      <c r="F7" s="19">
        <v>45954</v>
      </c>
      <c r="G7" s="4">
        <v>9.31</v>
      </c>
      <c r="H7" s="3">
        <f t="shared" si="6"/>
        <v>0.28769017980636247</v>
      </c>
      <c r="I7">
        <f t="shared" si="7"/>
        <v>56798.218920000021</v>
      </c>
      <c r="J7" s="3">
        <f t="shared" si="8"/>
        <v>0.28569017980636247</v>
      </c>
      <c r="K7">
        <v>27498</v>
      </c>
      <c r="N7" s="4"/>
      <c r="O7" s="4"/>
      <c r="Q7" s="17"/>
      <c r="T7" s="3"/>
      <c r="V7" s="3"/>
      <c r="AB7" s="3"/>
      <c r="AC7" s="3"/>
      <c r="AD7" s="3"/>
    </row>
    <row r="8" spans="1:30" x14ac:dyDescent="0.25">
      <c r="A8" t="s">
        <v>100</v>
      </c>
      <c r="B8" t="s">
        <v>222</v>
      </c>
      <c r="C8" t="s">
        <v>360</v>
      </c>
      <c r="D8" s="2">
        <v>45786</v>
      </c>
      <c r="E8">
        <v>3.64</v>
      </c>
      <c r="F8" s="19">
        <v>45954</v>
      </c>
      <c r="G8" s="4">
        <v>3.84</v>
      </c>
      <c r="H8" s="3">
        <f t="shared" si="6"/>
        <v>5.4945054945054972E-2</v>
      </c>
      <c r="I8">
        <f t="shared" si="7"/>
        <v>10811.977440000004</v>
      </c>
      <c r="J8" s="3">
        <f t="shared" si="8"/>
        <v>5.294505494505497E-2</v>
      </c>
      <c r="K8">
        <v>56102</v>
      </c>
      <c r="N8" s="4"/>
      <c r="O8" s="4"/>
      <c r="Q8" s="17"/>
      <c r="T8" s="3"/>
      <c r="V8" s="3"/>
      <c r="AB8" s="3"/>
      <c r="AC8" s="3"/>
      <c r="AD8" s="3"/>
    </row>
    <row r="9" spans="1:30" x14ac:dyDescent="0.25">
      <c r="A9" t="s">
        <v>53</v>
      </c>
      <c r="B9" t="s">
        <v>224</v>
      </c>
      <c r="C9" t="s">
        <v>360</v>
      </c>
      <c r="D9" s="2">
        <v>45786</v>
      </c>
      <c r="E9">
        <v>5.18</v>
      </c>
      <c r="F9" s="19">
        <v>45954</v>
      </c>
      <c r="G9" s="4">
        <v>4.8600000000000003</v>
      </c>
      <c r="H9" s="3">
        <f t="shared" si="6"/>
        <v>-6.1776061776061653E-2</v>
      </c>
      <c r="I9">
        <f t="shared" si="7"/>
        <v>-12682.520399999974</v>
      </c>
      <c r="J9" s="3">
        <f t="shared" si="8"/>
        <v>-6.3776061776061654E-2</v>
      </c>
      <c r="K9">
        <v>38390</v>
      </c>
      <c r="N9" s="4"/>
      <c r="O9" s="4"/>
      <c r="Q9" s="17"/>
      <c r="T9" s="3"/>
      <c r="V9" s="3"/>
      <c r="AB9" s="3"/>
      <c r="AC9" s="3"/>
      <c r="AD9" s="3"/>
    </row>
    <row r="10" spans="1:30" x14ac:dyDescent="0.25">
      <c r="A10" t="s">
        <v>43</v>
      </c>
      <c r="B10" t="s">
        <v>42</v>
      </c>
      <c r="C10" t="s">
        <v>360</v>
      </c>
      <c r="D10" s="2">
        <v>45786</v>
      </c>
      <c r="E10">
        <v>2.2999999999999998</v>
      </c>
      <c r="F10" s="19">
        <v>45954</v>
      </c>
      <c r="G10" s="4">
        <v>2.2999999999999998</v>
      </c>
      <c r="H10" s="3">
        <f t="shared" si="6"/>
        <v>0</v>
      </c>
      <c r="I10">
        <f t="shared" si="7"/>
        <v>-406.01899999999995</v>
      </c>
      <c r="J10" s="3">
        <f t="shared" si="8"/>
        <v>-2E-3</v>
      </c>
      <c r="K10">
        <v>88265</v>
      </c>
      <c r="N10" s="4"/>
      <c r="O10" s="4"/>
      <c r="Q10" s="17"/>
      <c r="T10" s="3"/>
      <c r="V10" s="3"/>
      <c r="AB10" s="3"/>
      <c r="AC10" s="3"/>
      <c r="AD10" s="3"/>
    </row>
    <row r="11" spans="1:30" x14ac:dyDescent="0.25">
      <c r="A11" t="s">
        <v>38</v>
      </c>
      <c r="B11" t="s">
        <v>37</v>
      </c>
      <c r="C11" t="s">
        <v>360</v>
      </c>
      <c r="D11" s="2">
        <v>45786</v>
      </c>
      <c r="E11">
        <v>4.3499999999999996</v>
      </c>
      <c r="F11" s="19">
        <v>45954</v>
      </c>
      <c r="G11" s="4">
        <v>5.73</v>
      </c>
      <c r="H11" s="3">
        <f t="shared" si="6"/>
        <v>0.31724137931034502</v>
      </c>
      <c r="I11">
        <f t="shared" si="7"/>
        <v>62712.291600000033</v>
      </c>
      <c r="J11" s="3">
        <f t="shared" si="8"/>
        <v>0.31524137931034502</v>
      </c>
      <c r="K11">
        <v>45732</v>
      </c>
      <c r="N11" s="4"/>
      <c r="O11" s="4"/>
      <c r="Q11" s="17"/>
      <c r="T11" s="3"/>
      <c r="V11" s="3"/>
      <c r="AB11" s="3"/>
      <c r="AC11" s="3"/>
      <c r="AD11" s="3"/>
    </row>
    <row r="12" spans="1:30" x14ac:dyDescent="0.25">
      <c r="A12" t="s">
        <v>34</v>
      </c>
      <c r="B12" t="s">
        <v>33</v>
      </c>
      <c r="C12" t="s">
        <v>360</v>
      </c>
      <c r="D12" s="2">
        <v>45709</v>
      </c>
      <c r="E12">
        <v>12.2315</v>
      </c>
      <c r="F12" s="19">
        <v>45954</v>
      </c>
      <c r="G12" s="4">
        <v>14.49</v>
      </c>
      <c r="H12" s="3">
        <f t="shared" si="6"/>
        <v>0.18464620038425372</v>
      </c>
      <c r="I12">
        <f t="shared" si="7"/>
        <v>36716.39809499999</v>
      </c>
      <c r="J12" s="3">
        <f t="shared" si="8"/>
        <v>0.18264620038425372</v>
      </c>
      <c r="K12">
        <v>16435</v>
      </c>
      <c r="N12" s="4"/>
      <c r="O12" s="4"/>
      <c r="Q12" s="17"/>
      <c r="T12" s="3"/>
      <c r="V12" s="3"/>
      <c r="AB12" s="3"/>
      <c r="AC12" s="3"/>
      <c r="AD12" s="3"/>
    </row>
    <row r="13" spans="1:30" x14ac:dyDescent="0.25">
      <c r="A13" t="s">
        <v>22</v>
      </c>
      <c r="B13" t="s">
        <v>21</v>
      </c>
      <c r="C13" t="s">
        <v>360</v>
      </c>
      <c r="D13" s="2">
        <v>45128</v>
      </c>
      <c r="E13">
        <v>4.2682180000000001</v>
      </c>
      <c r="F13" s="19">
        <v>45954</v>
      </c>
      <c r="G13" s="4">
        <v>7.73</v>
      </c>
      <c r="H13" s="3">
        <f t="shared" si="6"/>
        <v>0.81106025980866026</v>
      </c>
      <c r="I13">
        <f t="shared" si="7"/>
        <v>113411.49081288802</v>
      </c>
      <c r="J13" s="3">
        <f t="shared" si="8"/>
        <v>0.80906025980866025</v>
      </c>
      <c r="K13">
        <v>32842</v>
      </c>
      <c r="N13" s="4"/>
      <c r="O13" s="4"/>
      <c r="Q13" s="17"/>
      <c r="T13" s="3"/>
      <c r="V13" s="3"/>
      <c r="AB13" s="3"/>
      <c r="AC13" s="3"/>
      <c r="AD13" s="3"/>
    </row>
    <row r="14" spans="1:30" x14ac:dyDescent="0.25">
      <c r="A14" t="s">
        <v>27</v>
      </c>
      <c r="B14" t="s">
        <v>26</v>
      </c>
      <c r="C14" t="s">
        <v>360</v>
      </c>
      <c r="D14" s="2">
        <v>45037</v>
      </c>
      <c r="E14">
        <v>3.2149679999999998</v>
      </c>
      <c r="F14" s="19">
        <v>45954</v>
      </c>
      <c r="G14" s="4">
        <v>4.88</v>
      </c>
      <c r="H14" s="3">
        <f t="shared" si="6"/>
        <v>0.51790002264408241</v>
      </c>
      <c r="I14">
        <f t="shared" si="7"/>
        <v>73693.348305584019</v>
      </c>
      <c r="J14" s="3">
        <f t="shared" si="8"/>
        <v>0.51590002264408241</v>
      </c>
      <c r="K14">
        <v>44431</v>
      </c>
      <c r="N14" s="4"/>
      <c r="O14" s="4"/>
      <c r="Q14" s="17"/>
      <c r="T14" s="3"/>
      <c r="V14" s="3"/>
      <c r="AB14" s="3"/>
      <c r="AC14" s="3"/>
      <c r="AD14" s="3"/>
    </row>
    <row r="15" spans="1:30" x14ac:dyDescent="0.25">
      <c r="A15" t="s">
        <v>89</v>
      </c>
      <c r="B15" t="s">
        <v>225</v>
      </c>
      <c r="C15" t="s">
        <v>360</v>
      </c>
      <c r="D15" s="2">
        <v>44876</v>
      </c>
      <c r="E15">
        <v>25.921890000000001</v>
      </c>
      <c r="F15" s="19">
        <v>45954</v>
      </c>
      <c r="G15" s="4">
        <v>37.6</v>
      </c>
      <c r="H15" s="3">
        <f t="shared" si="6"/>
        <v>0.45051151748580054</v>
      </c>
      <c r="I15">
        <f t="shared" si="7"/>
        <v>64339.757261479994</v>
      </c>
      <c r="J15" s="3">
        <f t="shared" si="8"/>
        <v>0.44851151748580054</v>
      </c>
      <c r="K15">
        <v>5534</v>
      </c>
      <c r="N15" s="4"/>
      <c r="O15" s="4"/>
      <c r="Q15" s="17"/>
      <c r="T15" s="3"/>
      <c r="V15" s="3"/>
      <c r="AB15" s="3"/>
      <c r="AC15" s="3"/>
      <c r="AD15" s="3"/>
    </row>
    <row r="16" spans="1:30" x14ac:dyDescent="0.25">
      <c r="A16" t="s">
        <v>31</v>
      </c>
      <c r="B16" t="s">
        <v>30</v>
      </c>
      <c r="C16" t="s">
        <v>360</v>
      </c>
      <c r="D16" s="2">
        <v>44785</v>
      </c>
      <c r="E16">
        <v>4.9811699999999997</v>
      </c>
      <c r="F16" s="19">
        <v>45954</v>
      </c>
      <c r="G16" s="4">
        <v>5.6</v>
      </c>
      <c r="H16" s="3">
        <f t="shared" si="6"/>
        <v>0.12423386473459042</v>
      </c>
      <c r="I16">
        <f t="shared" si="7"/>
        <v>18257.505652759992</v>
      </c>
      <c r="J16" s="3">
        <f t="shared" si="8"/>
        <v>0.12223386473459041</v>
      </c>
      <c r="K16">
        <v>29986</v>
      </c>
      <c r="N16" s="4"/>
      <c r="O16" s="4"/>
      <c r="Q16" s="17"/>
      <c r="T16" s="3"/>
      <c r="V16" s="3"/>
      <c r="AB16" s="3"/>
      <c r="AC16" s="3"/>
      <c r="AD16" s="3"/>
    </row>
    <row r="17" spans="1:30" x14ac:dyDescent="0.25">
      <c r="A17" t="s">
        <v>97</v>
      </c>
      <c r="B17" t="s">
        <v>217</v>
      </c>
      <c r="C17" t="s">
        <v>361</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3"/>
  <sheetViews>
    <sheetView tabSelected="1" topLeftCell="A1341" workbookViewId="0">
      <selection activeCell="U1367" sqref="U1367"/>
    </sheetView>
  </sheetViews>
  <sheetFormatPr defaultRowHeight="15" x14ac:dyDescent="0.25"/>
  <cols>
    <col min="1" max="1" width="10.7109375" bestFit="1" customWidth="1"/>
    <col min="6" max="7" width="13.85546875" bestFit="1" customWidth="1"/>
  </cols>
  <sheetData>
    <row r="1" spans="1:8" x14ac:dyDescent="0.25">
      <c r="A1" s="8" t="s">
        <v>612</v>
      </c>
      <c r="B1" s="7" t="s">
        <v>360</v>
      </c>
      <c r="C1" s="7" t="s">
        <v>613</v>
      </c>
      <c r="D1" s="7" t="s">
        <v>614</v>
      </c>
      <c r="E1" s="7" t="s">
        <v>615</v>
      </c>
      <c r="F1" s="7" t="s">
        <v>616</v>
      </c>
      <c r="G1" s="7" t="s">
        <v>617</v>
      </c>
      <c r="H1" s="7" t="s">
        <v>720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3"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2025-10-31T07:20:18Z</dcterms:modified>
</cp:coreProperties>
</file>