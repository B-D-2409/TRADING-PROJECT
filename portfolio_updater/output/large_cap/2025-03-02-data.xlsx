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mc:AlternateContent xmlns:mc="http://schemas.openxmlformats.org/markup-compatibility/2006">
    <mc:Choice Requires="x15">
      <x15ac:absPath xmlns:x15ac="http://schemas.microsoft.com/office/spreadsheetml/2010/11/ac" url="A:\AusBiz\live_file\"/>
    </mc:Choice>
  </mc:AlternateContent>
  <xr:revisionPtr revIDLastSave="0" documentId="13_ncr:1_{7FD01289-2063-43DE-AE2B-421816197C2F}" xr6:coauthVersionLast="47" xr6:coauthVersionMax="47" xr10:uidLastSave="{00000000-0000-0000-0000-000000000000}"/>
  <bookViews>
    <workbookView xWindow="28680" yWindow="30" windowWidth="29040" windowHeight="15720" activeTab="5" xr2:uid="{00000000-000D-0000-FFFF-FFFF00000000}"/>
  </bookViews>
  <sheets>
    <sheet name="Companies in Portfolio" sheetId="1" r:id="rId1"/>
    <sheet name="Company Page Data" sheetId="2" r:id="rId2"/>
    <sheet name="Buy Sell Alerts" sheetId="3" r:id="rId3"/>
    <sheet name="Analytics" sheetId="4" r:id="rId4"/>
    <sheet name="Equity Curve" sheetId="5" r:id="rId5"/>
    <sheet name="Trades"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 i="6" l="1"/>
  <c r="I3" i="6"/>
</calcChain>
</file>

<file path=xl/sharedStrings.xml><?xml version="1.0" encoding="utf-8"?>
<sst xmlns="http://schemas.openxmlformats.org/spreadsheetml/2006/main" count="575" uniqueCount="273">
  <si>
    <t>Name:</t>
  </si>
  <si>
    <t>Code:</t>
  </si>
  <si>
    <t>Sector:</t>
  </si>
  <si>
    <t>Last Price:</t>
  </si>
  <si>
    <t>52-Week High:</t>
  </si>
  <si>
    <t>52-Week Low:</t>
  </si>
  <si>
    <t>Market Cap:</t>
  </si>
  <si>
    <t>Franking Level:</t>
  </si>
  <si>
    <t>Business Summary:</t>
  </si>
  <si>
    <t>P/E Ratio:</t>
  </si>
  <si>
    <t>Dividend Yield:</t>
  </si>
  <si>
    <t>P/S Ratio:</t>
  </si>
  <si>
    <t>P/FCF Ratio:</t>
  </si>
  <si>
    <t>Net Debt:</t>
  </si>
  <si>
    <t>Debt-to-Equity Ratio:</t>
  </si>
  <si>
    <t>Current Ratio:</t>
  </si>
  <si>
    <t>Free Cash Flow:</t>
  </si>
  <si>
    <t>Net Profit Margin:</t>
  </si>
  <si>
    <t>Revenue Growth (3-Year CAGR):</t>
  </si>
  <si>
    <t>EPS Growth (3-Year CAGR):</t>
  </si>
  <si>
    <t>ROE:</t>
  </si>
  <si>
    <t>SGH Limited Ordinary</t>
  </si>
  <si>
    <t>SGH.ASX</t>
  </si>
  <si>
    <t>Industrials</t>
  </si>
  <si>
    <t>$51.62</t>
  </si>
  <si>
    <t>$55.12</t>
  </si>
  <si>
    <t>$34.68</t>
  </si>
  <si>
    <t>$21.0B</t>
  </si>
  <si>
    <t>100.0%</t>
  </si>
  <si>
    <t>SGH Ltd, formerly Seven Group Holdings Limited, is an Australia-based diversified operating company, with businesses across industrial services, energy and media. In industrial services, the Company owns WesTrac, Boral and Coates. WesTrac is the sole authorized Caterpillar dealer in Western Australia (WA) and New South Wales (NSW)/Australian Capital Territory (ACT), providing heavy equipment sales and support to customers. Boral is an integrated construction materials business, producing and selling a broad range of materials, including quarry materials, cement, concrete, asphalt and recycled materials. Boral has operations in all the Australian States and Territories. Coates is an equipment hire business, which provides a range of general and specialist equipment to a wide variety of markets. In Energy, it has a 30% shareholding in Beach Energy, and wholly owns SGH Energy. In Media, it has a 40% shareholding in Seven West Media. Its other investments include Allight.</t>
  </si>
  <si>
    <t>22.9x</t>
  </si>
  <si>
    <t>1.0%</t>
  </si>
  <si>
    <t>2.0x</t>
  </si>
  <si>
    <t>$5572.5M</t>
  </si>
  <si>
    <t>122.4%</t>
  </si>
  <si>
    <t>2.0%</t>
  </si>
  <si>
    <t>$-34.4M</t>
  </si>
  <si>
    <t>7.6%</t>
  </si>
  <si>
    <t>29.9%</t>
  </si>
  <si>
    <t>-12.4%</t>
  </si>
  <si>
    <t>18.2%</t>
  </si>
  <si>
    <t>Computershare Limited Ordinary</t>
  </si>
  <si>
    <t>CPU.ASX</t>
  </si>
  <si>
    <t>$41.07</t>
  </si>
  <si>
    <t>$43.23</t>
  </si>
  <si>
    <t>$23.81</t>
  </si>
  <si>
    <t>$24.1B</t>
  </si>
  <si>
    <t>0.0%</t>
  </si>
  <si>
    <t>Computershare Limited is an Australia-based company, which specializes in financial administration. Its business includes issuer services, corporate trust, employee share plans and voucher services, mortgage services and property rental services, communication services and utilities, and technology services &amp; operations. Its issuer services comprise register maintenance, corporate actions, stakeholder relationship management, corporate governance and related services. Its corporate trust business comprises trust and agency services in connection with the administration of debt securities in the United States and the legacy corporate trust operations in Canada and the United States. Its communication services and utilities operations business comprises document composition and printing, intelligent mailing, inbound process automation, scanning and electronic delivery. It provides software specializing in share registry, financial services, operations and shared services functions.</t>
  </si>
  <si>
    <t>22.6x</t>
  </si>
  <si>
    <t>2.1%</t>
  </si>
  <si>
    <t>5.0x</t>
  </si>
  <si>
    <t>44.5x</t>
  </si>
  <si>
    <t>$765.0M</t>
  </si>
  <si>
    <t>90.7%</t>
  </si>
  <si>
    <t>1.5%</t>
  </si>
  <si>
    <t>$513.5M</t>
  </si>
  <si>
    <t>18.0%</t>
  </si>
  <si>
    <t>9.2%</t>
  </si>
  <si>
    <t>34.5%</t>
  </si>
  <si>
    <t>27.3%</t>
  </si>
  <si>
    <t>Downer EDI Limited Ordinary</t>
  </si>
  <si>
    <t>DOW.ASX</t>
  </si>
  <si>
    <t>$5.53</t>
  </si>
  <si>
    <t>$5.92</t>
  </si>
  <si>
    <t>$4.28</t>
  </si>
  <si>
    <t>$3.7B</t>
  </si>
  <si>
    <t>75.0%</t>
  </si>
  <si>
    <t>Downer EDI Limited is an Australia-based company that provides integrated services in Australia and New Zealand. The Company's segments include Transport, Utilities and Facilities. Its Transport segment consists of its road services, transport infrastructure and rail businesses. Its road and transport infrastructure services include road network management; routine road maintenance; asset management systems; spray sealing; asphalt laying, and others. Utilities segment consists of power, gas, water and telecommunications businesses. This includes planning, designing, constructing, operating, maintaining, managing and decommissioning power and gas network assets and others. Its Facilities segment provides outsourced facility services such as technical and engineering services; maintenance and asset management services, including shutdowns, turnaround and outage delivery; operations maintenance, refrigeration solutions and ongoing management of strategic assets across a range of sectors.</t>
  </si>
  <si>
    <t>48.5x</t>
  </si>
  <si>
    <t>5.0%</t>
  </si>
  <si>
    <t>0.3x</t>
  </si>
  <si>
    <t>12.8x</t>
  </si>
  <si>
    <t>$910.6M</t>
  </si>
  <si>
    <t>70.7%</t>
  </si>
  <si>
    <t>$290.8M</t>
  </si>
  <si>
    <t>0.8%</t>
  </si>
  <si>
    <t>-1.5%</t>
  </si>
  <si>
    <t>-28.2%</t>
  </si>
  <si>
    <t>3.5%</t>
  </si>
  <si>
    <t>Medibank Private Limited Ordinary</t>
  </si>
  <si>
    <t>MPL.ASX</t>
  </si>
  <si>
    <t>Financials</t>
  </si>
  <si>
    <t>$4.35</t>
  </si>
  <si>
    <t>$4.47</t>
  </si>
  <si>
    <t>$3.33</t>
  </si>
  <si>
    <t>$12.0B</t>
  </si>
  <si>
    <t>Medibank Private Limited is an Australia-based health company. The Company underwrites and distributes private health insurance policies under its two brands, Medibank and ahm. It has two segments. Health Insurance segment offers private health insurance products including hospital cover and ancillary cover, as stand-alone products or packaged products that combine the two. Hospital cover provides members with health cover for hospital treatments, whereas ancillary cover provides members with health cover for healthcare services such as dental, optical and physiotherapy. Medibank Health segment is engaged in a range of activities including contracting with government and corporate customers to provide health management and in-home care services, as well as providing a range of telehealth services in Australia. In addition, it distributes travel, life and pet insurance products on behalf of other insurers as part of a strategy to retain members and leverage its distribution network.</t>
  </si>
  <si>
    <t>21.3x</t>
  </si>
  <si>
    <t>3.8%</t>
  </si>
  <si>
    <t>1.5x</t>
  </si>
  <si>
    <t>31.2x</t>
  </si>
  <si>
    <t>$-243.2M</t>
  </si>
  <si>
    <t>8.8%</t>
  </si>
  <si>
    <t>$384.0M</t>
  </si>
  <si>
    <t>6.2%</t>
  </si>
  <si>
    <t>3.7%</t>
  </si>
  <si>
    <t>20.7%</t>
  </si>
  <si>
    <t>Suncorp Group Limited Ordinary</t>
  </si>
  <si>
    <t>SUN.ASX</t>
  </si>
  <si>
    <t>$20.11</t>
  </si>
  <si>
    <t>$21.0</t>
  </si>
  <si>
    <t>$14.26</t>
  </si>
  <si>
    <t>$21.8B</t>
  </si>
  <si>
    <t>Suncorp Group Limited is an Australia-based company engaged in the Trans-Tasman insurance business. The Company's segments include Consumer Insurance, Commercial &amp; Personal Injury, Suncorp New Zealand, and Corporate. The Consumer Insurance segment is engaged in the provision of insurance products to customers in Australia, including home and contents, motor and boat. The Commercial &amp; Personal Injury segment is engaged in the provision of insurance products to customers in Australia, including commercial motor, commercial property, marine, industrial special risks, public liability and professional indemnity, workers' compensation and compulsory third party. The Suncorp New Zealand segment is involved in the provision of general and life insurance products to customers in New Zealand. Its key products include home and contents, motor, commercial property, public liability and professional indemnity, life, trauma, total and permanent disablement and income protection.</t>
  </si>
  <si>
    <t>17.2x</t>
  </si>
  <si>
    <t>4.2%</t>
  </si>
  <si>
    <t>1.7x</t>
  </si>
  <si>
    <t>12.1x</t>
  </si>
  <si>
    <t>$1469.0M</t>
  </si>
  <si>
    <t>17.4%</t>
  </si>
  <si>
    <t>$1805.0M</t>
  </si>
  <si>
    <t>9.0%</t>
  </si>
  <si>
    <t>-2.5%</t>
  </si>
  <si>
    <t>-3.5%</t>
  </si>
  <si>
    <t>8.5%</t>
  </si>
  <si>
    <t>Washington H Soul Pattinson &amp; Company Limited Ordinary</t>
  </si>
  <si>
    <t>SOL.ASX</t>
  </si>
  <si>
    <t>$34.11</t>
  </si>
  <si>
    <t>$35.74</t>
  </si>
  <si>
    <t>$30.37</t>
  </si>
  <si>
    <t>$12.5B</t>
  </si>
  <si>
    <t>Washington H. Soul Pattinson and Company Limited is an investment company. Its segments include Strategic Investments Portfolio, Large Caps Portfolio, Private Equity Portfolio, Credit Portfolio, Emerging Companies Portfolio and Property Portfolio. The Strategic Investments Portfolio segment includes significant investments in uncorrelated listed companies where it generally has board representation. Large Caps Portfolio segment is an actively managed, Australian listed equities portfolio. The Private Equity Portfolio segment includes long-term investments in unlisted companies to support their future growth. The Credit Portfolio segment includes investments in corporate loans, bonds, and structured instruments. The Emerging Companies Portfolio segment includes investments in attractive, early stage and high growth companies that are listed, about to undertake an Initial Public Offering (IPO) or are at a pre-IPO stage. Property Portfolio segment comprises direct property investments.</t>
  </si>
  <si>
    <t>22.8x</t>
  </si>
  <si>
    <t>2.8%</t>
  </si>
  <si>
    <t>22.5x</t>
  </si>
  <si>
    <t>$22.4M</t>
  </si>
  <si>
    <t>3.3%</t>
  </si>
  <si>
    <t>$-72.8M</t>
  </si>
  <si>
    <t>89.0%</t>
  </si>
  <si>
    <t>-21.4%</t>
  </si>
  <si>
    <t>13.8%</t>
  </si>
  <si>
    <t>5.6%</t>
  </si>
  <si>
    <t>Steadfast Group Limited Ordinary</t>
  </si>
  <si>
    <t>SDF.ASX</t>
  </si>
  <si>
    <t>$6.4</t>
  </si>
  <si>
    <t>$5.11</t>
  </si>
  <si>
    <t>$6.2B</t>
  </si>
  <si>
    <t>Steadfast Group Limited operates international general insurance broking and agency networks located across Australia, New Zealand, Singapore and the United States. The principal activities of the Company include the provision of services to Steadfast Network brokers, the distribution of insurance policies via insurance brokerages and underwriting agencies, and related services. The Company offers business insurance and personal insurance. The Company provides products and services to support the broking and agency network businesses. It also operates as a co-owner through its equity interests in a number of broker businesses, underwriting agencies (also known as managing general agencies) and other complementary businesses. It owns a portfolio of about 29 underwriting agencies, and has a 60% equity stake in UnisonSteadfast, a global general insurance broker referral network with 294 brokers in 110 countries. The Company is also a licensed Lloyd's of London broker.</t>
  </si>
  <si>
    <t>27.4x</t>
  </si>
  <si>
    <t>3.0%</t>
  </si>
  <si>
    <t>3.7x</t>
  </si>
  <si>
    <t>52.0x</t>
  </si>
  <si>
    <t>$1216.3M</t>
  </si>
  <si>
    <t>69.7%</t>
  </si>
  <si>
    <t>$119.3M</t>
  </si>
  <si>
    <t>15.9%</t>
  </si>
  <si>
    <t>22.8%</t>
  </si>
  <si>
    <t>8.6%</t>
  </si>
  <si>
    <t>10.2%</t>
  </si>
  <si>
    <t>Arcadium Lithium PLC CDI 1:1 Foreign Exempt NYSE</t>
  </si>
  <si>
    <t>LTM.ASX</t>
  </si>
  <si>
    <t>Materials</t>
  </si>
  <si>
    <t>$9.38</t>
  </si>
  <si>
    <t>$3.3</t>
  </si>
  <si>
    <t>$6.5B</t>
  </si>
  <si>
    <t>n/a</t>
  </si>
  <si>
    <t>Insignia Financial Ltd Ordinary</t>
  </si>
  <si>
    <t>IFL.ASX</t>
  </si>
  <si>
    <t>$4.25</t>
  </si>
  <si>
    <t>$4.66</t>
  </si>
  <si>
    <t>$2.13</t>
  </si>
  <si>
    <t>$2.9B</t>
  </si>
  <si>
    <t>Insignia Financial Ltd is an Australia-based wealth manager. The Company operates through four segments: Platforms, Advice, Asset Management and Corporate. The Platforms segment offers a wide range of superannuation and investment solutions to clients, including investors, members, employers and advisers. The Advice segment provides financial advice for Australians, which helps clients navigate their way through a range of financial services and solutions and educates clients to improve their financial wellbeing. The Asset Management segment provides investment management services to institutional, retail and direct clients across a diverse range of asset classes and product constructs. The Company has a range of options for its financial adviser network covering the salaried, self-employed and self-licensed channels. Its subsidiaries include Actuate Alliance Services Pty Ltd, Antares Capital Partners Ltd, Australian Wealth Management Limited and Financial Acuity Limited.</t>
  </si>
  <si>
    <t>2.2%</t>
  </si>
  <si>
    <t>$889.2M</t>
  </si>
  <si>
    <t>57.9%</t>
  </si>
  <si>
    <t>$-172.2M</t>
  </si>
  <si>
    <t>-8.7%</t>
  </si>
  <si>
    <t>14.2%</t>
  </si>
  <si>
    <t>-7.1%</t>
  </si>
  <si>
    <t>Action:</t>
  </si>
  <si>
    <t>Stop Type:</t>
  </si>
  <si>
    <t>Stop Price:</t>
  </si>
  <si>
    <t>Buy Trigger Reason:</t>
  </si>
  <si>
    <t>Market State:</t>
  </si>
  <si>
    <t>PME.ASX</t>
  </si>
  <si>
    <t>$253.25</t>
  </si>
  <si>
    <t>SELL</t>
  </si>
  <si>
    <t>10% from 2wk High</t>
  </si>
  <si>
    <t>Not Applicable</t>
  </si>
  <si>
    <t>The momentum filter has been activated, indicating the market is no longer trending.</t>
  </si>
  <si>
    <t>Pro Medicus Limited Ordinary</t>
  </si>
  <si>
    <t>Health Care</t>
  </si>
  <si>
    <t>$298.71</t>
  </si>
  <si>
    <t>$95.33</t>
  </si>
  <si>
    <t>$26.5B</t>
  </si>
  <si>
    <t>Pro Medicus Limited is an Australia-based healthcare informatics company. The Company provides a full range of medical imaging software and services to hospitals, imaging centers and health care groups in Australia, North America and Europe. Its products include Visage RIS, Visage RIS/PACS, Visage 7, Visage Ease Pro and Visage Ease. Its Visage RIS is a radiology information systems (RIS) medical software for practicing of management, training, installation and professional services. Visage RIS capabilities include patient registration, billing, scheduling, typing, HL7 integration, financial reporting, digital dictation and voice recognition integration. Its Visage 7.0 is a healthcare imaging software that provides clinicians with visualization capability for rapidly viewing 2-D, 3-D and 4-D medical images and picture archive and communication system (PACS)/digital imaging software that is sold directly and to original equipment manufacturers (OEM), training, installation and others.</t>
  </si>
  <si>
    <t>265.8x</t>
  </si>
  <si>
    <t>0.2%</t>
  </si>
  <si>
    <t>159.1x</t>
  </si>
  <si>
    <t>683.3x</t>
  </si>
  <si>
    <t>$-180.5M</t>
  </si>
  <si>
    <t>7.0%</t>
  </si>
  <si>
    <t>$38.7M</t>
  </si>
  <si>
    <t>51.5%</t>
  </si>
  <si>
    <t>34.7%</t>
  </si>
  <si>
    <t>38.9%</t>
  </si>
  <si>
    <t>PNI.ASX</t>
  </si>
  <si>
    <t>$22.81</t>
  </si>
  <si>
    <t>Pinnacle Investment Management Group Limited Ordinary</t>
  </si>
  <si>
    <t>$27.11</t>
  </si>
  <si>
    <t>$10.18</t>
  </si>
  <si>
    <t>$5.2B</t>
  </si>
  <si>
    <t>72.0%</t>
  </si>
  <si>
    <t>Pinnacle Investment Management Group Limited is an Australia-based multi-affiliate investment management company. The Company is focused on growing a diverse family of investment management firms (Affiliates). Along with holding equity interests in its Affiliates, the Company provides seed funding, global institutional and retail distribution, and industrial grade middle office and infrastructure services. It also provides non-investment services to its Affiliates. Its Affiliates product suite provides a variety of investment options across asset classes, including a range of managed funds, actively managed exchange traded funds (Active ETFs), listed investment companies/trusts (LICs/LITs), collective investment trusts (CITs), undertakings for the collective investment in transferable securities (UCITS), Delaware and Cayman funds. Its Affiliates include Spheria Australian Microcap Fund, Hyperion Small Growth Companies Fund, MCP Real Estate Debt Fund and Hyperion Broad Cap Composite.</t>
  </si>
  <si>
    <t>34.0x</t>
  </si>
  <si>
    <t>1.8%</t>
  </si>
  <si>
    <t>105.5x</t>
  </si>
  <si>
    <t>204.7x</t>
  </si>
  <si>
    <t>$-322.1M</t>
  </si>
  <si>
    <t>12.0%</t>
  </si>
  <si>
    <t>$25.3M</t>
  </si>
  <si>
    <t>256.5%</t>
  </si>
  <si>
    <t>14.6%</t>
  </si>
  <si>
    <t>20.2%</t>
  </si>
  <si>
    <t>Annual Return %</t>
  </si>
  <si>
    <t>All trades</t>
  </si>
  <si>
    <t>Winners</t>
  </si>
  <si>
    <t>Avg. Profit %</t>
  </si>
  <si>
    <t>Losers</t>
  </si>
  <si>
    <t>Avg. Loss %</t>
  </si>
  <si>
    <t>Max. system % drawdown</t>
  </si>
  <si>
    <t>Date:</t>
  </si>
  <si>
    <t>Portfolio Equity:</t>
  </si>
  <si>
    <t>Drawdown:</t>
  </si>
  <si>
    <t>Drawdown %:</t>
  </si>
  <si>
    <t>Trade:</t>
  </si>
  <si>
    <t>Price:</t>
  </si>
  <si>
    <t>Ex. Date:</t>
  </si>
  <si>
    <t>Ex. Price:</t>
  </si>
  <si>
    <t>% chg:</t>
  </si>
  <si>
    <t>Profit:</t>
  </si>
  <si>
    <t>% Profit:</t>
  </si>
  <si>
    <t>Shares:</t>
  </si>
  <si>
    <t>Open Long</t>
  </si>
  <si>
    <t>2025-01-13</t>
  </si>
  <si>
    <t>1.67%</t>
  </si>
  <si>
    <t>1.47%</t>
  </si>
  <si>
    <t>30/09/2024</t>
  </si>
  <si>
    <t>5/01/2025</t>
  </si>
  <si>
    <t>63.43%</t>
  </si>
  <si>
    <t>63.23%</t>
  </si>
  <si>
    <t>0.73%</t>
  </si>
  <si>
    <t>0.53%</t>
  </si>
  <si>
    <t>18.85%</t>
  </si>
  <si>
    <t>18.65%</t>
  </si>
  <si>
    <t>-2.61%</t>
  </si>
  <si>
    <t>-2.81%</t>
  </si>
  <si>
    <t>20.38%</t>
  </si>
  <si>
    <t>20.18%</t>
  </si>
  <si>
    <t>-0.26%</t>
  </si>
  <si>
    <t>-0.46%</t>
  </si>
  <si>
    <t>12.03%</t>
  </si>
  <si>
    <t>11.83%</t>
  </si>
  <si>
    <t>360.ASX</t>
  </si>
  <si>
    <t>23/12/2024</t>
  </si>
  <si>
    <t>16.26%</t>
  </si>
  <si>
    <t>16.06%</t>
  </si>
  <si>
    <t>ZIP.ASX</t>
  </si>
  <si>
    <t>3.58%</t>
  </si>
  <si>
    <t>3.38%</t>
  </si>
  <si>
    <t>AGL.ASX</t>
  </si>
  <si>
    <t>Long</t>
  </si>
  <si>
    <t>AUB.ASX</t>
  </si>
  <si>
    <t>-0.07436961142513787</t>
  </si>
  <si>
    <t>-0.07636961142513787</t>
  </si>
  <si>
    <t>HLS.ASX</t>
  </si>
  <si>
    <t>45.2%</t>
  </si>
  <si>
    <t>45.0%</t>
  </si>
  <si>
    <t>26.72%</t>
  </si>
  <si>
    <t>26.52%</t>
  </si>
  <si>
    <t>SUL.ASX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</si>
</sst>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3" x14ac:knownFonts="1">
    <font>
      <sz val="11"/>
      <color theme="1"/>
      <name val="Calibri"/>
      <family val="2"/>
      <scheme val="minor"/>
    </font>
    <font>
      <b/>
      <sz val="11"/>
      <name val="Calibri"/>
    </font>
    <font>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9" fontId="2" fillId="0" borderId="0" applyFont="0" applyFill="0" applyBorder="0" applyAlignment="0" applyProtection="0"/>
  </cellStyleXfs>
  <cellXfs count="5">
    <xf numFmtId="0" fontId="0" fillId="0" borderId="0" xfId="0"/>
    <xf numFmtId="0" fontId="1" fillId="0" borderId="1" xfId="0" applyFont="1" applyBorder="1" applyAlignment="1">
      <alignment horizontal="center" vertical="top"/>
    </xf>
    <xf numFmtId="164" fontId="0" fillId="0" borderId="0" xfId="0" applyNumberFormat="1"/>
    <xf numFmtId="14" fontId="0" fillId="0" borderId="0" xfId="0" applyNumberFormat="1"/>
    <xf numFmtId="10" fontId="0" fillId="0" borderId="0" xfId="1" applyNumberFormat="1" applyFont="1"/>
  </cellXfs>
  <cellStyles count="2">
    <cellStyle name="Normal" xfId="0" builtinId="0"/>
    <cellStyle name="Per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0"/>
  <sheetViews>
    <sheetView workbookViewId="0"/>
  </sheetViews>
  <sheetFormatPr defaultRowHeight="15" x14ac:dyDescent="0.25"/>
  <sheetData>
    <row r="1" spans="1:2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25">
      <c r="A2" t="s">
        <v>21</v>
      </c>
      <c r="B2" t="s">
        <v>22</v>
      </c>
      <c r="C2" t="s">
        <v>23</v>
      </c>
      <c r="D2" t="s">
        <v>24</v>
      </c>
      <c r="E2" t="s">
        <v>25</v>
      </c>
      <c r="F2" t="s">
        <v>26</v>
      </c>
      <c r="G2" t="s">
        <v>27</v>
      </c>
      <c r="H2" t="s">
        <v>28</v>
      </c>
      <c r="I2" t="s">
        <v>29</v>
      </c>
      <c r="J2" t="s">
        <v>30</v>
      </c>
      <c r="K2" t="s">
        <v>31</v>
      </c>
      <c r="L2" t="s">
        <v>32</v>
      </c>
      <c r="N2" t="s">
        <v>33</v>
      </c>
      <c r="O2" t="s">
        <v>34</v>
      </c>
      <c r="P2" t="s">
        <v>35</v>
      </c>
      <c r="Q2" t="s">
        <v>36</v>
      </c>
      <c r="R2" t="s">
        <v>37</v>
      </c>
      <c r="S2" t="s">
        <v>38</v>
      </c>
      <c r="T2" t="s">
        <v>39</v>
      </c>
      <c r="U2" t="s">
        <v>40</v>
      </c>
    </row>
    <row r="3" spans="1:21" x14ac:dyDescent="0.25">
      <c r="A3" t="s">
        <v>41</v>
      </c>
      <c r="B3" t="s">
        <v>42</v>
      </c>
      <c r="C3" t="s">
        <v>23</v>
      </c>
      <c r="D3" t="s">
        <v>43</v>
      </c>
      <c r="E3" t="s">
        <v>44</v>
      </c>
      <c r="F3" t="s">
        <v>45</v>
      </c>
      <c r="G3" t="s">
        <v>46</v>
      </c>
      <c r="H3" t="s">
        <v>47</v>
      </c>
      <c r="I3" t="s">
        <v>48</v>
      </c>
      <c r="J3" t="s">
        <v>49</v>
      </c>
      <c r="K3" t="s">
        <v>50</v>
      </c>
      <c r="L3" t="s">
        <v>51</v>
      </c>
      <c r="M3" t="s">
        <v>52</v>
      </c>
      <c r="N3" t="s">
        <v>53</v>
      </c>
      <c r="O3" t="s">
        <v>54</v>
      </c>
      <c r="P3" t="s">
        <v>55</v>
      </c>
      <c r="Q3" t="s">
        <v>56</v>
      </c>
      <c r="R3" t="s">
        <v>57</v>
      </c>
      <c r="S3" t="s">
        <v>58</v>
      </c>
      <c r="T3" t="s">
        <v>59</v>
      </c>
      <c r="U3" t="s">
        <v>60</v>
      </c>
    </row>
    <row r="4" spans="1:21" x14ac:dyDescent="0.25">
      <c r="A4" t="s">
        <v>61</v>
      </c>
      <c r="B4" t="s">
        <v>62</v>
      </c>
      <c r="C4" t="s">
        <v>23</v>
      </c>
      <c r="D4" t="s">
        <v>63</v>
      </c>
      <c r="E4" t="s">
        <v>64</v>
      </c>
      <c r="F4" t="s">
        <v>65</v>
      </c>
      <c r="G4" t="s">
        <v>66</v>
      </c>
      <c r="H4" t="s">
        <v>67</v>
      </c>
      <c r="I4" t="s">
        <v>68</v>
      </c>
      <c r="J4" t="s">
        <v>69</v>
      </c>
      <c r="K4" t="s">
        <v>70</v>
      </c>
      <c r="L4" t="s">
        <v>71</v>
      </c>
      <c r="M4" t="s">
        <v>72</v>
      </c>
      <c r="N4" t="s">
        <v>73</v>
      </c>
      <c r="O4" t="s">
        <v>74</v>
      </c>
      <c r="P4" t="s">
        <v>31</v>
      </c>
      <c r="Q4" t="s">
        <v>75</v>
      </c>
      <c r="R4" t="s">
        <v>76</v>
      </c>
      <c r="S4" t="s">
        <v>77</v>
      </c>
      <c r="T4" t="s">
        <v>78</v>
      </c>
      <c r="U4" t="s">
        <v>79</v>
      </c>
    </row>
    <row r="5" spans="1:21" x14ac:dyDescent="0.25">
      <c r="A5" t="s">
        <v>80</v>
      </c>
      <c r="B5" t="s">
        <v>81</v>
      </c>
      <c r="C5" t="s">
        <v>82</v>
      </c>
      <c r="D5" t="s">
        <v>83</v>
      </c>
      <c r="E5" t="s">
        <v>84</v>
      </c>
      <c r="F5" t="s">
        <v>85</v>
      </c>
      <c r="G5" t="s">
        <v>86</v>
      </c>
      <c r="H5" t="s">
        <v>28</v>
      </c>
      <c r="I5" t="s">
        <v>87</v>
      </c>
      <c r="J5" t="s">
        <v>88</v>
      </c>
      <c r="K5" t="s">
        <v>89</v>
      </c>
      <c r="L5" t="s">
        <v>90</v>
      </c>
      <c r="M5" t="s">
        <v>91</v>
      </c>
      <c r="N5" t="s">
        <v>92</v>
      </c>
      <c r="O5" t="s">
        <v>93</v>
      </c>
      <c r="Q5" t="s">
        <v>94</v>
      </c>
      <c r="R5" t="s">
        <v>95</v>
      </c>
      <c r="S5" t="s">
        <v>79</v>
      </c>
      <c r="T5" t="s">
        <v>96</v>
      </c>
      <c r="U5" t="s">
        <v>97</v>
      </c>
    </row>
    <row r="6" spans="1:21" x14ac:dyDescent="0.25">
      <c r="A6" t="s">
        <v>98</v>
      </c>
      <c r="B6" t="s">
        <v>99</v>
      </c>
      <c r="C6" t="s">
        <v>82</v>
      </c>
      <c r="D6" t="s">
        <v>100</v>
      </c>
      <c r="E6" t="s">
        <v>101</v>
      </c>
      <c r="F6" t="s">
        <v>102</v>
      </c>
      <c r="G6" t="s">
        <v>103</v>
      </c>
      <c r="H6" t="s">
        <v>28</v>
      </c>
      <c r="I6" t="s">
        <v>104</v>
      </c>
      <c r="J6" t="s">
        <v>105</v>
      </c>
      <c r="K6" t="s">
        <v>106</v>
      </c>
      <c r="L6" t="s">
        <v>107</v>
      </c>
      <c r="M6" t="s">
        <v>108</v>
      </c>
      <c r="N6" t="s">
        <v>109</v>
      </c>
      <c r="O6" t="s">
        <v>110</v>
      </c>
      <c r="Q6" t="s">
        <v>111</v>
      </c>
      <c r="R6" t="s">
        <v>112</v>
      </c>
      <c r="S6" t="s">
        <v>113</v>
      </c>
      <c r="T6" t="s">
        <v>114</v>
      </c>
      <c r="U6" t="s">
        <v>115</v>
      </c>
    </row>
    <row r="7" spans="1:21" x14ac:dyDescent="0.25">
      <c r="A7" t="s">
        <v>116</v>
      </c>
      <c r="B7" t="s">
        <v>117</v>
      </c>
      <c r="C7" t="s">
        <v>82</v>
      </c>
      <c r="D7" t="s">
        <v>118</v>
      </c>
      <c r="E7" t="s">
        <v>119</v>
      </c>
      <c r="F7" t="s">
        <v>120</v>
      </c>
      <c r="G7" t="s">
        <v>121</v>
      </c>
      <c r="H7" t="s">
        <v>28</v>
      </c>
      <c r="I7" t="s">
        <v>122</v>
      </c>
      <c r="J7" t="s">
        <v>123</v>
      </c>
      <c r="K7" t="s">
        <v>124</v>
      </c>
      <c r="L7" t="s">
        <v>125</v>
      </c>
      <c r="N7" t="s">
        <v>126</v>
      </c>
      <c r="O7" t="s">
        <v>115</v>
      </c>
      <c r="P7" t="s">
        <v>127</v>
      </c>
      <c r="Q7" t="s">
        <v>128</v>
      </c>
      <c r="R7" t="s">
        <v>129</v>
      </c>
      <c r="S7" t="s">
        <v>130</v>
      </c>
      <c r="T7" t="s">
        <v>131</v>
      </c>
      <c r="U7" t="s">
        <v>132</v>
      </c>
    </row>
    <row r="8" spans="1:21" x14ac:dyDescent="0.25">
      <c r="A8" t="s">
        <v>133</v>
      </c>
      <c r="B8" t="s">
        <v>134</v>
      </c>
      <c r="C8" t="s">
        <v>82</v>
      </c>
      <c r="D8" t="s">
        <v>63</v>
      </c>
      <c r="E8" t="s">
        <v>135</v>
      </c>
      <c r="F8" t="s">
        <v>136</v>
      </c>
      <c r="G8" t="s">
        <v>137</v>
      </c>
      <c r="H8" t="s">
        <v>28</v>
      </c>
      <c r="I8" t="s">
        <v>138</v>
      </c>
      <c r="J8" t="s">
        <v>139</v>
      </c>
      <c r="K8" t="s">
        <v>140</v>
      </c>
      <c r="L8" t="s">
        <v>141</v>
      </c>
      <c r="M8" t="s">
        <v>142</v>
      </c>
      <c r="N8" t="s">
        <v>143</v>
      </c>
      <c r="O8" t="s">
        <v>144</v>
      </c>
      <c r="P8" t="s">
        <v>55</v>
      </c>
      <c r="Q8" t="s">
        <v>145</v>
      </c>
      <c r="R8" t="s">
        <v>146</v>
      </c>
      <c r="S8" t="s">
        <v>147</v>
      </c>
      <c r="T8" t="s">
        <v>148</v>
      </c>
      <c r="U8" t="s">
        <v>149</v>
      </c>
    </row>
    <row r="9" spans="1:21" x14ac:dyDescent="0.25">
      <c r="A9" t="s">
        <v>150</v>
      </c>
      <c r="B9" t="s">
        <v>151</v>
      </c>
      <c r="C9" t="s">
        <v>152</v>
      </c>
      <c r="D9" t="s">
        <v>153</v>
      </c>
      <c r="E9" t="s">
        <v>153</v>
      </c>
      <c r="F9" t="s">
        <v>154</v>
      </c>
      <c r="G9" t="s">
        <v>155</v>
      </c>
      <c r="I9" t="s">
        <v>156</v>
      </c>
      <c r="K9" t="s">
        <v>47</v>
      </c>
    </row>
    <row r="10" spans="1:21" x14ac:dyDescent="0.25">
      <c r="A10" t="s">
        <v>157</v>
      </c>
      <c r="B10" t="s">
        <v>158</v>
      </c>
      <c r="C10" t="s">
        <v>82</v>
      </c>
      <c r="D10" t="s">
        <v>159</v>
      </c>
      <c r="E10" t="s">
        <v>160</v>
      </c>
      <c r="F10" t="s">
        <v>161</v>
      </c>
      <c r="G10" t="s">
        <v>162</v>
      </c>
      <c r="H10" t="s">
        <v>47</v>
      </c>
      <c r="I10" t="s">
        <v>163</v>
      </c>
      <c r="K10" t="s">
        <v>164</v>
      </c>
      <c r="L10" t="s">
        <v>90</v>
      </c>
      <c r="N10" t="s">
        <v>165</v>
      </c>
      <c r="O10" t="s">
        <v>166</v>
      </c>
      <c r="Q10" t="s">
        <v>167</v>
      </c>
      <c r="R10" t="s">
        <v>168</v>
      </c>
      <c r="S10" t="s">
        <v>169</v>
      </c>
      <c r="U10" t="s">
        <v>170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10"/>
  <sheetViews>
    <sheetView workbookViewId="0"/>
  </sheetViews>
  <sheetFormatPr defaultRowHeight="15" x14ac:dyDescent="0.25"/>
  <sheetData>
    <row r="1" spans="1:2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25">
      <c r="A2" t="s">
        <v>21</v>
      </c>
      <c r="B2" t="s">
        <v>22</v>
      </c>
      <c r="C2" t="s">
        <v>23</v>
      </c>
      <c r="D2" t="s">
        <v>24</v>
      </c>
      <c r="E2" t="s">
        <v>25</v>
      </c>
      <c r="F2" t="s">
        <v>26</v>
      </c>
      <c r="G2" t="s">
        <v>27</v>
      </c>
      <c r="H2" t="s">
        <v>28</v>
      </c>
      <c r="I2" t="s">
        <v>29</v>
      </c>
      <c r="J2" t="s">
        <v>30</v>
      </c>
      <c r="K2" t="s">
        <v>31</v>
      </c>
      <c r="L2" t="s">
        <v>32</v>
      </c>
      <c r="N2" t="s">
        <v>33</v>
      </c>
      <c r="O2" t="s">
        <v>34</v>
      </c>
      <c r="P2" t="s">
        <v>35</v>
      </c>
      <c r="Q2" t="s">
        <v>36</v>
      </c>
      <c r="R2" t="s">
        <v>37</v>
      </c>
      <c r="S2" t="s">
        <v>38</v>
      </c>
      <c r="T2" t="s">
        <v>39</v>
      </c>
      <c r="U2" t="s">
        <v>40</v>
      </c>
    </row>
    <row r="3" spans="1:21" x14ac:dyDescent="0.25">
      <c r="A3" t="s">
        <v>41</v>
      </c>
      <c r="B3" t="s">
        <v>42</v>
      </c>
      <c r="C3" t="s">
        <v>23</v>
      </c>
      <c r="D3" t="s">
        <v>43</v>
      </c>
      <c r="E3" t="s">
        <v>44</v>
      </c>
      <c r="F3" t="s">
        <v>45</v>
      </c>
      <c r="G3" t="s">
        <v>46</v>
      </c>
      <c r="H3" t="s">
        <v>47</v>
      </c>
      <c r="I3" t="s">
        <v>48</v>
      </c>
      <c r="J3" t="s">
        <v>49</v>
      </c>
      <c r="K3" t="s">
        <v>50</v>
      </c>
      <c r="L3" t="s">
        <v>51</v>
      </c>
      <c r="M3" t="s">
        <v>52</v>
      </c>
      <c r="N3" t="s">
        <v>53</v>
      </c>
      <c r="O3" t="s">
        <v>54</v>
      </c>
      <c r="P3" t="s">
        <v>55</v>
      </c>
      <c r="Q3" t="s">
        <v>56</v>
      </c>
      <c r="R3" t="s">
        <v>57</v>
      </c>
      <c r="S3" t="s">
        <v>58</v>
      </c>
      <c r="T3" t="s">
        <v>59</v>
      </c>
      <c r="U3" t="s">
        <v>60</v>
      </c>
    </row>
    <row r="4" spans="1:21" x14ac:dyDescent="0.25">
      <c r="A4" t="s">
        <v>61</v>
      </c>
      <c r="B4" t="s">
        <v>62</v>
      </c>
      <c r="C4" t="s">
        <v>23</v>
      </c>
      <c r="D4" t="s">
        <v>63</v>
      </c>
      <c r="E4" t="s">
        <v>64</v>
      </c>
      <c r="F4" t="s">
        <v>65</v>
      </c>
      <c r="G4" t="s">
        <v>66</v>
      </c>
      <c r="H4" t="s">
        <v>67</v>
      </c>
      <c r="I4" t="s">
        <v>68</v>
      </c>
      <c r="J4" t="s">
        <v>69</v>
      </c>
      <c r="K4" t="s">
        <v>70</v>
      </c>
      <c r="L4" t="s">
        <v>71</v>
      </c>
      <c r="M4" t="s">
        <v>72</v>
      </c>
      <c r="N4" t="s">
        <v>73</v>
      </c>
      <c r="O4" t="s">
        <v>74</v>
      </c>
      <c r="P4" t="s">
        <v>31</v>
      </c>
      <c r="Q4" t="s">
        <v>75</v>
      </c>
      <c r="R4" t="s">
        <v>76</v>
      </c>
      <c r="S4" t="s">
        <v>77</v>
      </c>
      <c r="T4" t="s">
        <v>78</v>
      </c>
      <c r="U4" t="s">
        <v>79</v>
      </c>
    </row>
    <row r="5" spans="1:21" x14ac:dyDescent="0.25">
      <c r="A5" t="s">
        <v>80</v>
      </c>
      <c r="B5" t="s">
        <v>81</v>
      </c>
      <c r="C5" t="s">
        <v>82</v>
      </c>
      <c r="D5" t="s">
        <v>83</v>
      </c>
      <c r="E5" t="s">
        <v>84</v>
      </c>
      <c r="F5" t="s">
        <v>85</v>
      </c>
      <c r="G5" t="s">
        <v>86</v>
      </c>
      <c r="H5" t="s">
        <v>28</v>
      </c>
      <c r="I5" t="s">
        <v>87</v>
      </c>
      <c r="J5" t="s">
        <v>88</v>
      </c>
      <c r="K5" t="s">
        <v>89</v>
      </c>
      <c r="L5" t="s">
        <v>90</v>
      </c>
      <c r="M5" t="s">
        <v>91</v>
      </c>
      <c r="N5" t="s">
        <v>92</v>
      </c>
      <c r="O5" t="s">
        <v>93</v>
      </c>
      <c r="Q5" t="s">
        <v>94</v>
      </c>
      <c r="R5" t="s">
        <v>95</v>
      </c>
      <c r="S5" t="s">
        <v>79</v>
      </c>
      <c r="T5" t="s">
        <v>96</v>
      </c>
      <c r="U5" t="s">
        <v>97</v>
      </c>
    </row>
    <row r="6" spans="1:21" x14ac:dyDescent="0.25">
      <c r="A6" t="s">
        <v>98</v>
      </c>
      <c r="B6" t="s">
        <v>99</v>
      </c>
      <c r="C6" t="s">
        <v>82</v>
      </c>
      <c r="D6" t="s">
        <v>100</v>
      </c>
      <c r="E6" t="s">
        <v>101</v>
      </c>
      <c r="F6" t="s">
        <v>102</v>
      </c>
      <c r="G6" t="s">
        <v>103</v>
      </c>
      <c r="H6" t="s">
        <v>28</v>
      </c>
      <c r="I6" t="s">
        <v>104</v>
      </c>
      <c r="J6" t="s">
        <v>105</v>
      </c>
      <c r="K6" t="s">
        <v>106</v>
      </c>
      <c r="L6" t="s">
        <v>107</v>
      </c>
      <c r="M6" t="s">
        <v>108</v>
      </c>
      <c r="N6" t="s">
        <v>109</v>
      </c>
      <c r="O6" t="s">
        <v>110</v>
      </c>
      <c r="Q6" t="s">
        <v>111</v>
      </c>
      <c r="R6" t="s">
        <v>112</v>
      </c>
      <c r="S6" t="s">
        <v>113</v>
      </c>
      <c r="T6" t="s">
        <v>114</v>
      </c>
      <c r="U6" t="s">
        <v>115</v>
      </c>
    </row>
    <row r="7" spans="1:21" x14ac:dyDescent="0.25">
      <c r="A7" t="s">
        <v>116</v>
      </c>
      <c r="B7" t="s">
        <v>117</v>
      </c>
      <c r="C7" t="s">
        <v>82</v>
      </c>
      <c r="D7" t="s">
        <v>118</v>
      </c>
      <c r="E7" t="s">
        <v>119</v>
      </c>
      <c r="F7" t="s">
        <v>120</v>
      </c>
      <c r="G7" t="s">
        <v>121</v>
      </c>
      <c r="H7" t="s">
        <v>28</v>
      </c>
      <c r="I7" t="s">
        <v>122</v>
      </c>
      <c r="J7" t="s">
        <v>123</v>
      </c>
      <c r="K7" t="s">
        <v>124</v>
      </c>
      <c r="L7" t="s">
        <v>125</v>
      </c>
      <c r="N7" t="s">
        <v>126</v>
      </c>
      <c r="O7" t="s">
        <v>115</v>
      </c>
      <c r="P7" t="s">
        <v>127</v>
      </c>
      <c r="Q7" t="s">
        <v>128</v>
      </c>
      <c r="R7" t="s">
        <v>129</v>
      </c>
      <c r="S7" t="s">
        <v>130</v>
      </c>
      <c r="T7" t="s">
        <v>131</v>
      </c>
      <c r="U7" t="s">
        <v>132</v>
      </c>
    </row>
    <row r="8" spans="1:21" x14ac:dyDescent="0.25">
      <c r="A8" t="s">
        <v>133</v>
      </c>
      <c r="B8" t="s">
        <v>134</v>
      </c>
      <c r="C8" t="s">
        <v>82</v>
      </c>
      <c r="D8" t="s">
        <v>63</v>
      </c>
      <c r="E8" t="s">
        <v>135</v>
      </c>
      <c r="F8" t="s">
        <v>136</v>
      </c>
      <c r="G8" t="s">
        <v>137</v>
      </c>
      <c r="H8" t="s">
        <v>28</v>
      </c>
      <c r="I8" t="s">
        <v>138</v>
      </c>
      <c r="J8" t="s">
        <v>139</v>
      </c>
      <c r="K8" t="s">
        <v>140</v>
      </c>
      <c r="L8" t="s">
        <v>141</v>
      </c>
      <c r="M8" t="s">
        <v>142</v>
      </c>
      <c r="N8" t="s">
        <v>143</v>
      </c>
      <c r="O8" t="s">
        <v>144</v>
      </c>
      <c r="P8" t="s">
        <v>55</v>
      </c>
      <c r="Q8" t="s">
        <v>145</v>
      </c>
      <c r="R8" t="s">
        <v>146</v>
      </c>
      <c r="S8" t="s">
        <v>147</v>
      </c>
      <c r="T8" t="s">
        <v>148</v>
      </c>
      <c r="U8" t="s">
        <v>149</v>
      </c>
    </row>
    <row r="9" spans="1:21" x14ac:dyDescent="0.25">
      <c r="A9" t="s">
        <v>150</v>
      </c>
      <c r="B9" t="s">
        <v>151</v>
      </c>
      <c r="C9" t="s">
        <v>152</v>
      </c>
      <c r="D9" t="s">
        <v>153</v>
      </c>
      <c r="E9" t="s">
        <v>153</v>
      </c>
      <c r="F9" t="s">
        <v>154</v>
      </c>
      <c r="G9" t="s">
        <v>155</v>
      </c>
      <c r="I9" t="s">
        <v>156</v>
      </c>
      <c r="K9" t="s">
        <v>47</v>
      </c>
    </row>
    <row r="10" spans="1:21" x14ac:dyDescent="0.25">
      <c r="A10" t="s">
        <v>157</v>
      </c>
      <c r="B10" t="s">
        <v>158</v>
      </c>
      <c r="C10" t="s">
        <v>82</v>
      </c>
      <c r="D10" t="s">
        <v>159</v>
      </c>
      <c r="E10" t="s">
        <v>160</v>
      </c>
      <c r="F10" t="s">
        <v>161</v>
      </c>
      <c r="G10" t="s">
        <v>162</v>
      </c>
      <c r="H10" t="s">
        <v>47</v>
      </c>
      <c r="I10" t="s">
        <v>163</v>
      </c>
      <c r="K10" t="s">
        <v>164</v>
      </c>
      <c r="L10" t="s">
        <v>90</v>
      </c>
      <c r="N10" t="s">
        <v>165</v>
      </c>
      <c r="O10" t="s">
        <v>166</v>
      </c>
      <c r="Q10" t="s">
        <v>167</v>
      </c>
      <c r="R10" t="s">
        <v>168</v>
      </c>
      <c r="S10" t="s">
        <v>169</v>
      </c>
      <c r="U10" t="s">
        <v>170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A3"/>
  <sheetViews>
    <sheetView workbookViewId="0"/>
  </sheetViews>
  <sheetFormatPr defaultRowHeight="15" x14ac:dyDescent="0.25"/>
  <sheetData>
    <row r="1" spans="1:27" x14ac:dyDescent="0.25">
      <c r="A1" s="1" t="s">
        <v>1</v>
      </c>
      <c r="B1" s="1" t="s">
        <v>3</v>
      </c>
      <c r="C1" s="1" t="s">
        <v>171</v>
      </c>
      <c r="D1" s="1" t="s">
        <v>172</v>
      </c>
      <c r="E1" s="1" t="s">
        <v>173</v>
      </c>
      <c r="F1" s="1" t="s">
        <v>174</v>
      </c>
      <c r="G1" s="1" t="s">
        <v>175</v>
      </c>
      <c r="H1" s="1" t="s">
        <v>0</v>
      </c>
      <c r="I1" s="1" t="s">
        <v>2</v>
      </c>
      <c r="J1" s="1" t="s">
        <v>3</v>
      </c>
      <c r="K1" s="1" t="s">
        <v>4</v>
      </c>
      <c r="L1" s="1" t="s">
        <v>5</v>
      </c>
      <c r="M1" s="1" t="s">
        <v>6</v>
      </c>
      <c r="N1" s="1" t="s">
        <v>7</v>
      </c>
      <c r="O1" s="1" t="s">
        <v>8</v>
      </c>
      <c r="P1" s="1" t="s">
        <v>9</v>
      </c>
      <c r="Q1" s="1" t="s">
        <v>10</v>
      </c>
      <c r="R1" s="1" t="s">
        <v>11</v>
      </c>
      <c r="S1" s="1" t="s">
        <v>12</v>
      </c>
      <c r="T1" s="1" t="s">
        <v>13</v>
      </c>
      <c r="U1" s="1" t="s">
        <v>14</v>
      </c>
      <c r="V1" s="1" t="s">
        <v>15</v>
      </c>
      <c r="W1" s="1" t="s">
        <v>16</v>
      </c>
      <c r="X1" s="1" t="s">
        <v>17</v>
      </c>
      <c r="Y1" s="1" t="s">
        <v>18</v>
      </c>
      <c r="Z1" s="1" t="s">
        <v>19</v>
      </c>
      <c r="AA1" s="1" t="s">
        <v>20</v>
      </c>
    </row>
    <row r="2" spans="1:27" x14ac:dyDescent="0.25">
      <c r="A2" t="s">
        <v>176</v>
      </c>
      <c r="B2" t="s">
        <v>177</v>
      </c>
      <c r="C2" t="s">
        <v>178</v>
      </c>
      <c r="D2" t="s">
        <v>179</v>
      </c>
      <c r="E2" t="s">
        <v>180</v>
      </c>
      <c r="F2" t="s">
        <v>180</v>
      </c>
      <c r="G2" t="s">
        <v>181</v>
      </c>
      <c r="H2" t="s">
        <v>182</v>
      </c>
      <c r="I2" t="s">
        <v>183</v>
      </c>
      <c r="J2" t="s">
        <v>177</v>
      </c>
      <c r="K2" t="s">
        <v>184</v>
      </c>
      <c r="L2" t="s">
        <v>185</v>
      </c>
      <c r="M2" t="s">
        <v>186</v>
      </c>
      <c r="N2" t="s">
        <v>28</v>
      </c>
      <c r="O2" t="s">
        <v>187</v>
      </c>
      <c r="P2" t="s">
        <v>188</v>
      </c>
      <c r="Q2" t="s">
        <v>189</v>
      </c>
      <c r="R2" t="s">
        <v>190</v>
      </c>
      <c r="S2" t="s">
        <v>191</v>
      </c>
      <c r="T2" t="s">
        <v>192</v>
      </c>
      <c r="U2" t="s">
        <v>76</v>
      </c>
      <c r="V2" t="s">
        <v>193</v>
      </c>
      <c r="W2" t="s">
        <v>194</v>
      </c>
      <c r="X2" t="s">
        <v>195</v>
      </c>
      <c r="Y2" t="s">
        <v>196</v>
      </c>
      <c r="Z2" t="s">
        <v>197</v>
      </c>
      <c r="AA2" t="s">
        <v>195</v>
      </c>
    </row>
    <row r="3" spans="1:27" x14ac:dyDescent="0.25">
      <c r="A3" t="s">
        <v>198</v>
      </c>
      <c r="B3" t="s">
        <v>199</v>
      </c>
      <c r="C3" t="s">
        <v>178</v>
      </c>
      <c r="D3" t="s">
        <v>179</v>
      </c>
      <c r="E3" t="s">
        <v>180</v>
      </c>
      <c r="F3" t="s">
        <v>180</v>
      </c>
      <c r="G3" t="s">
        <v>181</v>
      </c>
      <c r="H3" t="s">
        <v>200</v>
      </c>
      <c r="I3" t="s">
        <v>82</v>
      </c>
      <c r="J3" t="s">
        <v>199</v>
      </c>
      <c r="K3" t="s">
        <v>201</v>
      </c>
      <c r="L3" t="s">
        <v>202</v>
      </c>
      <c r="M3" t="s">
        <v>203</v>
      </c>
      <c r="N3" t="s">
        <v>204</v>
      </c>
      <c r="O3" t="s">
        <v>205</v>
      </c>
      <c r="P3" t="s">
        <v>206</v>
      </c>
      <c r="Q3" t="s">
        <v>207</v>
      </c>
      <c r="R3" t="s">
        <v>208</v>
      </c>
      <c r="S3" t="s">
        <v>209</v>
      </c>
      <c r="T3" t="s">
        <v>210</v>
      </c>
      <c r="U3" t="s">
        <v>211</v>
      </c>
      <c r="V3" t="s">
        <v>106</v>
      </c>
      <c r="W3" t="s">
        <v>212</v>
      </c>
      <c r="X3" t="s">
        <v>213</v>
      </c>
      <c r="Y3" t="s">
        <v>214</v>
      </c>
      <c r="Z3" t="s">
        <v>37</v>
      </c>
      <c r="AA3" t="s">
        <v>215</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7"/>
  <sheetViews>
    <sheetView workbookViewId="0"/>
  </sheetViews>
  <sheetFormatPr defaultRowHeight="15" x14ac:dyDescent="0.25"/>
  <sheetData>
    <row r="1" spans="1:2" x14ac:dyDescent="0.25">
      <c r="A1" s="1" t="s">
        <v>216</v>
      </c>
      <c r="B1">
        <v>18.439923217431549</v>
      </c>
    </row>
    <row r="2" spans="1:2" x14ac:dyDescent="0.25">
      <c r="A2" s="1" t="s">
        <v>217</v>
      </c>
      <c r="B2">
        <v>17</v>
      </c>
    </row>
    <row r="3" spans="1:2" x14ac:dyDescent="0.25">
      <c r="A3" s="1" t="s">
        <v>218</v>
      </c>
      <c r="B3">
        <v>11</v>
      </c>
    </row>
    <row r="4" spans="1:2" x14ac:dyDescent="0.25">
      <c r="A4" s="1" t="s">
        <v>219</v>
      </c>
      <c r="B4">
        <v>18.99454545454546</v>
      </c>
    </row>
    <row r="5" spans="1:2" x14ac:dyDescent="0.25">
      <c r="A5" s="1" t="s">
        <v>220</v>
      </c>
      <c r="B5">
        <v>6</v>
      </c>
    </row>
    <row r="6" spans="1:2" x14ac:dyDescent="0.25">
      <c r="A6" s="1" t="s">
        <v>221</v>
      </c>
      <c r="B6">
        <v>-1.1154565371417129</v>
      </c>
    </row>
    <row r="7" spans="1:2" x14ac:dyDescent="0.25">
      <c r="A7" s="1" t="s">
        <v>222</v>
      </c>
      <c r="B7">
        <v>-5.3835584999999998E-2</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24"/>
  <sheetViews>
    <sheetView workbookViewId="0">
      <selection activeCell="F16" sqref="F16"/>
    </sheetView>
  </sheetViews>
  <sheetFormatPr defaultRowHeight="15" x14ac:dyDescent="0.25"/>
  <cols>
    <col min="1" max="1" width="18.28515625" bestFit="1" customWidth="1"/>
  </cols>
  <sheetData>
    <row r="1" spans="1:4" x14ac:dyDescent="0.25">
      <c r="A1" s="1" t="s">
        <v>223</v>
      </c>
      <c r="B1" s="1" t="s">
        <v>224</v>
      </c>
      <c r="C1" s="1" t="s">
        <v>225</v>
      </c>
      <c r="D1" s="1" t="s">
        <v>226</v>
      </c>
    </row>
    <row r="2" spans="1:4" x14ac:dyDescent="0.25">
      <c r="A2" s="2">
        <v>45564</v>
      </c>
      <c r="B2">
        <v>100000</v>
      </c>
      <c r="C2">
        <v>0</v>
      </c>
      <c r="D2">
        <v>0</v>
      </c>
    </row>
    <row r="3" spans="1:4" x14ac:dyDescent="0.25">
      <c r="A3" s="2">
        <v>45571</v>
      </c>
      <c r="B3">
        <v>99403.277679999999</v>
      </c>
      <c r="C3">
        <v>-596.72231899999997</v>
      </c>
      <c r="D3">
        <v>-5.9672229999999998E-3</v>
      </c>
    </row>
    <row r="4" spans="1:4" x14ac:dyDescent="0.25">
      <c r="A4" s="2">
        <v>45578</v>
      </c>
      <c r="B4">
        <v>101611.5536</v>
      </c>
      <c r="C4">
        <v>0</v>
      </c>
      <c r="D4">
        <v>0</v>
      </c>
    </row>
    <row r="5" spans="1:4" x14ac:dyDescent="0.25">
      <c r="A5" s="2">
        <v>45585</v>
      </c>
      <c r="B5">
        <v>101911.8416</v>
      </c>
      <c r="C5">
        <v>0</v>
      </c>
      <c r="D5">
        <v>0</v>
      </c>
    </row>
    <row r="6" spans="1:4" x14ac:dyDescent="0.25">
      <c r="A6" s="2">
        <v>45592</v>
      </c>
      <c r="B6">
        <v>99976.901129999998</v>
      </c>
      <c r="C6">
        <v>-1934.94049</v>
      </c>
      <c r="D6">
        <v>-1.8986415E-2</v>
      </c>
    </row>
    <row r="7" spans="1:4" x14ac:dyDescent="0.25">
      <c r="A7" s="2">
        <v>45599</v>
      </c>
      <c r="B7">
        <v>99565.150039999993</v>
      </c>
      <c r="C7">
        <v>-2346.6915800000002</v>
      </c>
      <c r="D7">
        <v>-2.3026682E-2</v>
      </c>
    </row>
    <row r="8" spans="1:4" x14ac:dyDescent="0.25">
      <c r="A8" s="2">
        <v>45606</v>
      </c>
      <c r="B8">
        <v>104244.4905</v>
      </c>
      <c r="C8">
        <v>0</v>
      </c>
      <c r="D8">
        <v>0</v>
      </c>
    </row>
    <row r="9" spans="1:4" x14ac:dyDescent="0.25">
      <c r="A9" s="2">
        <v>45613</v>
      </c>
      <c r="B9">
        <v>104587.5993</v>
      </c>
      <c r="C9">
        <v>0</v>
      </c>
      <c r="D9">
        <v>0</v>
      </c>
    </row>
    <row r="10" spans="1:4" x14ac:dyDescent="0.25">
      <c r="A10" s="2">
        <v>45620</v>
      </c>
      <c r="B10">
        <v>105687.45050000001</v>
      </c>
      <c r="C10">
        <v>0</v>
      </c>
      <c r="D10">
        <v>0</v>
      </c>
    </row>
    <row r="11" spans="1:4" x14ac:dyDescent="0.25">
      <c r="A11" s="2">
        <v>45627</v>
      </c>
      <c r="B11">
        <v>110185.24920000001</v>
      </c>
      <c r="C11">
        <v>0</v>
      </c>
      <c r="D11">
        <v>0</v>
      </c>
    </row>
    <row r="12" spans="1:4" x14ac:dyDescent="0.25">
      <c r="A12" s="2">
        <v>45634</v>
      </c>
      <c r="B12">
        <v>111248.91039999999</v>
      </c>
      <c r="C12">
        <v>0</v>
      </c>
      <c r="D12">
        <v>0</v>
      </c>
    </row>
    <row r="13" spans="1:4" x14ac:dyDescent="0.25">
      <c r="A13" s="2">
        <v>45641</v>
      </c>
      <c r="B13">
        <v>106366.1694</v>
      </c>
      <c r="C13">
        <v>-4882.7410360000003</v>
      </c>
      <c r="D13">
        <v>-4.3890236999999999E-2</v>
      </c>
    </row>
    <row r="14" spans="1:4" x14ac:dyDescent="0.25">
      <c r="A14" s="2">
        <v>45648</v>
      </c>
      <c r="B14">
        <v>105259.76029999999</v>
      </c>
      <c r="C14">
        <v>-5989.1501230000003</v>
      </c>
      <c r="D14">
        <v>-5.3835584999999998E-2</v>
      </c>
    </row>
    <row r="15" spans="1:4" x14ac:dyDescent="0.25">
      <c r="A15" s="2">
        <v>45655</v>
      </c>
      <c r="B15">
        <v>107712.5</v>
      </c>
      <c r="C15">
        <v>-3536.4104349999998</v>
      </c>
      <c r="D15">
        <v>-3.178827E-2</v>
      </c>
    </row>
    <row r="16" spans="1:4" x14ac:dyDescent="0.25">
      <c r="A16" s="2">
        <v>45662</v>
      </c>
      <c r="B16">
        <v>107453.3697</v>
      </c>
      <c r="C16">
        <v>-3795.540743</v>
      </c>
      <c r="D16">
        <v>-3.4117554000000001E-2</v>
      </c>
    </row>
    <row r="17" spans="1:4" x14ac:dyDescent="0.25">
      <c r="A17" s="2">
        <v>45669</v>
      </c>
      <c r="B17">
        <v>107466.71102662091</v>
      </c>
      <c r="C17">
        <v>-3782.199373379131</v>
      </c>
      <c r="D17">
        <v>-3.3997630716382503E-2</v>
      </c>
    </row>
    <row r="18" spans="1:4" x14ac:dyDescent="0.25">
      <c r="A18" s="2">
        <v>45676</v>
      </c>
      <c r="B18">
        <v>112471.28999423981</v>
      </c>
      <c r="C18">
        <v>0</v>
      </c>
      <c r="D18">
        <v>0</v>
      </c>
    </row>
    <row r="19" spans="1:4" x14ac:dyDescent="0.25">
      <c r="A19" s="2">
        <v>45683</v>
      </c>
      <c r="B19">
        <v>110091.2889530659</v>
      </c>
      <c r="C19">
        <v>-2380.0010411739349</v>
      </c>
      <c r="D19">
        <v>-2.1160965089809299E-2</v>
      </c>
    </row>
    <row r="20" spans="1:4" x14ac:dyDescent="0.25">
      <c r="A20" s="2">
        <v>45690</v>
      </c>
      <c r="B20">
        <v>111854.1203608513</v>
      </c>
      <c r="C20">
        <v>-617.16963338851929</v>
      </c>
      <c r="D20">
        <v>-5.4873526694690002E-3</v>
      </c>
    </row>
    <row r="21" spans="1:4" x14ac:dyDescent="0.25">
      <c r="A21" s="2">
        <v>45690</v>
      </c>
      <c r="B21">
        <v>111535.74001336101</v>
      </c>
      <c r="C21">
        <v>-935.54998087882996</v>
      </c>
      <c r="D21">
        <v>-8.3181226153513001E-3</v>
      </c>
    </row>
    <row r="22" spans="1:4" x14ac:dyDescent="0.25">
      <c r="A22" s="2">
        <v>45704</v>
      </c>
      <c r="B22">
        <v>112936.17935633659</v>
      </c>
      <c r="C22">
        <v>0</v>
      </c>
      <c r="D22">
        <v>0</v>
      </c>
    </row>
    <row r="23" spans="1:4" x14ac:dyDescent="0.25">
      <c r="A23" s="2">
        <v>45711</v>
      </c>
      <c r="B23">
        <v>111316.67062354089</v>
      </c>
      <c r="C23">
        <v>-1619.5087327957151</v>
      </c>
      <c r="D23">
        <v>-1.43400347171816E-2</v>
      </c>
    </row>
    <row r="24" spans="1:4" x14ac:dyDescent="0.25">
      <c r="A24" s="2">
        <v>45718</v>
      </c>
      <c r="B24">
        <v>107401.45489692689</v>
      </c>
      <c r="C24">
        <v>-5534.7244594097137</v>
      </c>
      <c r="D24">
        <v>-4.9007541170190773E-2</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18"/>
  <sheetViews>
    <sheetView tabSelected="1" workbookViewId="0">
      <selection activeCell="M14" sqref="M14"/>
    </sheetView>
  </sheetViews>
  <sheetFormatPr defaultRowHeight="15" x14ac:dyDescent="0.25"/>
  <cols>
    <col min="1" max="1" width="9.5703125" bestFit="1" customWidth="1"/>
    <col min="2" max="2" width="10.42578125" bestFit="1" customWidth="1"/>
    <col min="3" max="3" width="10.7109375" bestFit="1" customWidth="1"/>
    <col min="4" max="4" width="12" bestFit="1" customWidth="1"/>
    <col min="5" max="5" width="10.7109375" bestFit="1" customWidth="1"/>
    <col min="6" max="6" width="12" bestFit="1" customWidth="1"/>
    <col min="7" max="7" width="20.5703125" bestFit="1" customWidth="1"/>
    <col min="8" max="8" width="12" bestFit="1" customWidth="1"/>
    <col min="9" max="9" width="20.5703125" bestFit="1" customWidth="1"/>
    <col min="10" max="10" width="7.42578125" bestFit="1" customWidth="1"/>
  </cols>
  <sheetData>
    <row r="1" spans="1:10" x14ac:dyDescent="0.25">
      <c r="A1" s="1" t="s">
        <v>1</v>
      </c>
      <c r="B1" s="1" t="s">
        <v>227</v>
      </c>
      <c r="C1" s="1" t="s">
        <v>223</v>
      </c>
      <c r="D1" s="1" t="s">
        <v>228</v>
      </c>
      <c r="E1" s="1" t="s">
        <v>229</v>
      </c>
      <c r="F1" s="1" t="s">
        <v>230</v>
      </c>
      <c r="G1" s="1" t="s">
        <v>231</v>
      </c>
      <c r="H1" s="1" t="s">
        <v>232</v>
      </c>
      <c r="I1" s="1" t="s">
        <v>233</v>
      </c>
      <c r="J1" s="1" t="s">
        <v>234</v>
      </c>
    </row>
    <row r="2" spans="1:10" x14ac:dyDescent="0.25">
      <c r="A2" t="s">
        <v>158</v>
      </c>
      <c r="B2" t="s">
        <v>235</v>
      </c>
      <c r="C2" t="s">
        <v>236</v>
      </c>
      <c r="D2">
        <v>4.179999828338623</v>
      </c>
      <c r="E2" t="s">
        <v>236</v>
      </c>
      <c r="F2">
        <v>4.25</v>
      </c>
      <c r="G2" t="s">
        <v>237</v>
      </c>
      <c r="H2">
        <v>107.19</v>
      </c>
      <c r="I2" t="s">
        <v>238</v>
      </c>
      <c r="J2">
        <v>1739</v>
      </c>
    </row>
    <row r="3" spans="1:10" x14ac:dyDescent="0.25">
      <c r="A3" t="s">
        <v>151</v>
      </c>
      <c r="B3" t="s">
        <v>263</v>
      </c>
      <c r="C3" t="s">
        <v>236</v>
      </c>
      <c r="D3">
        <v>9.1700000762939435</v>
      </c>
      <c r="E3" s="3">
        <v>45721</v>
      </c>
      <c r="F3">
        <v>9.33</v>
      </c>
      <c r="G3" s="4">
        <v>1.7448192189189138E-2</v>
      </c>
      <c r="H3">
        <f>(F3-D3)*J3</f>
        <v>125.59994010925438</v>
      </c>
      <c r="I3" s="4">
        <f>G3-0.002</f>
        <v>1.5448192189189138E-2</v>
      </c>
      <c r="J3">
        <v>785</v>
      </c>
    </row>
    <row r="4" spans="1:10" x14ac:dyDescent="0.25">
      <c r="A4" t="s">
        <v>42</v>
      </c>
      <c r="B4" t="s">
        <v>235</v>
      </c>
      <c r="C4" t="s">
        <v>239</v>
      </c>
      <c r="D4">
        <v>25.129999160000001</v>
      </c>
      <c r="E4" t="s">
        <v>240</v>
      </c>
      <c r="F4">
        <v>41.069999694824219</v>
      </c>
      <c r="G4" t="s">
        <v>241</v>
      </c>
      <c r="H4">
        <v>4242.5600000000004</v>
      </c>
      <c r="I4" t="s">
        <v>242</v>
      </c>
      <c r="J4">
        <v>267</v>
      </c>
    </row>
    <row r="5" spans="1:10" x14ac:dyDescent="0.25">
      <c r="A5" t="s">
        <v>62</v>
      </c>
      <c r="B5" t="s">
        <v>235</v>
      </c>
      <c r="C5" t="s">
        <v>239</v>
      </c>
      <c r="D5">
        <v>5.4899997709999999</v>
      </c>
      <c r="E5" t="s">
        <v>240</v>
      </c>
      <c r="F5">
        <v>5.5300002098083496</v>
      </c>
      <c r="G5" t="s">
        <v>243</v>
      </c>
      <c r="H5">
        <v>35.49</v>
      </c>
      <c r="I5" t="s">
        <v>244</v>
      </c>
      <c r="J5">
        <v>1223</v>
      </c>
    </row>
    <row r="6" spans="1:10" x14ac:dyDescent="0.25">
      <c r="A6" t="s">
        <v>81</v>
      </c>
      <c r="B6" t="s">
        <v>235</v>
      </c>
      <c r="C6" t="s">
        <v>239</v>
      </c>
      <c r="D6">
        <v>3.6600000860000002</v>
      </c>
      <c r="E6" t="s">
        <v>240</v>
      </c>
      <c r="F6">
        <v>4.3499999046325684</v>
      </c>
      <c r="G6" t="s">
        <v>245</v>
      </c>
      <c r="H6">
        <v>1243.1600000000001</v>
      </c>
      <c r="I6" t="s">
        <v>246</v>
      </c>
      <c r="J6">
        <v>1821</v>
      </c>
    </row>
    <row r="7" spans="1:10" x14ac:dyDescent="0.25">
      <c r="A7" t="s">
        <v>134</v>
      </c>
      <c r="B7" t="s">
        <v>235</v>
      </c>
      <c r="C7" t="s">
        <v>239</v>
      </c>
      <c r="D7">
        <v>5.6799998279999997</v>
      </c>
      <c r="E7" t="s">
        <v>240</v>
      </c>
      <c r="F7">
        <v>5.5320000648498544</v>
      </c>
      <c r="G7" t="s">
        <v>247</v>
      </c>
      <c r="H7">
        <v>-186.45</v>
      </c>
      <c r="I7" t="s">
        <v>248</v>
      </c>
      <c r="J7">
        <v>1170</v>
      </c>
    </row>
    <row r="8" spans="1:10" x14ac:dyDescent="0.25">
      <c r="A8" t="s">
        <v>22</v>
      </c>
      <c r="B8" t="s">
        <v>235</v>
      </c>
      <c r="C8" t="s">
        <v>239</v>
      </c>
      <c r="D8">
        <v>42.880001069999999</v>
      </c>
      <c r="E8" t="s">
        <v>240</v>
      </c>
      <c r="F8">
        <v>51.619998931884773</v>
      </c>
      <c r="G8" t="s">
        <v>249</v>
      </c>
      <c r="H8">
        <v>1350.06</v>
      </c>
      <c r="I8" t="s">
        <v>250</v>
      </c>
      <c r="J8">
        <v>156</v>
      </c>
    </row>
    <row r="9" spans="1:10" x14ac:dyDescent="0.25">
      <c r="A9" t="s">
        <v>117</v>
      </c>
      <c r="B9" t="s">
        <v>235</v>
      </c>
      <c r="C9" t="s">
        <v>239</v>
      </c>
      <c r="D9">
        <v>34.200000760000002</v>
      </c>
      <c r="E9" t="s">
        <v>240</v>
      </c>
      <c r="F9">
        <v>34.110000610351563</v>
      </c>
      <c r="G9" t="s">
        <v>251</v>
      </c>
      <c r="H9">
        <v>-30.73</v>
      </c>
      <c r="I9" t="s">
        <v>252</v>
      </c>
      <c r="J9">
        <v>194</v>
      </c>
    </row>
    <row r="10" spans="1:10" x14ac:dyDescent="0.25">
      <c r="A10" t="s">
        <v>99</v>
      </c>
      <c r="B10" t="s">
        <v>235</v>
      </c>
      <c r="C10" t="s">
        <v>239</v>
      </c>
      <c r="D10">
        <v>17.950000760000002</v>
      </c>
      <c r="E10" t="s">
        <v>240</v>
      </c>
      <c r="F10">
        <v>20.110000610351559</v>
      </c>
      <c r="G10" t="s">
        <v>253</v>
      </c>
      <c r="H10">
        <v>785.92</v>
      </c>
      <c r="I10" t="s">
        <v>254</v>
      </c>
      <c r="J10">
        <v>370</v>
      </c>
    </row>
    <row r="11" spans="1:10" x14ac:dyDescent="0.25">
      <c r="A11" t="s">
        <v>255</v>
      </c>
      <c r="B11" t="s">
        <v>263</v>
      </c>
      <c r="C11" t="s">
        <v>239</v>
      </c>
      <c r="D11">
        <v>19.06999969</v>
      </c>
      <c r="E11" t="s">
        <v>256</v>
      </c>
      <c r="F11">
        <v>22.17</v>
      </c>
      <c r="G11" t="s">
        <v>257</v>
      </c>
      <c r="H11">
        <v>1062.465526</v>
      </c>
      <c r="I11" t="s">
        <v>258</v>
      </c>
      <c r="J11">
        <v>347</v>
      </c>
    </row>
    <row r="12" spans="1:10" x14ac:dyDescent="0.25">
      <c r="A12" t="s">
        <v>259</v>
      </c>
      <c r="B12" t="s">
        <v>263</v>
      </c>
      <c r="C12" t="s">
        <v>239</v>
      </c>
      <c r="D12">
        <v>2.789999962</v>
      </c>
      <c r="E12" t="s">
        <v>256</v>
      </c>
      <c r="F12">
        <v>2.89</v>
      </c>
      <c r="G12" t="s">
        <v>260</v>
      </c>
      <c r="H12">
        <v>225.5694713</v>
      </c>
      <c r="I12" t="s">
        <v>261</v>
      </c>
      <c r="J12">
        <v>2389</v>
      </c>
    </row>
    <row r="13" spans="1:10" x14ac:dyDescent="0.25">
      <c r="A13" t="s">
        <v>262</v>
      </c>
      <c r="B13" t="s">
        <v>263</v>
      </c>
      <c r="C13" t="s">
        <v>239</v>
      </c>
      <c r="D13">
        <v>11.97999954</v>
      </c>
      <c r="E13" t="s">
        <v>240</v>
      </c>
      <c r="F13">
        <v>10.35342597961426</v>
      </c>
      <c r="G13">
        <v>-0.1357740920569136</v>
      </c>
      <c r="H13">
        <v>-917.7</v>
      </c>
      <c r="I13">
        <v>-0.1377740920569136</v>
      </c>
      <c r="J13">
        <v>556</v>
      </c>
    </row>
    <row r="14" spans="1:10" x14ac:dyDescent="0.25">
      <c r="A14" t="s">
        <v>264</v>
      </c>
      <c r="B14" t="s">
        <v>263</v>
      </c>
      <c r="C14" t="s">
        <v>239</v>
      </c>
      <c r="D14">
        <v>31.329999919999999</v>
      </c>
      <c r="E14" t="s">
        <v>240</v>
      </c>
      <c r="F14">
        <v>29</v>
      </c>
      <c r="G14" t="s">
        <v>265</v>
      </c>
      <c r="H14">
        <v>-509.64</v>
      </c>
      <c r="I14" t="s">
        <v>266</v>
      </c>
      <c r="J14">
        <v>213</v>
      </c>
    </row>
    <row r="15" spans="1:10" x14ac:dyDescent="0.25">
      <c r="A15" t="s">
        <v>267</v>
      </c>
      <c r="B15" t="s">
        <v>263</v>
      </c>
      <c r="C15" t="s">
        <v>239</v>
      </c>
      <c r="D15">
        <v>1.7549999949999999</v>
      </c>
      <c r="E15" t="s">
        <v>240</v>
      </c>
      <c r="F15">
        <v>1.2699999809265139</v>
      </c>
      <c r="G15">
        <v>-0.27635328515968821</v>
      </c>
      <c r="H15">
        <v>-1866.11</v>
      </c>
      <c r="I15">
        <v>-0.27835328515968821</v>
      </c>
      <c r="J15">
        <v>3820</v>
      </c>
    </row>
    <row r="16" spans="1:10" x14ac:dyDescent="0.25">
      <c r="A16" t="s">
        <v>176</v>
      </c>
      <c r="B16" t="s">
        <v>263</v>
      </c>
      <c r="C16" t="s">
        <v>239</v>
      </c>
      <c r="D16">
        <v>174.4100037</v>
      </c>
      <c r="E16" t="s">
        <v>240</v>
      </c>
      <c r="G16" t="s">
        <v>268</v>
      </c>
      <c r="H16">
        <v>2982.66</v>
      </c>
      <c r="I16" t="s">
        <v>269</v>
      </c>
      <c r="J16">
        <v>38</v>
      </c>
    </row>
    <row r="17" spans="1:10" x14ac:dyDescent="0.25">
      <c r="A17" t="s">
        <v>198</v>
      </c>
      <c r="B17" t="s">
        <v>263</v>
      </c>
      <c r="C17" t="s">
        <v>239</v>
      </c>
      <c r="D17">
        <v>18</v>
      </c>
      <c r="E17" t="s">
        <v>240</v>
      </c>
      <c r="G17" t="s">
        <v>270</v>
      </c>
      <c r="H17">
        <v>1761.61</v>
      </c>
      <c r="I17" t="s">
        <v>271</v>
      </c>
      <c r="J17">
        <v>369</v>
      </c>
    </row>
    <row r="18" spans="1:10" x14ac:dyDescent="0.25">
      <c r="A18" t="s">
        <v>272</v>
      </c>
      <c r="B18" t="s">
        <v>263</v>
      </c>
      <c r="C18" t="s">
        <v>239</v>
      </c>
      <c r="D18">
        <v>18.040000920000001</v>
      </c>
      <c r="E18" t="s">
        <v>240</v>
      </c>
      <c r="F18">
        <v>13.909999847412109</v>
      </c>
      <c r="G18">
        <v>-0.22893574622876969</v>
      </c>
      <c r="H18">
        <v>-1545.62</v>
      </c>
      <c r="I18">
        <v>-0.23093574622876969</v>
      </c>
      <c r="J18">
        <v>371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Companies in Portfolio</vt:lpstr>
      <vt:lpstr>Company Page Data</vt:lpstr>
      <vt:lpstr>Buy Sell Alerts</vt:lpstr>
      <vt:lpstr>Analytics</vt:lpstr>
      <vt:lpstr>Equity Curve</vt:lpstr>
      <vt:lpstr>Trades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Harry Heaney</cp:lastModifiedBy>
  <dcterms:created xsi:type="dcterms:W3CDTF">2025-02-23T21:38:01Z</dcterms:created>
  <dcterms:modified xsi:type="dcterms:W3CDTF">2025-03-07T05:33:51Z</dcterms:modified>
</cp:coreProperties>
</file>