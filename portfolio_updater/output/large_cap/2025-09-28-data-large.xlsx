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7DA389F3-B75C-49F6-9786-84C54A2FD298}"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K2" i="3"/>
  <c r="K3" i="3"/>
  <c r="K4" i="3"/>
  <c r="D1353" i="5"/>
  <c r="E1353" i="5" s="1"/>
  <c r="H1351" i="8"/>
  <c r="H1352" i="8" s="1"/>
  <c r="D1352" i="5"/>
  <c r="E1352" i="5" s="1"/>
  <c r="H1350" i="8"/>
  <c r="D1351" i="5"/>
  <c r="E1351" i="5" s="1"/>
  <c r="D1350" i="5"/>
  <c r="E1350" i="5" s="1"/>
  <c r="H1349" i="8"/>
  <c r="D1349" i="5"/>
  <c r="E1349" i="5" s="1"/>
  <c r="H1348" i="8"/>
  <c r="D1348" i="5"/>
  <c r="E1348" i="5" s="1"/>
  <c r="H1346" i="8"/>
  <c r="H1347" i="8"/>
  <c r="D1347" i="5"/>
  <c r="E1347" i="5" s="1"/>
  <c r="H1345" i="8"/>
  <c r="D1346" i="5"/>
  <c r="E1346" i="5" s="1"/>
  <c r="C2" i="4"/>
  <c r="D1345" i="5"/>
  <c r="E1345" i="5" s="1"/>
  <c r="D1344" i="5"/>
  <c r="E1344" i="5" s="1"/>
  <c r="D1343" i="5"/>
  <c r="E1343" i="5" s="1"/>
  <c r="H3" i="6"/>
  <c r="J3" i="6" s="1"/>
  <c r="I3" i="6" s="1"/>
  <c r="H18" i="6"/>
  <c r="J18" i="6" s="1"/>
  <c r="I18" i="6" s="1"/>
  <c r="K5" i="3"/>
  <c r="E1341" i="5"/>
  <c r="E1342" i="5"/>
  <c r="D1341" i="5"/>
  <c r="D1342" i="5"/>
  <c r="E1340" i="5"/>
  <c r="D1340" i="5"/>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10" i="3"/>
  <c r="H19" i="6"/>
  <c r="E1337" i="5"/>
  <c r="D1337" i="5"/>
  <c r="K6"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<sst xmlns="http://schemas.openxmlformats.org/spreadsheetml/2006/main" count="1772" uniqueCount="816">
  <si>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</si>
  <si>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</si>
  <si>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</si>
  <si>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</si>
  <si>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</si>
  <si>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</si>
  <si>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</si>
  <si>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</si>
  <si>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</si>
  <si>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</si>
  <si>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</si>
  <si>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</si>
  <si>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</si>
  <si>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</si>
  <si>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</si>
  <si>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</si>
  <si>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</si>
  <si>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</si>
  <si>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</si>
  <si>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</si>
  <si>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</si>
  <si>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</si>
  <si>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</si>
  <si>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</si>
  <si>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</si>
  <si>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</si>
  <si>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</si>
  <si>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</si>
  <si>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</si>
  <si>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</si>
  <si>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</si>
  <si>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</si>
  <si>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</si>
  <si>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</si>
  <si>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</si>
  <si>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</si>
  <si>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</si>
  <si>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</si>
  <si>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</si>
  <si>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</si>
  <si>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</si>
  <si>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</si>
  <si>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</si>
  <si>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</si>
  <si>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</si>
  <si>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</si>
  <si>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</si>
  <si>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</si>
  <si>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</si>
  <si>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</si>
  <si>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</si>
  <si>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</si>
  <si>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</si>
  <si>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</si>
  <si>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</si>
  <si>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</si>
  <si>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</si>
  <si>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</si>
  <si>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</si>
  <si>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</si>
  <si>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</si>
  <si>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</si>
  <si>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</si>
  <si>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</si>
  <si>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</si>
  <si>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</si>
  <si>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</si>
  <si>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</si>
  <si>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</si>
  <si>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</si>
  <si>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</si>
  <si>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</si>
  <si>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</si>
  <si>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</si>
  <si>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</si>
  <si>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</si>
  <si>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</si>
  <si>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</si>
  <si>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</si>
  <si>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</si>
  <si>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</si>
  <si>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</si>
  <si>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</si>
  <si>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</si>
  <si>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</si>
  <si>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</si>
  <si>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</si>
  <si>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</si>
  <si>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</si>
  <si>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</si>
  <si>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</si>
  <si>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</si>
  <si>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</si>
  <si>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</si>
  <si>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</si>
  <si>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</si>
  <si>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</si>
  <si>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</si>
  <si>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</si>
  <si>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</si>
  <si>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</si>
  <si>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</si>
  <si>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</si>
  <si>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</si>
  <si>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</si>
  <si>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</si>
  <si>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</si>
  <si>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</si>
  <si>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</si>
  <si>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</si>
  <si>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</si>
  <si>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</si>
  <si>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</si>
  <si>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</si>
  <si>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</si>
  <si>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</si>
  <si>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</si>
  <si>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</si>
  <si>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</si>
  <si>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</si>
  <si>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</si>
  <si>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</si>
  <si>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</si>
  <si>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</si>
  <si>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</si>
  <si>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</si>
  <si>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</si>
  <si>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</si>
  <si>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</si>
  <si>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</si>
  <si>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</si>
  <si>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</si>
  <si>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</si>
  <si>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</si>
  <si>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</si>
  <si>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</si>
  <si>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</si>
  <si>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</si>
  <si>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</si>
  <si>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</si>
  <si>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</si>
  <si>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</si>
  <si>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</si>
  <si>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</si>
  <si>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</si>
  <si>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</si>
  <si>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</si>
  <si>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</si>
  <si>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</si>
  <si>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</si>
  <si>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</si>
  <si>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</si>
  <si>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</si>
  <si>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</si>
  <si>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</si>
  <si>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</si>
  <si>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</si>
  <si>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</si>
  <si>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</si>
  <si>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</si>
  <si>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</si>
  <si>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</si>
  <si>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</si>
  <si>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</si>
  <si>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</si>
  <si>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</si>
  <si>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</si>
  <si>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</si>
  <si>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</si>
  <si>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</si>
  <si>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</si>
  <si>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</si>
  <si>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</si>
  <si>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</si>
  <si>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</si>
  <si>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</si>
  <si>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</si>
  <si>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</si>
  <si>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</si>
  <si>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</si>
  <si>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</si>
  <si>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</si>
  <si>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</si>
  <si>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</si>
  <si>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</si>
  <si>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</si>
  <si>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</si>
  <si>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</si>
  <si>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</si>
  <si>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</si>
  <si>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</si>
  <si>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</si>
  <si>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</si>
  <si>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</si>
  <si>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</si>
  <si>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</si>
  <si>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</si>
  <si>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</si>
  <si>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</si>
  <si>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</si>
  <si>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</si>
  <si>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</si>
  <si>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</si>
  <si>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</si>
  <si>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</si>
  <si>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</si>
  <si>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</si>
  <si>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</si>
  <si>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</si>
  <si>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</si>
  <si>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</si>
  <si>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</si>
  <si>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</si>
  <si>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</si>
  <si>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</si>
  <si>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</si>
  <si>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</si>
  <si>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</si>
  <si>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</si>
  <si>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</si>
  <si>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</si>
  <si>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</si>
  <si>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</si>
  <si>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</si>
  <si>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</si>
  <si>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</si>
  <si>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</si>
  <si>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</si>
  <si>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</si>
  <si>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</si>
  <si>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</si>
  <si>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</si>
  <si>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</si>
  <si>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</si>
  <si>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</si>
  <si>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</si>
  <si>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</si>
  <si>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</si>
  <si>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</si>
  <si>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</si>
  <si>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</si>
  <si>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</si>
  <si>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</si>
  <si>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</si>
  <si>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</si>
  <si>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</si>
  <si>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</si>
  <si>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</si>
  <si>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</si>
  <si>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</si>
  <si>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</si>
  <si>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</si>
  <si>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</si>
  <si>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</si>
  <si>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</si>
  <si>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</si>
  <si>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</si>
  <si>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</si>
  <si>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</si>
  <si>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</si>
  <si>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</si>
  <si>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</si>
  <si>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</si>
  <si>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</si>
  <si>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</si>
  <si>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</si>
  <si>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</si>
  <si>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</si>
  <si>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</si>
  <si>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</si>
  <si>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</si>
  <si>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</si>
  <si>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</si>
  <si>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</si>
  <si>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</si>
  <si>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</si>
  <si>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</si>
  <si>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</si>
  <si>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</si>
  <si>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</si>
  <si>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</si>
  <si>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</si>
  <si>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</si>
  <si>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</si>
  <si>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</si>
  <si>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</si>
  <si>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</si>
  <si>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</si>
  <si>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</si>
  <si>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</si>
  <si>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</si>
  <si>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</si>
  <si>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</si>
  <si>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</si>
  <si>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</si>
  <si>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</si>
  <si>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</si>
  <si>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</si>
  <si>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</si>
  <si>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</si>
  <si>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</si>
  <si>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</si>
  <si>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</si>
  <si>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</si>
  <si>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</si>
  <si>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</si>
  <si>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</si>
  <si>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</si>
  <si>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</si>
  <si>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</si>
  <si>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</si>
  <si>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</si>
  <si>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</si>
  <si>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</si>
  <si>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</si>
  <si>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</si>
  <si>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</si>
  <si>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</si>
  <si>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</si>
  <si>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</si>
  <si>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</si>
  <si>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</si>
  <si>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</si>
  <si>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</si>
  <si>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</si>
  <si>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</si>
  <si>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</si>
  <si>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</si>
  <si>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</si>
  <si>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</si>
  <si>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</si>
  <si>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</si>
  <si>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</si>
  <si>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</si>
  <si>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</si>
  <si>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</si>
  <si>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</si>
  <si>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</si>
  <si>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</si>
  <si>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</si>
  <si>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</si>
  <si>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</si>
  <si>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</si>
  <si>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</si>
  <si>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</si>
  <si>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</si>
  <si>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</si>
  <si>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</si>
  <si>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</si>
  <si>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</si>
  <si>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</si>
  <si>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</si>
  <si>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</si>
  <si>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</si>
  <si>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</si>
  <si>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</si>
  <si>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</si>
  <si>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</si>
  <si>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</si>
  <si>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</si>
  <si>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</si>
  <si>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</si>
  <si>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</si>
  <si>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</si>
  <si>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</si>
  <si>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</si>
  <si>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</si>
  <si>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</si>
  <si>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</si>
  <si>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</si>
  <si>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</si>
  <si>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</si>
  <si>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</si>
  <si>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</si>
  <si>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</si>
  <si>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</si>
  <si>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</si>
  <si>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</si>
  <si>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</si>
  <si>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</si>
  <si>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</si>
  <si>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</si>
  <si>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</si>
  <si>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</si>
  <si>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</si>
  <si>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</si>
  <si>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</si>
  <si>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</si>
  <si>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</si>
  <si>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</si>
  <si>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</si>
  <si>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</si>
  <si>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</si>
  <si>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</si>
  <si>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</si>
  <si>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</si>
  <si>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</si>
  <si>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</si>
  <si>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</si>
  <si>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</si>
  <si>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</si>
  <si>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</si>
  <si>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</si>
  <si>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</si>
  <si>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</si>
  <si>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</si>
  <si>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</si>
  <si>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</si>
  <si>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</si>
  <si>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</si>
  <si>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</si>
  <si>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</si>
  <si>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</si>
  <si>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</si>
  <si>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</si>
  <si>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</si>
  <si>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</si>
  <si>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</si>
  <si>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</si>
  <si>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</si>
  <si>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</si>
  <si>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</si>
  <si>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</si>
  <si>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</si>
  <si>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</si>
  <si>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</si>
  <si>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</si>
  <si>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</si>
  <si>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</si>
  <si>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</si>
  <si>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</si>
  <si>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</si>
  <si>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</si>
  <si>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</si>
  <si>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</si>
  <si>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</si>
  <si>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</si>
  <si>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</si>
  <si>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</si>
  <si>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</si>
  <si>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</si>
  <si>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</si>
  <si>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</si>
  <si>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</si>
  <si>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</si>
  <si>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</si>
  <si>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</si>
  <si>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</si>
  <si>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</si>
  <si>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</si>
  <si>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</si>
  <si>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</si>
  <si>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</si>
  <si>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</si>
  <si>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</si>
  <si>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</si>
  <si>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</si>
  <si>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</si>
  <si>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</si>
  <si>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</si>
  <si>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</si>
  <si>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</si>
  <si>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</si>
  <si>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</si>
  <si>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</si>
  <si>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</si>
  <si>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</si>
  <si>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</si>
  <si>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</si>
  <si>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</si>
  <si>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</si>
  <si>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</si>
  <si>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</si>
  <si>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</si>
  <si>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</si>
  <si>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</si>
  <si>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</si>
  <si>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</si>
  <si>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</si>
  <si>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</si>
  <si>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</si>
  <si>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</si>
  <si>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</si>
  <si>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</si>
  <si>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</si>
  <si>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</si>
  <si>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</si>
  <si>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</si>
  <si>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</si>
  <si>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</si>
  <si>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</si>
  <si>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</si>
  <si>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</si>
  <si>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</si>
  <si>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</si>
  <si>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</si>
  <si>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</si>
  <si>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</si>
  <si>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</si>
  <si>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</si>
  <si>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</si>
  <si>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</si>
  <si>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</si>
  <si>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</si>
  <si>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</si>
  <si>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</si>
  <si>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</si>
  <si>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</si>
  <si>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</si>
  <si>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</si>
  <si>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</si>
  <si>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</si>
  <si>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</si>
  <si>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</si>
  <si>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</si>
  <si>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</si>
  <si>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</si>
  <si>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</si>
  <si>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</si>
  <si>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</si>
  <si>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</si>
  <si>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</si>
  <si>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</si>
  <si>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</si>
  <si>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</si>
  <si>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</si>
  <si>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</si>
  <si>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</si>
  <si>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</si>
  <si>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</si>
  <si>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</si>
  <si>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</si>
  <si>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</si>
  <si>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</si>
  <si>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</si>
  <si>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</si>
  <si>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</si>
  <si>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</si>
  <si>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</si>
  <si>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</si>
  <si>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</si>
  <si>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</si>
  <si>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</si>
  <si>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</si>
  <si>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</si>
  <si>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</si>
  <si>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</si>
  <si>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</si>
  <si>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</si>
  <si>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</si>
  <si>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</si>
  <si>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</si>
  <si>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</si>
  <si>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</si>
  <si>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</si>
  <si>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</si>
  <si>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</si>
  <si>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</si>
  <si>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</si>
  <si>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</si>
  <si>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</si>
  <si>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</si>
  <si>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</si>
  <si>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</si>
  <si>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</si>
  <si>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</si>
  <si>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</si>
  <si>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</si>
  <si>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</si>
  <si>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</si>
  <si>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</si>
  <si>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</si>
  <si>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</si>
  <si>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</si>
  <si>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</si>
  <si>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</si>
  <si>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</si>
  <si>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</si>
  <si>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</si>
  <si>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</si>
  <si>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</si>
  <si>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</si>
  <si>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</si>
  <si>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</si>
  <si>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</si>
  <si>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</si>
  <si>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</si>
  <si>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</si>
  <si>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</si>
  <si>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</si>
  <si>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</si>
  <si>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</si>
  <si>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</si>
  <si>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</si>
  <si>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</si>
  <si>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</si>
  <si>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</si>
  <si>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</si>
  <si>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</si>
  <si>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</si>
  <si>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</si>
  <si>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</si>
  <si>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</si>
  <si>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</si>
  <si>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</si>
  <si>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</si>
  <si>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</si>
  <si>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</si>
  <si>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</si>
  <si>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</si>
  <si>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</si>
  <si>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</si>
  <si>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</si>
  <si>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</si>
  <si>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</si>
  <si>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</si>
  <si>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</si>
  <si>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</si>
  <si>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</si>
  <si>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</si>
  <si>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</si>
  <si>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</si>
  <si>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</si>
  <si>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</si>
  <si>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</si>
  <si>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</si>
  <si>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</si>
  <si>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</si>
  <si>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</si>
  <si>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</si>
  <si>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</si>
  <si>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</si>
  <si>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</si>
  <si>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</si>
  <si>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</si>
  <si>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</si>
  <si>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</si>
  <si>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</si>
  <si>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</si>
  <si>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</si>
  <si>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</si>
  <si>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</si>
  <si>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</si>
  <si>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</si>
  <si>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</si>
  <si>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</si>
  <si>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</si>
  <si>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</si>
  <si>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</si>
  <si>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</si>
  <si>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</si>
  <si>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</si>
  <si>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</si>
  <si>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</si>
  <si>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</si>
  <si>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</si>
  <si>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</si>
  <si>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</si>
  <si>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</si>
  <si>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</si>
  <si>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</si>
  <si>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</si>
  <si>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</si>
  <si>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</si>
  <si>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</si>
  <si>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</si>
  <si>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</si>
  <si>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</si>
  <si>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</si>
  <si>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</si>
  <si>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</si>
  <si>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</si>
  <si>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</si>
  <si>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</si>
  <si>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</si>
  <si>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</si>
  <si>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</si>
  <si>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</si>
  <si>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</si>
  <si>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</si>
  <si>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</si>
  <si>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</si>
  <si>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</si>
  <si>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</si>
  <si>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</si>
  <si>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</si>
  <si>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</si>
  <si>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</si>
  <si>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</si>
  <si>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</si>
  <si>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</si>
  <si>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</si>
  <si>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</si>
  <si>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</si>
  <si>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</si>
  <si>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</si>
  <si>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</si>
  <si>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</si>
  <si>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</si>
  <si>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</si>
  <si>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</si>
  <si>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</si>
  <si>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</si>
  <si>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</si>
  <si>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</si>
  <si>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</si>
  <si>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</si>
  <si>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</si>
  <si>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</si>
  <si>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</si>
  <si>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</si>
  <si>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</si>
  <si>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</si>
  <si>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</si>
  <si>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</si>
  <si>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</si>
  <si>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</si>
  <si>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</si>
  <si>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</si>
  <si>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</si>
  <si>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</si>
  <si>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</si>
  <si>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</si>
  <si>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</si>
  <si>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</si>
  <si>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</si>
  <si>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</si>
  <si>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</si>
  <si>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</si>
  <si>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</si>
  <si>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</si>
  <si>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</si>
  <si>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</si>
  <si>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</si>
  <si>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</si>
  <si>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</si>
  <si>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</si>
  <si>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</si>
  <si>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</si>
  <si>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</si>
  <si>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</si>
  <si>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</si>
  <si>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</si>
  <si>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</si>
  <si>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</si>
  <si>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</si>
  <si>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</si>
  <si>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</si>
  <si>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</si>
  <si>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</si>
  <si>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</si>
  <si>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</si>
  <si>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</si>
  <si>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</si>
  <si>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</si>
  <si>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</si>
  <si>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</si>
  <si>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</si>
  <si>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</si>
  <si>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</si>
  <si>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</si>
  <si>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</si>
  <si>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</si>
  <si>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</si>
  <si>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</si>
  <si>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</si>
  <si>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</si>
  <si>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</si>
  <si>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</si>
  <si>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</si>
  <si>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</si>
  <si>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</si>
  <si>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</si>
  <si>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</si>
  <si>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</si>
  <si>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$4.2B</t>
  </si>
  <si>
    <t>1.6x</t>
  </si>
  <si>
    <t>9.6x</t>
  </si>
  <si>
    <t>$33.6B</t>
  </si>
  <si>
    <t>93.0x</t>
  </si>
  <si>
    <t>$2.7B</t>
  </si>
  <si>
    <t>$11.7B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</si>
  <si>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</si>
  <si>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</si>
  <si>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$5.7B</t>
  </si>
  <si>
    <t>5.3x</t>
  </si>
  <si>
    <t>$274.0B</t>
  </si>
  <si>
    <t>$32.7B</t>
  </si>
  <si>
    <t>90.7x</t>
  </si>
  <si>
    <t>28.2x</t>
  </si>
  <si>
    <t>13.2x</t>
  </si>
  <si>
    <t>$7.2B</t>
  </si>
  <si>
    <t>49.2x</t>
  </si>
  <si>
    <t>20.8x</t>
  </si>
  <si>
    <t>280.7x</t>
  </si>
  <si>
    <t>$9.0B</t>
  </si>
  <si>
    <t>67.9x</t>
  </si>
  <si>
    <t>32.6x</t>
  </si>
  <si>
    <t>$2.1B</t>
  </si>
  <si>
    <t>23.7x</t>
  </si>
  <si>
    <t>$4.9B</t>
  </si>
  <si>
    <t>17.6x</t>
  </si>
  <si>
    <t>$13.1B</t>
  </si>
  <si>
    <t>$17.7B</t>
  </si>
  <si>
    <t>31.8x</t>
  </si>
  <si>
    <t>$6.7B</t>
  </si>
  <si>
    <t>23.0x</t>
  </si>
  <si>
    <t>IPX.ASX</t>
  </si>
  <si>
    <t>Iperionx Limited Ordinary</t>
  </si>
  <si>
    <t>$2.4B</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</si>
  <si>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</si>
  <si>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2933.1x</t>
  </si>
  <si>
    <t>$-110.4M</t>
  </si>
  <si>
    <t>$-40.7M</t>
  </si>
  <si>
    <t>Washington H. Soul Pattinson and Company Limited Ordinary</t>
  </si>
  <si>
    <t>IPX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</si>
</sst>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3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14" fontId="20" fillId="0" borderId="0" xfId="0" applyNumberFormat="1" applyFont="1" applyBorder="1" applyAlignment="1">
      <alignment horizontal="center" vertical="top"/>
    </xf>
    <xf numFmtId="8" fontId="20" fillId="0" borderId="0" xfId="0" applyNumberFormat="1" applyFont="1" applyAlignment="1">
      <alignment horizontal="center" vertical="top"/>
    </xf>
    <xf numFmtId="0" fontId="20" fillId="0" borderId="0" xfId="0" applyFont="1" applyBorder="1" applyAlignment="1">
      <alignment horizontal="center" vertical="top"/>
    </xf>
    <xf numFmtId="0" fontId="0" fillId="0" borderId="0" xfId="0" applyFont="1"/>
    <xf numFmtId="8" fontId="0" fillId="0" borderId="0" xfId="0" applyNumberFormat="1" applyFont="1"/>
    <xf numFmtId="0" fontId="20" fillId="0" borderId="0" xfId="0" applyNumberFormat="1" applyFont="1" applyBorder="1" applyAlignment="1">
      <alignment horizontal="center" vertical="top"/>
    </xf>
    <xf numFmtId="10" fontId="0" fillId="0" borderId="0" xfId="0" applyNumberFormat="1" applyFont="1"/>
    <xf numFmtId="8" fontId="20" fillId="0" borderId="0" xfId="0" applyNumberFormat="1"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724</v>
      </c>
    </row>
    <row r="2" spans="1:2" x14ac:dyDescent="0.25">
      <c r="A2" t="s">
        <v>710</v>
      </c>
      <c r="B2" s="15" t="s">
        <v>711</v>
      </c>
    </row>
    <row r="3" spans="1:2" x14ac:dyDescent="0.25">
      <c r="A3" t="s">
        <v>712</v>
      </c>
      <c r="B3" s="15">
        <v>15</v>
      </c>
    </row>
    <row r="4" spans="1:2" x14ac:dyDescent="0.25">
      <c r="A4" t="s">
        <v>713</v>
      </c>
      <c r="B4" s="15" t="s">
        <v>714</v>
      </c>
    </row>
    <row r="5" spans="1:2" x14ac:dyDescent="0.25">
      <c r="A5" t="s">
        <v>715</v>
      </c>
      <c r="B5" s="15" t="s">
        <v>716</v>
      </c>
    </row>
    <row r="6" spans="1:2" x14ac:dyDescent="0.25">
      <c r="A6" t="s">
        <v>717</v>
      </c>
      <c r="B6" s="15" t="s">
        <v>718</v>
      </c>
    </row>
    <row r="7" spans="1:2" x14ac:dyDescent="0.25">
      <c r="A7" t="s">
        <v>719</v>
      </c>
      <c r="B7" s="15">
        <v>2.46</v>
      </c>
    </row>
    <row r="8" spans="1:2" x14ac:dyDescent="0.25">
      <c r="A8" t="s">
        <v>720</v>
      </c>
      <c r="B8" s="15" t="s">
        <v>721</v>
      </c>
    </row>
    <row r="9" spans="1:2" x14ac:dyDescent="0.25">
      <c r="A9" t="s">
        <v>722</v>
      </c>
      <c r="B9" s="15" t="s">
        <v>723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tabSelected="1" workbookViewId="0">
      <selection activeCell="B24" sqref="B2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766</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726</v>
      </c>
      <c r="C2" t="s">
        <v>28</v>
      </c>
      <c r="D2" s="11">
        <v>3.37</v>
      </c>
      <c r="E2" s="4">
        <v>4.3499999999999996</v>
      </c>
      <c r="F2">
        <f>(E2/D2-1)*100</f>
        <v>29.080118694362</v>
      </c>
      <c r="G2">
        <v>1.08500003814697</v>
      </c>
      <c r="H2" s="4">
        <v>4.78</v>
      </c>
      <c r="I2" s="4">
        <v>1.085</v>
      </c>
      <c r="J2" t="s">
        <v>784</v>
      </c>
      <c r="L2" t="s">
        <v>727</v>
      </c>
      <c r="M2" t="s">
        <v>738</v>
      </c>
      <c r="N2" s="3">
        <v>0</v>
      </c>
      <c r="O2" t="s">
        <v>785</v>
      </c>
      <c r="Q2" t="s">
        <v>739</v>
      </c>
      <c r="R2" s="3">
        <v>3.4159999999999999</v>
      </c>
      <c r="T2" t="s">
        <v>740</v>
      </c>
      <c r="U2" s="3">
        <v>7.4999999999999997E-2</v>
      </c>
      <c r="V2" s="3">
        <v>0.215</v>
      </c>
      <c r="X2" s="3">
        <v>0.14399999999999999</v>
      </c>
    </row>
    <row r="3" spans="1:24" x14ac:dyDescent="0.25">
      <c r="A3" t="s">
        <v>217</v>
      </c>
      <c r="B3" t="s">
        <v>602</v>
      </c>
      <c r="C3" t="s">
        <v>28</v>
      </c>
      <c r="D3">
        <v>169.66</v>
      </c>
      <c r="E3" s="4">
        <v>164.88</v>
      </c>
      <c r="F3">
        <f t="shared" ref="F3:F16" si="0">(E3/D3-1)*100</f>
        <v>-2.8173995048921374</v>
      </c>
      <c r="G3">
        <v>138.07878112792901</v>
      </c>
      <c r="H3" s="4">
        <v>189.08</v>
      </c>
      <c r="I3" s="4">
        <v>128.29</v>
      </c>
      <c r="J3" t="s">
        <v>786</v>
      </c>
      <c r="K3" s="3">
        <v>1</v>
      </c>
      <c r="L3" t="s">
        <v>703</v>
      </c>
      <c r="M3" t="s">
        <v>734</v>
      </c>
      <c r="N3" s="3">
        <v>2.9000000000000001E-2</v>
      </c>
      <c r="O3" t="s">
        <v>777</v>
      </c>
      <c r="Q3" t="s">
        <v>735</v>
      </c>
      <c r="R3" s="3">
        <v>2.758</v>
      </c>
      <c r="T3" t="s">
        <v>736</v>
      </c>
      <c r="U3" s="3">
        <v>0.35399999999999998</v>
      </c>
      <c r="V3" s="3">
        <v>0.38900000000000001</v>
      </c>
      <c r="W3" s="3">
        <v>8.2000000000000003E-2</v>
      </c>
      <c r="X3" s="3">
        <v>0.13300000000000001</v>
      </c>
    </row>
    <row r="4" spans="1:24" x14ac:dyDescent="0.25">
      <c r="A4" t="s">
        <v>808</v>
      </c>
      <c r="B4" t="s">
        <v>815</v>
      </c>
      <c r="C4" t="s">
        <v>631</v>
      </c>
      <c r="D4">
        <v>7.7</v>
      </c>
      <c r="E4" s="4">
        <v>7.7</v>
      </c>
      <c r="F4">
        <f t="shared" si="0"/>
        <v>0</v>
      </c>
      <c r="G4">
        <v>2.0699999332427899</v>
      </c>
      <c r="H4" s="4">
        <v>7.84</v>
      </c>
      <c r="I4" s="4">
        <v>2.0699999999999998</v>
      </c>
      <c r="J4" t="s">
        <v>809</v>
      </c>
      <c r="L4" t="s">
        <v>810</v>
      </c>
      <c r="N4" s="3">
        <v>0</v>
      </c>
      <c r="O4" t="s">
        <v>811</v>
      </c>
      <c r="Q4" t="s">
        <v>812</v>
      </c>
      <c r="R4" s="3">
        <v>0.04</v>
      </c>
      <c r="S4" s="3">
        <v>0.11799999999999999</v>
      </c>
      <c r="T4" t="s">
        <v>813</v>
      </c>
      <c r="U4" s="3">
        <v>-5.8010000000000002</v>
      </c>
      <c r="V4" s="3">
        <v>3.7549999999999999</v>
      </c>
      <c r="X4" s="3">
        <v>-0.40699999999999997</v>
      </c>
    </row>
    <row r="5" spans="1:24" x14ac:dyDescent="0.25">
      <c r="A5" t="s">
        <v>220</v>
      </c>
      <c r="B5" t="s">
        <v>603</v>
      </c>
      <c r="C5" t="s">
        <v>42</v>
      </c>
      <c r="D5">
        <v>3.06</v>
      </c>
      <c r="E5" s="4">
        <v>3.52</v>
      </c>
      <c r="F5">
        <f t="shared" si="0"/>
        <v>15.032679738562083</v>
      </c>
      <c r="G5">
        <v>2.7118873596191402</v>
      </c>
      <c r="H5" s="4">
        <v>3.55</v>
      </c>
      <c r="I5" s="4">
        <v>2.67</v>
      </c>
      <c r="J5" t="s">
        <v>741</v>
      </c>
      <c r="K5" s="3">
        <v>0</v>
      </c>
      <c r="L5" t="s">
        <v>221</v>
      </c>
      <c r="M5" t="s">
        <v>728</v>
      </c>
      <c r="N5" s="3">
        <v>4.5999999999999999E-2</v>
      </c>
      <c r="O5" t="s">
        <v>777</v>
      </c>
      <c r="Q5" t="s">
        <v>729</v>
      </c>
      <c r="R5" s="3">
        <v>0.54600000000000004</v>
      </c>
      <c r="S5" s="3">
        <v>2E-3</v>
      </c>
      <c r="T5" t="s">
        <v>730</v>
      </c>
      <c r="U5" s="3">
        <v>0.56999999999999995</v>
      </c>
      <c r="V5" s="3">
        <v>4.7E-2</v>
      </c>
      <c r="W5" s="3">
        <v>-0.29499999999999998</v>
      </c>
      <c r="X5" s="3">
        <v>5.3999999999999999E-2</v>
      </c>
    </row>
    <row r="6" spans="1:24" x14ac:dyDescent="0.25">
      <c r="A6" t="s">
        <v>222</v>
      </c>
      <c r="B6" t="s">
        <v>604</v>
      </c>
      <c r="C6" t="s">
        <v>28</v>
      </c>
      <c r="D6">
        <v>7.17</v>
      </c>
      <c r="E6" s="4">
        <v>8.48</v>
      </c>
      <c r="F6">
        <f t="shared" si="0"/>
        <v>18.270571827057182</v>
      </c>
      <c r="G6">
        <v>5.1289534568786603</v>
      </c>
      <c r="H6" s="4">
        <v>8.81</v>
      </c>
      <c r="I6" s="4">
        <v>5.12</v>
      </c>
      <c r="J6" t="s">
        <v>632</v>
      </c>
      <c r="K6" s="3">
        <v>1</v>
      </c>
      <c r="L6" t="s">
        <v>223</v>
      </c>
      <c r="M6" t="s">
        <v>742</v>
      </c>
      <c r="N6" s="3">
        <v>3.5000000000000003E-2</v>
      </c>
      <c r="O6" t="s">
        <v>708</v>
      </c>
      <c r="P6" t="s">
        <v>789</v>
      </c>
      <c r="Q6" t="s">
        <v>743</v>
      </c>
      <c r="R6" s="3">
        <v>2.1389999999999998</v>
      </c>
      <c r="T6" t="s">
        <v>744</v>
      </c>
      <c r="U6" s="3">
        <v>7.5999999999999998E-2</v>
      </c>
      <c r="V6" s="3">
        <v>0.218</v>
      </c>
      <c r="W6" s="3">
        <v>-5.8999999999999997E-2</v>
      </c>
      <c r="X6" s="3">
        <v>0.05</v>
      </c>
    </row>
    <row r="7" spans="1:24" x14ac:dyDescent="0.25">
      <c r="A7" t="s">
        <v>707</v>
      </c>
      <c r="B7" t="s">
        <v>605</v>
      </c>
      <c r="C7" t="s">
        <v>42</v>
      </c>
      <c r="D7">
        <v>3.64</v>
      </c>
      <c r="E7" s="4">
        <v>3.71</v>
      </c>
      <c r="F7">
        <f t="shared" si="0"/>
        <v>1.9230769230769162</v>
      </c>
      <c r="G7">
        <v>3.2423439025878902</v>
      </c>
      <c r="H7" s="4">
        <v>3.76</v>
      </c>
      <c r="I7" s="4">
        <v>3.1</v>
      </c>
      <c r="J7" t="s">
        <v>780</v>
      </c>
      <c r="K7" s="3">
        <v>0</v>
      </c>
      <c r="L7" t="s">
        <v>225</v>
      </c>
      <c r="M7" t="s">
        <v>731</v>
      </c>
      <c r="N7" s="3">
        <v>0.05</v>
      </c>
      <c r="O7" t="s">
        <v>790</v>
      </c>
      <c r="Q7" t="s">
        <v>732</v>
      </c>
      <c r="R7" s="3">
        <v>0.28499999999999998</v>
      </c>
      <c r="S7" s="3">
        <v>3.0000000000000001E-3</v>
      </c>
      <c r="T7" t="s">
        <v>733</v>
      </c>
      <c r="U7" s="3">
        <v>1.306</v>
      </c>
      <c r="V7" s="3">
        <v>9.8000000000000004E-2</v>
      </c>
      <c r="W7" s="3">
        <v>-0.21099999999999999</v>
      </c>
      <c r="X7" s="3">
        <v>9.6000000000000002E-2</v>
      </c>
    </row>
    <row r="8" spans="1:24" x14ac:dyDescent="0.25">
      <c r="A8" t="s">
        <v>226</v>
      </c>
      <c r="B8" t="s">
        <v>606</v>
      </c>
      <c r="C8" t="s">
        <v>23</v>
      </c>
      <c r="D8">
        <v>5.19</v>
      </c>
      <c r="E8" s="4">
        <v>4.92</v>
      </c>
      <c r="F8">
        <f t="shared" si="0"/>
        <v>-5.2023121387283382</v>
      </c>
      <c r="G8">
        <v>4.4533996582031197</v>
      </c>
      <c r="H8" s="4">
        <v>5.33</v>
      </c>
      <c r="I8" s="4">
        <v>4.17</v>
      </c>
      <c r="J8" t="s">
        <v>791</v>
      </c>
      <c r="K8" s="3">
        <v>0</v>
      </c>
      <c r="L8" t="s">
        <v>55</v>
      </c>
      <c r="M8" t="s">
        <v>761</v>
      </c>
      <c r="N8" s="3">
        <v>8.1000000000000003E-2</v>
      </c>
      <c r="O8" t="s">
        <v>792</v>
      </c>
      <c r="Q8" t="s">
        <v>762</v>
      </c>
      <c r="R8" s="3">
        <v>0.27800000000000002</v>
      </c>
      <c r="S8" s="3">
        <v>2.4E-2</v>
      </c>
      <c r="T8" t="s">
        <v>56</v>
      </c>
      <c r="U8" s="3">
        <v>1.524</v>
      </c>
      <c r="V8" s="3">
        <v>0.13200000000000001</v>
      </c>
      <c r="W8" s="3">
        <v>0.06</v>
      </c>
      <c r="X8" s="3">
        <v>3.7999999999999999E-2</v>
      </c>
    </row>
    <row r="9" spans="1:24" x14ac:dyDescent="0.25">
      <c r="A9" t="s">
        <v>379</v>
      </c>
      <c r="B9">
        <v>360</v>
      </c>
      <c r="C9" t="s">
        <v>753</v>
      </c>
      <c r="D9" s="11">
        <v>45.06</v>
      </c>
      <c r="E9" s="4">
        <v>52.67</v>
      </c>
      <c r="F9">
        <f t="shared" si="0"/>
        <v>16.88859298712828</v>
      </c>
      <c r="G9">
        <v>14.9300003051757</v>
      </c>
      <c r="H9" s="4">
        <v>53.29</v>
      </c>
      <c r="I9" s="4">
        <v>14.93</v>
      </c>
      <c r="J9" t="s">
        <v>781</v>
      </c>
      <c r="L9" t="s">
        <v>754</v>
      </c>
      <c r="M9" t="s">
        <v>755</v>
      </c>
      <c r="N9" s="3">
        <v>0</v>
      </c>
      <c r="O9" t="s">
        <v>793</v>
      </c>
      <c r="P9" t="s">
        <v>794</v>
      </c>
      <c r="Q9" t="s">
        <v>756</v>
      </c>
      <c r="R9" s="3">
        <v>0.84399999999999997</v>
      </c>
      <c r="S9" s="3">
        <v>7.0999999999999994E-2</v>
      </c>
      <c r="T9" t="s">
        <v>757</v>
      </c>
      <c r="U9" s="3">
        <v>6.5000000000000002E-2</v>
      </c>
      <c r="V9" s="3">
        <v>0.48799999999999999</v>
      </c>
      <c r="X9" s="3">
        <v>0.08</v>
      </c>
    </row>
    <row r="10" spans="1:24" x14ac:dyDescent="0.25">
      <c r="A10" t="s">
        <v>43</v>
      </c>
      <c r="B10" t="s">
        <v>607</v>
      </c>
      <c r="C10" t="s">
        <v>42</v>
      </c>
      <c r="D10">
        <v>2.2999999999999998</v>
      </c>
      <c r="E10" s="4">
        <v>2.27</v>
      </c>
      <c r="F10">
        <f t="shared" si="0"/>
        <v>-1.304347826086949</v>
      </c>
      <c r="G10">
        <v>1.97433865070343</v>
      </c>
      <c r="H10" s="4">
        <v>2.42</v>
      </c>
      <c r="I10" s="4">
        <v>1.7749999999999999</v>
      </c>
      <c r="J10" t="s">
        <v>795</v>
      </c>
      <c r="K10" s="3">
        <v>0</v>
      </c>
      <c r="L10" t="s">
        <v>45</v>
      </c>
      <c r="M10" t="s">
        <v>745</v>
      </c>
      <c r="N10" s="3">
        <v>0.04</v>
      </c>
      <c r="O10" t="s">
        <v>767</v>
      </c>
      <c r="P10" t="s">
        <v>796</v>
      </c>
      <c r="Q10" t="s">
        <v>746</v>
      </c>
      <c r="R10" s="3">
        <v>0.502</v>
      </c>
      <c r="S10" s="3">
        <v>0.01</v>
      </c>
      <c r="T10" t="s">
        <v>747</v>
      </c>
      <c r="U10" s="3">
        <v>2.8000000000000001E-2</v>
      </c>
      <c r="V10" s="3">
        <v>2.3E-2</v>
      </c>
      <c r="W10" s="3">
        <v>-0.57799999999999996</v>
      </c>
      <c r="X10" s="3">
        <v>7.0000000000000001E-3</v>
      </c>
    </row>
    <row r="11" spans="1:24" x14ac:dyDescent="0.25">
      <c r="A11" t="s">
        <v>38</v>
      </c>
      <c r="B11" t="s">
        <v>608</v>
      </c>
      <c r="C11" t="s">
        <v>23</v>
      </c>
      <c r="D11">
        <v>4.34</v>
      </c>
      <c r="E11" s="4">
        <v>5.0999999999999996</v>
      </c>
      <c r="F11">
        <f t="shared" si="0"/>
        <v>17.511520737327182</v>
      </c>
      <c r="G11">
        <v>3.7949135303497301</v>
      </c>
      <c r="H11" s="4">
        <v>5.51</v>
      </c>
      <c r="I11" s="4">
        <v>2.94</v>
      </c>
      <c r="J11" t="s">
        <v>775</v>
      </c>
      <c r="K11" s="3">
        <v>0.9</v>
      </c>
      <c r="L11" t="s">
        <v>782</v>
      </c>
      <c r="M11" t="s">
        <v>748</v>
      </c>
      <c r="N11" s="3">
        <v>4.2000000000000003E-2</v>
      </c>
      <c r="O11" t="s">
        <v>768</v>
      </c>
      <c r="P11" t="s">
        <v>797</v>
      </c>
      <c r="Q11" t="s">
        <v>749</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13.08</v>
      </c>
      <c r="F12">
        <f t="shared" si="0"/>
        <v>5.7396928051738128</v>
      </c>
      <c r="G12">
        <v>11.760043144226</v>
      </c>
      <c r="H12" s="4">
        <v>17.7</v>
      </c>
      <c r="I12" s="4">
        <v>10.06</v>
      </c>
      <c r="J12" t="s">
        <v>798</v>
      </c>
      <c r="K12" s="3">
        <v>1</v>
      </c>
      <c r="L12" t="s">
        <v>37</v>
      </c>
      <c r="M12" t="s">
        <v>763</v>
      </c>
      <c r="N12" s="3">
        <v>2.9000000000000001E-2</v>
      </c>
      <c r="O12" t="s">
        <v>640</v>
      </c>
      <c r="P12" t="s">
        <v>799</v>
      </c>
      <c r="Q12" t="s">
        <v>764</v>
      </c>
      <c r="R12" s="3">
        <v>1.3839999999999999</v>
      </c>
      <c r="S12" s="3">
        <v>3.0000000000000001E-3</v>
      </c>
      <c r="T12" t="s">
        <v>765</v>
      </c>
      <c r="U12" s="3">
        <v>2.7E-2</v>
      </c>
      <c r="V12" s="3">
        <v>0.128</v>
      </c>
      <c r="W12" s="3">
        <v>-0.14799999999999999</v>
      </c>
      <c r="X12" s="3">
        <v>3.5000000000000003E-2</v>
      </c>
    </row>
    <row r="13" spans="1:24" x14ac:dyDescent="0.25">
      <c r="A13" t="s">
        <v>21</v>
      </c>
      <c r="B13" t="s">
        <v>610</v>
      </c>
      <c r="C13" t="s">
        <v>23</v>
      </c>
      <c r="D13">
        <v>4.58</v>
      </c>
      <c r="E13" s="4">
        <v>7.32</v>
      </c>
      <c r="F13">
        <f t="shared" si="0"/>
        <v>59.825327510917027</v>
      </c>
      <c r="G13">
        <v>4.9105057716369602</v>
      </c>
      <c r="H13" s="4">
        <v>7.38</v>
      </c>
      <c r="I13" s="4">
        <v>4.84</v>
      </c>
      <c r="J13" t="s">
        <v>800</v>
      </c>
      <c r="K13" s="3">
        <v>1</v>
      </c>
      <c r="L13" t="s">
        <v>24</v>
      </c>
      <c r="M13" t="s">
        <v>750</v>
      </c>
      <c r="N13" s="3">
        <v>3.4000000000000002E-2</v>
      </c>
      <c r="O13" t="s">
        <v>685</v>
      </c>
      <c r="P13" t="s">
        <v>801</v>
      </c>
      <c r="Q13" t="s">
        <v>751</v>
      </c>
      <c r="R13" s="3">
        <v>0.68600000000000005</v>
      </c>
      <c r="S13" s="3">
        <v>8.9999999999999993E-3</v>
      </c>
      <c r="T13" t="s">
        <v>752</v>
      </c>
      <c r="U13" s="3">
        <v>1.4E-2</v>
      </c>
      <c r="V13" s="3">
        <v>-1.4E-2</v>
      </c>
      <c r="W13" s="3">
        <v>-3.0000000000000001E-3</v>
      </c>
      <c r="X13" s="3">
        <v>6.6000000000000003E-2</v>
      </c>
    </row>
    <row r="14" spans="1:24" x14ac:dyDescent="0.25">
      <c r="A14" t="s">
        <v>26</v>
      </c>
      <c r="B14" t="s">
        <v>611</v>
      </c>
      <c r="C14" t="s">
        <v>28</v>
      </c>
      <c r="D14">
        <v>3.49</v>
      </c>
      <c r="E14" s="4">
        <v>4.8</v>
      </c>
      <c r="F14">
        <f t="shared" si="0"/>
        <v>37.53581661891117</v>
      </c>
      <c r="G14">
        <v>4.1038346290588299</v>
      </c>
      <c r="H14" s="4">
        <v>5.2</v>
      </c>
      <c r="I14" s="4">
        <v>3.4</v>
      </c>
      <c r="J14" t="s">
        <v>802</v>
      </c>
      <c r="K14" s="3">
        <v>1</v>
      </c>
      <c r="L14" t="s">
        <v>29</v>
      </c>
      <c r="M14" t="s">
        <v>769</v>
      </c>
      <c r="N14" s="3">
        <v>3.7999999999999999E-2</v>
      </c>
      <c r="O14" t="s">
        <v>776</v>
      </c>
      <c r="Q14" t="s">
        <v>770</v>
      </c>
      <c r="R14" s="3">
        <v>8.8999999999999996E-2</v>
      </c>
      <c r="T14" t="s">
        <v>771</v>
      </c>
      <c r="U14" s="3">
        <v>6.2E-2</v>
      </c>
      <c r="V14" s="3">
        <v>4.7E-2</v>
      </c>
      <c r="W14" s="3">
        <v>8.3000000000000004E-2</v>
      </c>
      <c r="X14" s="3">
        <v>0.216</v>
      </c>
    </row>
    <row r="15" spans="1:24" x14ac:dyDescent="0.25">
      <c r="A15" t="s">
        <v>814</v>
      </c>
      <c r="B15" t="s">
        <v>612</v>
      </c>
      <c r="C15" t="s">
        <v>28</v>
      </c>
      <c r="D15">
        <v>28.81</v>
      </c>
      <c r="E15" s="4">
        <v>38.68</v>
      </c>
      <c r="F15">
        <f t="shared" si="0"/>
        <v>34.25893786879557</v>
      </c>
      <c r="G15">
        <v>30.881227493286101</v>
      </c>
      <c r="H15" s="4">
        <v>45.14</v>
      </c>
      <c r="I15" s="4">
        <v>30.88</v>
      </c>
      <c r="J15" t="s">
        <v>803</v>
      </c>
      <c r="K15" s="3">
        <v>1</v>
      </c>
      <c r="L15" t="s">
        <v>783</v>
      </c>
      <c r="M15" t="s">
        <v>228</v>
      </c>
      <c r="N15" s="3">
        <v>4.1000000000000002E-2</v>
      </c>
      <c r="O15" t="s">
        <v>804</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5.88</v>
      </c>
      <c r="F16">
        <f t="shared" si="0"/>
        <v>8.687615526802217</v>
      </c>
      <c r="G16">
        <v>5.1316223144531197</v>
      </c>
      <c r="H16" s="4">
        <v>6.46</v>
      </c>
      <c r="I16" s="4">
        <v>5.13</v>
      </c>
      <c r="J16" t="s">
        <v>805</v>
      </c>
      <c r="K16" s="3">
        <v>1</v>
      </c>
      <c r="L16" t="s">
        <v>32</v>
      </c>
      <c r="M16" t="s">
        <v>772</v>
      </c>
      <c r="N16" s="3">
        <v>3.3000000000000002E-2</v>
      </c>
      <c r="O16" t="s">
        <v>767</v>
      </c>
      <c r="P16" t="s">
        <v>806</v>
      </c>
      <c r="Q16" t="s">
        <v>773</v>
      </c>
      <c r="R16" s="3">
        <v>0.68</v>
      </c>
      <c r="S16" s="3">
        <v>1.4E-2</v>
      </c>
      <c r="T16" t="s">
        <v>774</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workbookViewId="0">
      <selection activeCell="A3" sqref="A3"/>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3">
        <v>45929</v>
      </c>
      <c r="B2" s="25" t="s">
        <v>807</v>
      </c>
      <c r="C2" s="25">
        <v>7.7</v>
      </c>
      <c r="D2" s="25" t="s">
        <v>624</v>
      </c>
      <c r="E2" s="26" t="s">
        <v>630</v>
      </c>
      <c r="F2" s="26" t="s">
        <v>625</v>
      </c>
      <c r="G2" s="26" t="s">
        <v>626</v>
      </c>
      <c r="H2" s="26" t="s">
        <v>808</v>
      </c>
      <c r="I2" s="26" t="s">
        <v>631</v>
      </c>
      <c r="J2" s="27">
        <v>7.7</v>
      </c>
      <c r="K2" s="28">
        <f t="shared" ref="K2:K4" si="0">(J2/C2-1)*100</f>
        <v>0</v>
      </c>
      <c r="L2" s="27">
        <v>7.84</v>
      </c>
      <c r="M2" s="27">
        <v>2.0699999999999998</v>
      </c>
      <c r="N2" s="26" t="s">
        <v>809</v>
      </c>
      <c r="O2" s="26"/>
      <c r="P2" s="26" t="s">
        <v>810</v>
      </c>
      <c r="Q2" s="26"/>
      <c r="R2" s="29">
        <v>0</v>
      </c>
      <c r="S2" s="26" t="s">
        <v>811</v>
      </c>
      <c r="T2" s="26"/>
      <c r="U2" s="26" t="s">
        <v>812</v>
      </c>
      <c r="V2" s="3">
        <v>0.04</v>
      </c>
      <c r="W2" s="3">
        <v>0.11799999999999999</v>
      </c>
      <c r="X2" t="s">
        <v>813</v>
      </c>
      <c r="Y2" s="3">
        <v>-5.8010000000000002</v>
      </c>
      <c r="Z2" s="3">
        <v>3.7549999999999999</v>
      </c>
      <c r="AB2" s="3">
        <v>-0.40699999999999997</v>
      </c>
    </row>
    <row r="3" spans="1:28" x14ac:dyDescent="0.25">
      <c r="A3" s="23">
        <v>45929</v>
      </c>
      <c r="B3" s="25" t="s">
        <v>98</v>
      </c>
      <c r="C3" s="25">
        <v>26.79</v>
      </c>
      <c r="D3" s="25" t="s">
        <v>623</v>
      </c>
      <c r="E3" s="26" t="s">
        <v>630</v>
      </c>
      <c r="F3" s="25" t="s">
        <v>704</v>
      </c>
      <c r="G3" s="26" t="s">
        <v>626</v>
      </c>
      <c r="H3" s="26" t="s">
        <v>218</v>
      </c>
      <c r="I3" s="26" t="s">
        <v>47</v>
      </c>
      <c r="J3" s="27">
        <v>26.79</v>
      </c>
      <c r="K3" s="30">
        <f t="shared" si="0"/>
        <v>0</v>
      </c>
      <c r="L3" s="27">
        <v>33.229999999999997</v>
      </c>
      <c r="M3" s="27">
        <v>26.61</v>
      </c>
      <c r="N3" s="26" t="s">
        <v>787</v>
      </c>
      <c r="O3" s="29">
        <v>1</v>
      </c>
      <c r="P3" s="26" t="s">
        <v>219</v>
      </c>
      <c r="Q3" s="26" t="s">
        <v>758</v>
      </c>
      <c r="R3" s="29">
        <v>3.1E-2</v>
      </c>
      <c r="S3" s="26" t="s">
        <v>685</v>
      </c>
      <c r="T3" s="26" t="s">
        <v>788</v>
      </c>
      <c r="U3" s="26" t="s">
        <v>759</v>
      </c>
      <c r="V3" s="3">
        <v>3.577</v>
      </c>
      <c r="W3" s="3">
        <v>6.0000000000000001E-3</v>
      </c>
      <c r="X3" t="s">
        <v>760</v>
      </c>
      <c r="Y3" s="3">
        <v>1.4E-2</v>
      </c>
      <c r="Z3" s="3">
        <v>4.2999999999999997E-2</v>
      </c>
      <c r="AA3" s="3">
        <v>-0.14599999999999999</v>
      </c>
      <c r="AB3" s="3">
        <v>0.188</v>
      </c>
    </row>
    <row r="4" spans="1:28" x14ac:dyDescent="0.25">
      <c r="A4" s="19">
        <v>45894</v>
      </c>
      <c r="B4" s="11" t="s">
        <v>82</v>
      </c>
      <c r="C4" s="11">
        <v>45.06</v>
      </c>
      <c r="D4" s="11" t="s">
        <v>624</v>
      </c>
      <c r="E4" s="26" t="s">
        <v>630</v>
      </c>
      <c r="F4" s="26" t="s">
        <v>625</v>
      </c>
      <c r="G4" s="26" t="s">
        <v>626</v>
      </c>
      <c r="H4" s="26" t="s">
        <v>379</v>
      </c>
      <c r="I4" s="26" t="s">
        <v>753</v>
      </c>
      <c r="J4" s="27">
        <v>52.67</v>
      </c>
      <c r="K4" s="24">
        <f t="shared" si="0"/>
        <v>16.88859298712828</v>
      </c>
      <c r="L4" s="27">
        <v>53.29</v>
      </c>
      <c r="M4" s="27">
        <v>14.93</v>
      </c>
      <c r="N4" s="26" t="s">
        <v>781</v>
      </c>
      <c r="O4" s="26"/>
      <c r="P4" s="26" t="s">
        <v>754</v>
      </c>
      <c r="Q4" s="26" t="s">
        <v>755</v>
      </c>
      <c r="R4" s="29">
        <v>0</v>
      </c>
      <c r="S4" s="26" t="s">
        <v>793</v>
      </c>
      <c r="T4" s="26" t="s">
        <v>794</v>
      </c>
      <c r="U4" s="26" t="s">
        <v>756</v>
      </c>
      <c r="V4" s="3">
        <v>0.84399999999999997</v>
      </c>
      <c r="W4" s="3">
        <v>7.0999999999999994E-2</v>
      </c>
      <c r="X4" t="s">
        <v>757</v>
      </c>
      <c r="Y4" s="3">
        <v>6.5000000000000002E-2</v>
      </c>
      <c r="Z4" s="3">
        <v>0.48799999999999999</v>
      </c>
      <c r="AB4" s="3">
        <v>0.08</v>
      </c>
    </row>
    <row r="5" spans="1:28" x14ac:dyDescent="0.25">
      <c r="A5" s="19">
        <v>45894</v>
      </c>
      <c r="B5" s="26" t="s">
        <v>49</v>
      </c>
      <c r="C5" s="11">
        <v>2.83</v>
      </c>
      <c r="D5" s="11" t="s">
        <v>623</v>
      </c>
      <c r="E5" s="26" t="s">
        <v>630</v>
      </c>
      <c r="F5" s="11" t="s">
        <v>704</v>
      </c>
      <c r="G5" s="26" t="s">
        <v>626</v>
      </c>
      <c r="H5" s="26" t="s">
        <v>48</v>
      </c>
      <c r="I5" s="26" t="s">
        <v>47</v>
      </c>
      <c r="J5" s="11">
        <v>2.83</v>
      </c>
      <c r="K5" s="21">
        <f>(J5/C5-1)*100</f>
        <v>0</v>
      </c>
      <c r="L5" s="27">
        <v>3.9</v>
      </c>
      <c r="M5" s="27">
        <v>2.72</v>
      </c>
      <c r="N5" s="26" t="s">
        <v>614</v>
      </c>
      <c r="O5" s="29">
        <v>1</v>
      </c>
      <c r="P5" s="26" t="s">
        <v>50</v>
      </c>
      <c r="Q5" s="26" t="s">
        <v>51</v>
      </c>
      <c r="R5" s="29">
        <v>5.3999999999999999E-2</v>
      </c>
      <c r="S5" s="26" t="s">
        <v>25</v>
      </c>
      <c r="T5" s="26" t="s">
        <v>737</v>
      </c>
      <c r="U5" s="26"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4.3499999999999996</v>
      </c>
      <c r="K6" s="6">
        <f>(J6/C6-1)*100</f>
        <v>29.080118694362</v>
      </c>
      <c r="L6" s="4">
        <v>4.78</v>
      </c>
      <c r="M6" s="4">
        <v>1.085</v>
      </c>
      <c r="N6" t="s">
        <v>784</v>
      </c>
      <c r="P6" t="s">
        <v>727</v>
      </c>
      <c r="Q6" t="s">
        <v>738</v>
      </c>
      <c r="R6" s="3">
        <v>0</v>
      </c>
      <c r="S6" t="s">
        <v>785</v>
      </c>
      <c r="U6" t="s">
        <v>739</v>
      </c>
      <c r="V6" s="3">
        <v>3.4159999999999999</v>
      </c>
      <c r="X6" t="s">
        <v>740</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709</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709</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164.88</v>
      </c>
      <c r="K9" s="6">
        <f t="shared" si="1"/>
        <v>-2.8173995048921374</v>
      </c>
      <c r="L9" s="4">
        <v>189.08</v>
      </c>
      <c r="M9" s="4">
        <v>128.29</v>
      </c>
      <c r="N9" t="s">
        <v>786</v>
      </c>
      <c r="O9" s="3">
        <v>1</v>
      </c>
      <c r="P9" t="s">
        <v>703</v>
      </c>
      <c r="Q9" t="s">
        <v>734</v>
      </c>
      <c r="R9" s="3">
        <v>2.9000000000000001E-2</v>
      </c>
      <c r="S9" t="s">
        <v>777</v>
      </c>
      <c r="U9" t="s">
        <v>735</v>
      </c>
      <c r="V9" s="3">
        <v>2.758</v>
      </c>
      <c r="X9" t="s">
        <v>736</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778</v>
      </c>
      <c r="O10" s="3">
        <v>1</v>
      </c>
      <c r="P10" t="s">
        <v>219</v>
      </c>
      <c r="Q10" t="s">
        <v>758</v>
      </c>
      <c r="R10" s="3">
        <v>3.1E-2</v>
      </c>
      <c r="S10" t="s">
        <v>685</v>
      </c>
      <c r="T10" t="s">
        <v>779</v>
      </c>
      <c r="U10" t="s">
        <v>759</v>
      </c>
      <c r="V10" s="3">
        <v>3.577</v>
      </c>
      <c r="W10" s="3">
        <v>6.0000000000000001E-3</v>
      </c>
      <c r="X10" t="s">
        <v>760</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3.52</v>
      </c>
      <c r="K11" s="6">
        <f t="shared" si="1"/>
        <v>15.032679738562083</v>
      </c>
      <c r="L11" s="4">
        <v>3.55</v>
      </c>
      <c r="M11" s="4">
        <v>2.67</v>
      </c>
      <c r="N11" t="s">
        <v>741</v>
      </c>
      <c r="O11" s="3">
        <v>0</v>
      </c>
      <c r="P11" t="s">
        <v>221</v>
      </c>
      <c r="Q11" t="s">
        <v>728</v>
      </c>
      <c r="R11" s="3">
        <v>4.5999999999999999E-2</v>
      </c>
      <c r="S11" t="s">
        <v>777</v>
      </c>
      <c r="U11" t="s">
        <v>729</v>
      </c>
      <c r="V11" s="3">
        <v>0.54600000000000004</v>
      </c>
      <c r="W11" s="3">
        <v>2E-3</v>
      </c>
      <c r="X11" t="s">
        <v>730</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8.48</v>
      </c>
      <c r="K12" s="6">
        <f t="shared" si="1"/>
        <v>18.270571827057182</v>
      </c>
      <c r="L12" s="4">
        <v>8.81</v>
      </c>
      <c r="M12" s="4">
        <v>5.12</v>
      </c>
      <c r="N12" t="s">
        <v>632</v>
      </c>
      <c r="O12" s="3">
        <v>1</v>
      </c>
      <c r="P12" t="s">
        <v>223</v>
      </c>
      <c r="Q12" t="s">
        <v>742</v>
      </c>
      <c r="R12" s="3">
        <v>3.5000000000000003E-2</v>
      </c>
      <c r="S12" t="s">
        <v>708</v>
      </c>
      <c r="T12" t="s">
        <v>789</v>
      </c>
      <c r="U12" t="s">
        <v>743</v>
      </c>
      <c r="V12" s="3">
        <v>2.1389999999999998</v>
      </c>
      <c r="X12" t="s">
        <v>744</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3.71</v>
      </c>
      <c r="K13" s="6">
        <f t="shared" si="1"/>
        <v>1.9230769230769162</v>
      </c>
      <c r="L13" s="4">
        <v>3.76</v>
      </c>
      <c r="M13" s="4">
        <v>3.1</v>
      </c>
      <c r="N13" t="s">
        <v>780</v>
      </c>
      <c r="O13" s="3">
        <v>0</v>
      </c>
      <c r="P13" t="s">
        <v>225</v>
      </c>
      <c r="Q13" t="s">
        <v>731</v>
      </c>
      <c r="R13" s="3">
        <v>0.05</v>
      </c>
      <c r="S13" t="s">
        <v>790</v>
      </c>
      <c r="U13" t="s">
        <v>732</v>
      </c>
      <c r="V13" s="3">
        <v>0.28499999999999998</v>
      </c>
      <c r="W13" s="3">
        <v>3.0000000000000001E-3</v>
      </c>
      <c r="X13" t="s">
        <v>733</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4.92</v>
      </c>
      <c r="K14" s="6">
        <f t="shared" si="1"/>
        <v>-5.2023121387283382</v>
      </c>
      <c r="L14" s="4">
        <v>5.33</v>
      </c>
      <c r="M14" s="4">
        <v>4.17</v>
      </c>
      <c r="N14" t="s">
        <v>791</v>
      </c>
      <c r="O14" s="3">
        <v>0</v>
      </c>
      <c r="P14" t="s">
        <v>55</v>
      </c>
      <c r="Q14" t="s">
        <v>761</v>
      </c>
      <c r="R14" s="3">
        <v>8.1000000000000003E-2</v>
      </c>
      <c r="S14" t="s">
        <v>792</v>
      </c>
      <c r="U14" t="s">
        <v>762</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737</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2.27</v>
      </c>
      <c r="K16" s="6">
        <f t="shared" si="1"/>
        <v>-1.304347826086949</v>
      </c>
      <c r="L16" s="4">
        <v>2.42</v>
      </c>
      <c r="M16" s="4">
        <v>1.7749999999999999</v>
      </c>
      <c r="N16" t="s">
        <v>795</v>
      </c>
      <c r="O16" s="3">
        <v>0</v>
      </c>
      <c r="P16" t="s">
        <v>45</v>
      </c>
      <c r="Q16" t="s">
        <v>745</v>
      </c>
      <c r="R16" s="3">
        <v>0.04</v>
      </c>
      <c r="S16" t="s">
        <v>767</v>
      </c>
      <c r="T16" t="s">
        <v>796</v>
      </c>
      <c r="U16" t="s">
        <v>746</v>
      </c>
      <c r="V16" s="3">
        <v>0.502</v>
      </c>
      <c r="W16" s="3">
        <v>0.01</v>
      </c>
      <c r="X16" t="s">
        <v>747</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5.0999999999999996</v>
      </c>
      <c r="K17" s="6">
        <f t="shared" si="1"/>
        <v>17.511520737327182</v>
      </c>
      <c r="L17" s="4">
        <v>5.51</v>
      </c>
      <c r="M17" s="4">
        <v>2.94</v>
      </c>
      <c r="N17" t="s">
        <v>775</v>
      </c>
      <c r="O17" s="3">
        <v>0.9</v>
      </c>
      <c r="P17" t="s">
        <v>782</v>
      </c>
      <c r="Q17" t="s">
        <v>748</v>
      </c>
      <c r="R17" s="3">
        <v>4.2000000000000003E-2</v>
      </c>
      <c r="S17" t="s">
        <v>768</v>
      </c>
      <c r="T17" t="s">
        <v>797</v>
      </c>
      <c r="U17" t="s">
        <v>749</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14.641789286318607</v>
      </c>
      <c r="B2">
        <v>3234.8912</v>
      </c>
      <c r="C2">
        <f>COUNTA(Trades!A3:A1048576)</f>
        <v>380</v>
      </c>
      <c r="D2">
        <f>COUNTIF(Trades!J3:J895,"&gt;0")</f>
        <v>210</v>
      </c>
      <c r="E2">
        <f>AVERAGEIF(Trades!J3:J895,"&gt;0")*100</f>
        <v>45.707353922520525</v>
      </c>
      <c r="F2">
        <f>C2-D2</f>
        <v>170</v>
      </c>
      <c r="G2">
        <f>AVERAGEIF(Trades!J3:J895,"&lt;0")*100</f>
        <v>-14.067927404944491</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3"/>
  <sheetViews>
    <sheetView topLeftCell="A1319" workbookViewId="0">
      <selection activeCell="B1353" sqref="B135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O8" sqref="O8"/>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25" t="s">
        <v>807</v>
      </c>
      <c r="B2" s="25" t="s">
        <v>808</v>
      </c>
      <c r="C2" s="25" t="s">
        <v>364</v>
      </c>
      <c r="D2" s="23">
        <v>45929</v>
      </c>
      <c r="E2" s="25" t="s">
        <v>704</v>
      </c>
      <c r="F2" s="23">
        <v>45929</v>
      </c>
      <c r="G2" s="27">
        <v>7.7</v>
      </c>
      <c r="H2" s="25" t="s">
        <v>704</v>
      </c>
      <c r="I2" s="25" t="s">
        <v>704</v>
      </c>
      <c r="J2" s="25" t="s">
        <v>704</v>
      </c>
      <c r="K2" s="25">
        <v>28369</v>
      </c>
      <c r="N2" s="4"/>
      <c r="O2" s="22"/>
    </row>
    <row r="3" spans="1:30" x14ac:dyDescent="0.25">
      <c r="A3" t="s">
        <v>82</v>
      </c>
      <c r="B3" t="s">
        <v>379</v>
      </c>
      <c r="C3" t="s">
        <v>364</v>
      </c>
      <c r="D3" s="2">
        <v>45894</v>
      </c>
      <c r="E3">
        <v>46</v>
      </c>
      <c r="F3" s="23">
        <v>45929</v>
      </c>
      <c r="G3" s="4">
        <v>52.67</v>
      </c>
      <c r="H3" s="3">
        <f t="shared" ref="H3" si="0">G3/E3-1</f>
        <v>0.14500000000000002</v>
      </c>
      <c r="I3">
        <f t="shared" ref="I3" si="1">K3*E3*J3</f>
        <v>32870.266000000003</v>
      </c>
      <c r="J3" s="3">
        <f t="shared" ref="J3" si="2">H3-0.002</f>
        <v>0.14300000000000002</v>
      </c>
      <c r="K3">
        <v>4997</v>
      </c>
      <c r="N3" s="4"/>
      <c r="O3" s="4"/>
    </row>
    <row r="4" spans="1:30" x14ac:dyDescent="0.25">
      <c r="A4" t="s">
        <v>93</v>
      </c>
      <c r="B4" t="s">
        <v>378</v>
      </c>
      <c r="C4" t="s">
        <v>364</v>
      </c>
      <c r="D4" s="2">
        <v>45880</v>
      </c>
      <c r="E4">
        <v>3.28</v>
      </c>
      <c r="F4" s="23">
        <v>45929</v>
      </c>
      <c r="G4" s="4">
        <v>4.3499999999999996</v>
      </c>
      <c r="H4" s="3">
        <f t="shared" ref="H4:H16" si="3">G4/E4-1</f>
        <v>0.32621951219512191</v>
      </c>
      <c r="I4">
        <f t="shared" ref="I4:I16" si="4">K4*E4*J4</f>
        <v>69434.124479999984</v>
      </c>
      <c r="J4" s="3">
        <f t="shared" ref="J4:J16" si="5">H4-0.002</f>
        <v>0.32421951219512191</v>
      </c>
      <c r="K4">
        <v>65292</v>
      </c>
      <c r="N4" s="4"/>
      <c r="O4" s="4"/>
      <c r="AB4" s="3"/>
      <c r="AC4" s="3"/>
      <c r="AD4" s="3"/>
    </row>
    <row r="5" spans="1:30" x14ac:dyDescent="0.25">
      <c r="A5" t="s">
        <v>97</v>
      </c>
      <c r="B5" t="s">
        <v>217</v>
      </c>
      <c r="C5" t="s">
        <v>364</v>
      </c>
      <c r="D5" s="2">
        <v>45786</v>
      </c>
      <c r="E5">
        <v>169.28</v>
      </c>
      <c r="F5" s="23">
        <v>45929</v>
      </c>
      <c r="G5" s="4">
        <v>164.88</v>
      </c>
      <c r="H5" s="3">
        <f t="shared" si="3"/>
        <v>-2.5992438563327114E-2</v>
      </c>
      <c r="I5">
        <f t="shared" si="4"/>
        <v>-5563.0694400000166</v>
      </c>
      <c r="J5" s="3">
        <f t="shared" si="5"/>
        <v>-2.7992438563327116E-2</v>
      </c>
      <c r="K5">
        <v>1174</v>
      </c>
      <c r="N5" s="4"/>
      <c r="O5" s="4"/>
      <c r="Q5" s="20"/>
      <c r="T5" s="3"/>
      <c r="V5" s="3"/>
      <c r="AB5" s="3"/>
      <c r="AC5" s="3"/>
      <c r="AD5" s="3"/>
    </row>
    <row r="6" spans="1:30" x14ac:dyDescent="0.25">
      <c r="A6" t="s">
        <v>99</v>
      </c>
      <c r="B6" t="s">
        <v>220</v>
      </c>
      <c r="C6" t="s">
        <v>364</v>
      </c>
      <c r="D6" s="2">
        <v>45786</v>
      </c>
      <c r="E6">
        <v>3.07</v>
      </c>
      <c r="F6" s="23">
        <v>45929</v>
      </c>
      <c r="G6" s="4">
        <v>3.52</v>
      </c>
      <c r="H6" s="3">
        <f t="shared" si="3"/>
        <v>0.14657980456026065</v>
      </c>
      <c r="I6">
        <f t="shared" si="4"/>
        <v>29114.996700000011</v>
      </c>
      <c r="J6" s="3">
        <f t="shared" si="5"/>
        <v>0.14457980456026065</v>
      </c>
      <c r="K6">
        <v>65595</v>
      </c>
      <c r="N6" s="4"/>
      <c r="O6" s="4"/>
      <c r="Q6" s="17"/>
      <c r="T6" s="3"/>
      <c r="V6" s="3"/>
      <c r="AB6" s="3"/>
      <c r="AC6" s="3"/>
      <c r="AD6" s="3"/>
    </row>
    <row r="7" spans="1:30" x14ac:dyDescent="0.25">
      <c r="A7" t="s">
        <v>100</v>
      </c>
      <c r="B7" t="s">
        <v>222</v>
      </c>
      <c r="C7" t="s">
        <v>364</v>
      </c>
      <c r="D7" s="2">
        <v>45786</v>
      </c>
      <c r="E7">
        <v>7.23</v>
      </c>
      <c r="F7" s="23">
        <v>45929</v>
      </c>
      <c r="G7" s="4">
        <v>8.48</v>
      </c>
      <c r="H7" s="3">
        <f t="shared" si="3"/>
        <v>0.17289073305670821</v>
      </c>
      <c r="I7">
        <f t="shared" si="4"/>
        <v>33974.87892000001</v>
      </c>
      <c r="J7" s="3">
        <f t="shared" si="5"/>
        <v>0.17089073305670821</v>
      </c>
      <c r="K7">
        <v>27498</v>
      </c>
      <c r="N7" s="4"/>
      <c r="O7" s="4"/>
      <c r="Q7" s="17"/>
      <c r="T7" s="3"/>
      <c r="V7" s="3"/>
      <c r="AB7" s="3"/>
      <c r="AC7" s="3"/>
      <c r="AD7" s="3"/>
    </row>
    <row r="8" spans="1:30" x14ac:dyDescent="0.25">
      <c r="A8" t="s">
        <v>101</v>
      </c>
      <c r="B8" t="s">
        <v>224</v>
      </c>
      <c r="C8" t="s">
        <v>364</v>
      </c>
      <c r="D8" s="2">
        <v>45786</v>
      </c>
      <c r="E8">
        <v>3.64</v>
      </c>
      <c r="F8" s="23">
        <v>45929</v>
      </c>
      <c r="G8" s="4">
        <v>3.71</v>
      </c>
      <c r="H8" s="3">
        <f t="shared" si="3"/>
        <v>1.9230769230769162E-2</v>
      </c>
      <c r="I8">
        <f t="shared" si="4"/>
        <v>3518.7174399999858</v>
      </c>
      <c r="J8" s="3">
        <f t="shared" si="5"/>
        <v>1.7230769230769161E-2</v>
      </c>
      <c r="K8">
        <v>56102</v>
      </c>
      <c r="N8" s="4"/>
      <c r="O8" s="4"/>
      <c r="Q8" s="17"/>
      <c r="T8" s="3"/>
      <c r="V8" s="3"/>
      <c r="AB8" s="3"/>
      <c r="AC8" s="3"/>
      <c r="AD8" s="3"/>
    </row>
    <row r="9" spans="1:30" x14ac:dyDescent="0.25">
      <c r="A9" t="s">
        <v>54</v>
      </c>
      <c r="B9" t="s">
        <v>226</v>
      </c>
      <c r="C9" t="s">
        <v>364</v>
      </c>
      <c r="D9" s="2">
        <v>45786</v>
      </c>
      <c r="E9">
        <v>5.18</v>
      </c>
      <c r="F9" s="23">
        <v>45929</v>
      </c>
      <c r="G9" s="4">
        <v>4.92</v>
      </c>
      <c r="H9" s="3">
        <f t="shared" si="3"/>
        <v>-5.0193050193050204E-2</v>
      </c>
      <c r="I9">
        <f t="shared" si="4"/>
        <v>-10379.120400000002</v>
      </c>
      <c r="J9" s="3">
        <f t="shared" si="5"/>
        <v>-5.2193050193050206E-2</v>
      </c>
      <c r="K9">
        <v>38390</v>
      </c>
      <c r="N9" s="4"/>
      <c r="O9" s="4"/>
      <c r="Q9" s="17"/>
      <c r="T9" s="3"/>
      <c r="V9" s="3"/>
      <c r="AB9" s="3"/>
      <c r="AC9" s="3"/>
      <c r="AD9" s="3"/>
    </row>
    <row r="10" spans="1:30" x14ac:dyDescent="0.25">
      <c r="A10" t="s">
        <v>44</v>
      </c>
      <c r="B10" t="s">
        <v>43</v>
      </c>
      <c r="C10" t="s">
        <v>364</v>
      </c>
      <c r="D10" s="2">
        <v>45786</v>
      </c>
      <c r="E10">
        <v>2.2999999999999998</v>
      </c>
      <c r="F10" s="23">
        <v>45929</v>
      </c>
      <c r="G10" s="4">
        <v>2.27</v>
      </c>
      <c r="H10" s="3">
        <f t="shared" si="3"/>
        <v>-1.304347826086949E-2</v>
      </c>
      <c r="I10">
        <f t="shared" si="4"/>
        <v>-3053.9689999999841</v>
      </c>
      <c r="J10" s="3">
        <f t="shared" si="5"/>
        <v>-1.504347826086949E-2</v>
      </c>
      <c r="K10">
        <v>88265</v>
      </c>
      <c r="N10" s="4"/>
      <c r="O10" s="4"/>
      <c r="Q10" s="17"/>
      <c r="T10" s="3"/>
      <c r="V10" s="3"/>
      <c r="AB10" s="3"/>
      <c r="AC10" s="3"/>
      <c r="AD10" s="3"/>
    </row>
    <row r="11" spans="1:30" x14ac:dyDescent="0.25">
      <c r="A11" t="s">
        <v>39</v>
      </c>
      <c r="B11" t="s">
        <v>38</v>
      </c>
      <c r="C11" t="s">
        <v>364</v>
      </c>
      <c r="D11" s="2">
        <v>45786</v>
      </c>
      <c r="E11">
        <v>4.3499999999999996</v>
      </c>
      <c r="F11" s="23">
        <v>45929</v>
      </c>
      <c r="G11" s="4">
        <v>5.0999999999999996</v>
      </c>
      <c r="H11" s="3">
        <f t="shared" si="3"/>
        <v>0.1724137931034484</v>
      </c>
      <c r="I11">
        <f t="shared" si="4"/>
        <v>33901.131600000022</v>
      </c>
      <c r="J11" s="3">
        <f t="shared" si="5"/>
        <v>0.1704137931034484</v>
      </c>
      <c r="K11">
        <v>45732</v>
      </c>
      <c r="N11" s="4"/>
      <c r="O11" s="4"/>
      <c r="Q11" s="17"/>
      <c r="T11" s="3"/>
      <c r="V11" s="3"/>
      <c r="AB11" s="3"/>
      <c r="AC11" s="3"/>
      <c r="AD11" s="3"/>
    </row>
    <row r="12" spans="1:30" x14ac:dyDescent="0.25">
      <c r="A12" t="s">
        <v>35</v>
      </c>
      <c r="B12" t="s">
        <v>34</v>
      </c>
      <c r="C12" t="s">
        <v>364</v>
      </c>
      <c r="D12" s="2">
        <v>45709</v>
      </c>
      <c r="E12">
        <v>12.2315</v>
      </c>
      <c r="F12" s="23">
        <v>45929</v>
      </c>
      <c r="G12" s="4">
        <v>13.08</v>
      </c>
      <c r="H12" s="3">
        <f t="shared" si="3"/>
        <v>6.9370069083922514E-2</v>
      </c>
      <c r="I12">
        <f t="shared" si="4"/>
        <v>13543.048094999971</v>
      </c>
      <c r="J12" s="3">
        <f t="shared" si="5"/>
        <v>6.7370069083922512E-2</v>
      </c>
      <c r="K12">
        <v>16435</v>
      </c>
      <c r="N12" s="4"/>
      <c r="O12" s="4"/>
      <c r="Q12" s="17"/>
      <c r="T12" s="3"/>
      <c r="V12" s="3"/>
      <c r="AB12" s="3"/>
      <c r="AC12" s="3"/>
      <c r="AD12" s="3"/>
    </row>
    <row r="13" spans="1:30" x14ac:dyDescent="0.25">
      <c r="A13" t="s">
        <v>22</v>
      </c>
      <c r="B13" t="s">
        <v>21</v>
      </c>
      <c r="C13" t="s">
        <v>364</v>
      </c>
      <c r="D13" s="2">
        <v>45128</v>
      </c>
      <c r="E13">
        <v>4.2682180000000001</v>
      </c>
      <c r="F13" s="23">
        <v>45929</v>
      </c>
      <c r="G13" s="4">
        <v>7.32</v>
      </c>
      <c r="H13" s="3">
        <f t="shared" si="3"/>
        <v>0.71500143619655798</v>
      </c>
      <c r="I13">
        <f t="shared" si="4"/>
        <v>99946.270812888019</v>
      </c>
      <c r="J13" s="3">
        <f t="shared" si="5"/>
        <v>0.71300143619655798</v>
      </c>
      <c r="K13">
        <v>32842</v>
      </c>
      <c r="N13" s="4"/>
      <c r="O13" s="4"/>
      <c r="Q13" s="17"/>
      <c r="T13" s="3"/>
      <c r="V13" s="3"/>
      <c r="AB13" s="3"/>
      <c r="AC13" s="3"/>
      <c r="AD13" s="3"/>
    </row>
    <row r="14" spans="1:30" x14ac:dyDescent="0.25">
      <c r="A14" t="s">
        <v>27</v>
      </c>
      <c r="B14" t="s">
        <v>26</v>
      </c>
      <c r="C14" t="s">
        <v>364</v>
      </c>
      <c r="D14" s="2">
        <v>45037</v>
      </c>
      <c r="E14">
        <v>3.2149679999999998</v>
      </c>
      <c r="F14" s="23">
        <v>45929</v>
      </c>
      <c r="G14" s="4">
        <v>4.8</v>
      </c>
      <c r="H14" s="3">
        <f t="shared" si="3"/>
        <v>0.49301641571549082</v>
      </c>
      <c r="I14">
        <f t="shared" si="4"/>
        <v>70138.868305584008</v>
      </c>
      <c r="J14" s="3">
        <f t="shared" si="5"/>
        <v>0.49101641571549082</v>
      </c>
      <c r="K14">
        <v>44431</v>
      </c>
      <c r="N14" s="4"/>
      <c r="O14" s="4"/>
      <c r="Q14" s="17"/>
      <c r="T14" s="3"/>
      <c r="V14" s="3"/>
      <c r="AB14" s="3"/>
      <c r="AC14" s="3"/>
      <c r="AD14" s="3"/>
    </row>
    <row r="15" spans="1:30" x14ac:dyDescent="0.25">
      <c r="A15" t="s">
        <v>90</v>
      </c>
      <c r="B15" t="s">
        <v>227</v>
      </c>
      <c r="C15" t="s">
        <v>364</v>
      </c>
      <c r="D15" s="2">
        <v>44876</v>
      </c>
      <c r="E15">
        <v>25.921890000000001</v>
      </c>
      <c r="F15" s="23">
        <v>45929</v>
      </c>
      <c r="G15" s="4">
        <v>38.68</v>
      </c>
      <c r="H15" s="3">
        <f t="shared" si="3"/>
        <v>0.49217514617954161</v>
      </c>
      <c r="I15">
        <f t="shared" si="4"/>
        <v>70316.477261479988</v>
      </c>
      <c r="J15" s="3">
        <f t="shared" si="5"/>
        <v>0.49017514617954161</v>
      </c>
      <c r="K15">
        <v>5534</v>
      </c>
      <c r="N15" s="4"/>
      <c r="O15" s="4"/>
      <c r="Q15" s="17"/>
      <c r="T15" s="3"/>
      <c r="V15" s="3"/>
      <c r="AB15" s="3"/>
      <c r="AC15" s="3"/>
      <c r="AD15" s="3"/>
    </row>
    <row r="16" spans="1:30" x14ac:dyDescent="0.25">
      <c r="A16" t="s">
        <v>31</v>
      </c>
      <c r="B16" t="s">
        <v>30</v>
      </c>
      <c r="C16" t="s">
        <v>364</v>
      </c>
      <c r="D16" s="2">
        <v>44785</v>
      </c>
      <c r="E16">
        <v>4.9811699999999997</v>
      </c>
      <c r="F16" s="23">
        <v>45929</v>
      </c>
      <c r="G16" s="4">
        <v>5.88</v>
      </c>
      <c r="H16" s="3">
        <f t="shared" si="3"/>
        <v>0.18044555797132</v>
      </c>
      <c r="I16">
        <f t="shared" si="4"/>
        <v>26653.585652760001</v>
      </c>
      <c r="J16" s="3">
        <f t="shared" si="5"/>
        <v>0.17844555797132</v>
      </c>
      <c r="K16">
        <v>29986</v>
      </c>
      <c r="N16" s="4"/>
      <c r="O16" s="4"/>
      <c r="Q16" s="17"/>
      <c r="T16" s="3"/>
      <c r="V16" s="3"/>
      <c r="AB16" s="3"/>
      <c r="AC16" s="3"/>
      <c r="AD16" s="3"/>
    </row>
    <row r="17" spans="1:30" x14ac:dyDescent="0.25">
      <c r="A17" t="s">
        <v>98</v>
      </c>
      <c r="B17" t="s">
        <v>218</v>
      </c>
      <c r="C17" t="s">
        <v>365</v>
      </c>
      <c r="D17" s="2">
        <v>45786</v>
      </c>
      <c r="E17">
        <v>32.71</v>
      </c>
      <c r="F17" s="23">
        <v>45929</v>
      </c>
      <c r="G17" s="4" t="s">
        <v>704</v>
      </c>
      <c r="H17" s="3" t="s">
        <v>704</v>
      </c>
      <c r="I17" t="s">
        <v>704</v>
      </c>
      <c r="J17" s="3" t="s">
        <v>704</v>
      </c>
      <c r="K17">
        <v>6076</v>
      </c>
      <c r="O17" s="4"/>
      <c r="Q17" s="17"/>
      <c r="T17" s="3"/>
      <c r="V17" s="3"/>
      <c r="AB17" s="3"/>
      <c r="AC17" s="3"/>
      <c r="AD17" s="3"/>
    </row>
    <row r="18" spans="1:30" x14ac:dyDescent="0.25">
      <c r="A18" t="s">
        <v>49</v>
      </c>
      <c r="B18" t="s">
        <v>48</v>
      </c>
      <c r="C18" t="s">
        <v>365</v>
      </c>
      <c r="D18" s="2">
        <v>45786</v>
      </c>
      <c r="E18">
        <v>3.5</v>
      </c>
      <c r="F18" s="2">
        <v>45884</v>
      </c>
      <c r="G18" s="4">
        <v>2.86</v>
      </c>
      <c r="H18" s="3">
        <f t="shared" ref="H18" si="6">G18/E18-1</f>
        <v>-0.18285714285714294</v>
      </c>
      <c r="I18">
        <f t="shared" ref="I18" si="7">K18*E18*J18</f>
        <v>-36765.775000000016</v>
      </c>
      <c r="J18" s="3">
        <f t="shared" ref="J18" si="8">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244</v>
      </c>
      <c r="K27" t="s">
        <v>244</v>
      </c>
      <c r="L27" t="s">
        <v>244</v>
      </c>
      <c r="M27" t="s">
        <v>244</v>
      </c>
      <c r="N27" s="3">
        <v>9.2336259045362246E-2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2"/>
  <sheetViews>
    <sheetView topLeftCell="A1328" workbookViewId="0">
      <selection activeCell="A1352" sqref="A1352"/>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H1351" si="25">H1349*(E1350/E1349)</f>
        <v>290186.54494939506</v>
      </c>
    </row>
    <row r="1351" spans="1:8" x14ac:dyDescent="0.25">
      <c r="A1351" s="8">
        <v>45922</v>
      </c>
      <c r="B1351" s="7">
        <v>8773.5</v>
      </c>
      <c r="C1351" s="7">
        <v>8846</v>
      </c>
      <c r="D1351" s="7">
        <v>8773.5</v>
      </c>
      <c r="E1351" s="7">
        <v>8810.9</v>
      </c>
      <c r="F1351" s="9">
        <v>610195600</v>
      </c>
      <c r="G1351" s="9">
        <v>5378942000</v>
      </c>
      <c r="H1351">
        <f t="shared" ref="H1351:H1352"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si="26"/>
        <v>290656.21485744562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2025-09-27T01:43:33Z</dcterms:modified>
</cp:coreProperties>
</file>