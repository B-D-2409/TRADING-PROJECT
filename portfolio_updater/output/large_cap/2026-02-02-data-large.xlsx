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0BF7BBCC-407B-47FD-926E-7C2D39F090DC}" xr6:coauthVersionLast="47" xr6:coauthVersionMax="47" xr10:uidLastSave="{00000000-0000-0000-0000-000000000000}"/>
  <bookViews>
    <workbookView xWindow="-120" yWindow="-120" windowWidth="29040" windowHeight="15720" tabRatio="832"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3" i="5" l="1"/>
  <c r="E1393" i="5" s="1"/>
  <c r="H1389" i="8"/>
  <c r="C2" i="4"/>
  <c r="D1392" i="5"/>
  <c r="E1392" i="5" s="1"/>
  <c r="D1391" i="5"/>
  <c r="E1391" i="5" s="1"/>
  <c r="H1388" i="8"/>
  <c r="D1390" i="5"/>
  <c r="E1390" i="5" s="1"/>
  <c r="H1387" i="8"/>
  <c r="D1389" i="5"/>
  <c r="E1389" i="5" s="1"/>
  <c r="H1386" i="8"/>
  <c r="D1388" i="5"/>
  <c r="E1388" i="5" s="1"/>
  <c r="H1385" i="8"/>
  <c r="H10" i="6"/>
  <c r="J10" i="6" s="1"/>
  <c r="I10" i="6" s="1"/>
  <c r="H9" i="6"/>
  <c r="J9" i="6" s="1"/>
  <c r="I9" i="6" s="1"/>
  <c r="H8" i="6"/>
  <c r="J8" i="6" s="1"/>
  <c r="I8" i="6" s="1"/>
  <c r="H7" i="6"/>
  <c r="J7" i="6" s="1"/>
  <c r="I7" i="6" s="1"/>
  <c r="H6" i="6"/>
  <c r="J6" i="6" s="1"/>
  <c r="I6" i="6" s="1"/>
  <c r="H5" i="6"/>
  <c r="J5" i="6" s="1"/>
  <c r="I5" i="6" s="1"/>
  <c r="H4" i="6"/>
  <c r="J4" i="6" s="1"/>
  <c r="I4" i="6" s="1"/>
  <c r="H3" i="6"/>
  <c r="J3" i="6" s="1"/>
  <c r="I3" i="6" s="1"/>
  <c r="H2" i="6"/>
  <c r="J2" i="6" s="1"/>
  <c r="I2" i="6" s="1"/>
  <c r="K10" i="3"/>
  <c r="K9" i="3"/>
  <c r="K8" i="3"/>
  <c r="K7" i="3"/>
  <c r="K6" i="3"/>
  <c r="K5" i="3"/>
  <c r="K4" i="3"/>
  <c r="K3" i="3"/>
  <c r="K2" i="3"/>
  <c r="F10" i="2"/>
  <c r="F9" i="2"/>
  <c r="F8" i="2"/>
  <c r="F7" i="2"/>
  <c r="F6" i="2"/>
  <c r="F5" i="2"/>
  <c r="F4" i="2"/>
  <c r="F3" i="2"/>
  <c r="F2" i="2"/>
  <c r="D1387" i="5"/>
  <c r="E1387" i="5" s="1"/>
  <c r="H1384" i="8"/>
  <c r="D1386" i="5"/>
  <c r="E1386" i="5" s="1"/>
  <c r="H1383" i="8"/>
  <c r="D1385" i="5"/>
  <c r="E1385" i="5" s="1"/>
  <c r="H1382" i="8"/>
  <c r="D1384" i="5"/>
  <c r="E1384" i="5" s="1"/>
  <c r="H1381" i="8"/>
  <c r="H1380" i="8"/>
  <c r="M29" i="7"/>
  <c r="D1383" i="5"/>
  <c r="E1383" i="5" s="1"/>
  <c r="D1382" i="5"/>
  <c r="E1382" i="5" s="1"/>
  <c r="H17" i="6"/>
  <c r="J17" i="6" s="1"/>
  <c r="I17" i="6" s="1"/>
  <c r="K11" i="3"/>
  <c r="D1381" i="5"/>
  <c r="E1381" i="5" s="1"/>
  <c r="H1379" i="8"/>
  <c r="D1380" i="5"/>
  <c r="E1380" i="5" s="1"/>
  <c r="H1378" i="8"/>
  <c r="D1379" i="5"/>
  <c r="E1379" i="5" s="1"/>
  <c r="H1377" i="8"/>
  <c r="D1378" i="5"/>
  <c r="E1378" i="5" s="1"/>
  <c r="H18" i="6"/>
  <c r="J18" i="6" s="1"/>
  <c r="I18" i="6" s="1"/>
  <c r="K12" i="3"/>
  <c r="K14" i="3"/>
  <c r="D1377" i="5"/>
  <c r="E1377" i="5" s="1"/>
  <c r="H20" i="6"/>
  <c r="J20" i="6" s="1"/>
  <c r="I20" i="6" s="1"/>
  <c r="D1376" i="5"/>
  <c r="E1376" i="5" s="1"/>
  <c r="H19" i="6"/>
  <c r="J19" i="6" s="1"/>
  <c r="I19" i="6" s="1"/>
  <c r="K13" i="3"/>
  <c r="D1375" i="5"/>
  <c r="E1375" i="5" s="1"/>
  <c r="D1374" i="5"/>
  <c r="E1374" i="5" s="1"/>
  <c r="D1373" i="5"/>
  <c r="E1373" i="5" s="1"/>
  <c r="D1372" i="5"/>
  <c r="E1372" i="5" s="1"/>
  <c r="D1371" i="5"/>
  <c r="E1371" i="5" s="1"/>
  <c r="D1370" i="5"/>
  <c r="E1370" i="5" s="1"/>
  <c r="D1369" i="5"/>
  <c r="E1369" i="5" s="1"/>
  <c r="H22" i="6"/>
  <c r="J22" i="6" s="1"/>
  <c r="I22" i="6" s="1"/>
  <c r="H21" i="6"/>
  <c r="J21" i="6" s="1"/>
  <c r="I21" i="6" s="1"/>
  <c r="K16" i="3"/>
  <c r="K15" i="3"/>
  <c r="D1368" i="5"/>
  <c r="E1368" i="5" s="1"/>
  <c r="D1367" i="5"/>
  <c r="E1367" i="5" s="1"/>
  <c r="H25" i="6"/>
  <c r="J25" i="6" s="1"/>
  <c r="I25" i="6" s="1"/>
  <c r="H24" i="6"/>
  <c r="J24" i="6" s="1"/>
  <c r="I24" i="6" s="1"/>
  <c r="H23" i="6"/>
  <c r="J23" i="6" s="1"/>
  <c r="I23" i="6" s="1"/>
  <c r="K19" i="3"/>
  <c r="K18" i="3"/>
  <c r="K17"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H26" i="6"/>
  <c r="J26" i="6" s="1"/>
  <c r="I26" i="6" s="1"/>
  <c r="F11" i="2"/>
  <c r="F12" i="2"/>
  <c r="F13" i="2"/>
  <c r="F14" i="2"/>
  <c r="F15" i="2"/>
  <c r="F16" i="2"/>
  <c r="K20" i="3"/>
  <c r="K21" i="3"/>
  <c r="K22"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27" i="6"/>
  <c r="J27" i="6" s="1"/>
  <c r="I27" i="6" s="1"/>
  <c r="K23" i="3"/>
  <c r="D1341" i="5"/>
  <c r="E1341" i="5" s="1"/>
  <c r="D1342" i="5"/>
  <c r="E1342" i="5" s="1"/>
  <c r="D1340" i="5"/>
  <c r="E1340" i="5" s="1"/>
  <c r="D1339" i="5"/>
  <c r="E1339" i="5" s="1"/>
  <c r="H11" i="6"/>
  <c r="J11" i="6" s="1"/>
  <c r="H12" i="6"/>
  <c r="J12" i="6" s="1"/>
  <c r="I12" i="6" s="1"/>
  <c r="H13" i="6"/>
  <c r="J13" i="6" s="1"/>
  <c r="I13" i="6" s="1"/>
  <c r="H14" i="6"/>
  <c r="J14" i="6" s="1"/>
  <c r="I14" i="6" s="1"/>
  <c r="H15" i="6"/>
  <c r="J15" i="6" s="1"/>
  <c r="I15" i="6" s="1"/>
  <c r="H16" i="6"/>
  <c r="J16" i="6" s="1"/>
  <c r="I16" i="6" s="1"/>
  <c r="D1338" i="5"/>
  <c r="E1338" i="5" s="1"/>
  <c r="K28" i="3"/>
  <c r="H28" i="6"/>
  <c r="D1337" i="5"/>
  <c r="E1337" i="5" s="1"/>
  <c r="K24"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26" i="3"/>
  <c r="K27" i="3"/>
  <c r="K29" i="3"/>
  <c r="K30" i="3"/>
  <c r="K31" i="3"/>
  <c r="K32" i="3"/>
  <c r="K33" i="3"/>
  <c r="K34" i="3"/>
  <c r="K35" i="3"/>
  <c r="K36" i="3"/>
  <c r="K37" i="3"/>
  <c r="K38" i="3"/>
  <c r="K39" i="3"/>
  <c r="K40" i="3"/>
  <c r="K41" i="3"/>
  <c r="K42" i="3"/>
  <c r="K43" i="3"/>
  <c r="K44" i="3"/>
  <c r="K45" i="3"/>
  <c r="K4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11" i="6" l="1"/>
  <c r="G2" i="4"/>
  <c r="D2" i="4"/>
  <c r="F2" i="4" s="1"/>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<sst xmlns="http://schemas.openxmlformats.org/spreadsheetml/2006/main" count="2031" uniqueCount="896">
  <si>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</si>
  <si>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</si>
  <si>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</si>
  <si>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</si>
  <si>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</si>
  <si>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</si>
  <si>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</si>
  <si>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</si>
  <si>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</si>
  <si>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</si>
  <si>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</si>
  <si>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</si>
  <si>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</si>
  <si>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</si>
  <si>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</si>
  <si>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</si>
  <si>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</si>
  <si>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</si>
  <si>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</si>
  <si>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</si>
  <si>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</si>
  <si>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</si>
  <si>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</si>
  <si>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</si>
  <si>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</si>
  <si>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</si>
  <si>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</si>
  <si>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</si>
  <si>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</si>
  <si>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</si>
  <si>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</si>
  <si>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</si>
  <si>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</si>
  <si>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</si>
  <si>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</si>
  <si>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</si>
  <si>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</si>
  <si>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</si>
  <si>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</si>
  <si>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</si>
  <si>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</si>
  <si>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</si>
  <si>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</si>
  <si>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</si>
  <si>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</si>
  <si>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</si>
  <si>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</si>
  <si>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</si>
  <si>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</si>
  <si>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</si>
  <si>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</si>
  <si>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</si>
  <si>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</si>
  <si>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</si>
  <si>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</si>
  <si>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</si>
  <si>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</si>
  <si>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</si>
  <si>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</si>
  <si>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</si>
  <si>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</si>
  <si>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</si>
  <si>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</si>
  <si>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</si>
  <si>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</si>
  <si>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</si>
  <si>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</si>
  <si>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</si>
  <si>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</si>
  <si>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</si>
  <si>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</si>
  <si>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</si>
  <si>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</si>
  <si>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</si>
  <si>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</si>
  <si>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</si>
  <si>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</si>
  <si>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</si>
  <si>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</si>
  <si>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</si>
  <si>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</si>
  <si>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</si>
  <si>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</si>
  <si>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</si>
  <si>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</si>
  <si>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</si>
  <si>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</si>
  <si>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</si>
  <si>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</si>
  <si>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</si>
  <si>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</si>
  <si>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</si>
  <si>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</si>
  <si>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</si>
  <si>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</si>
  <si>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</si>
  <si>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</si>
  <si>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</si>
  <si>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</si>
  <si>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</si>
  <si>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</si>
  <si>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</si>
  <si>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</si>
  <si>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</si>
  <si>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</si>
  <si>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</si>
  <si>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</si>
  <si>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</si>
  <si>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</si>
  <si>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</si>
  <si>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</si>
  <si>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</si>
  <si>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</si>
  <si>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</si>
  <si>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</si>
  <si>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</si>
  <si>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</si>
  <si>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</si>
  <si>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</si>
  <si>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</si>
  <si>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</si>
  <si>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</si>
  <si>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</si>
  <si>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</si>
  <si>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</si>
  <si>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</si>
  <si>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</si>
  <si>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</si>
  <si>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</si>
  <si>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</si>
  <si>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</si>
  <si>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</si>
  <si>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</si>
  <si>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</si>
  <si>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</si>
  <si>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</si>
  <si>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</si>
  <si>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</si>
  <si>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</si>
  <si>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</si>
  <si>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</si>
  <si>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</si>
  <si>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</si>
  <si>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</si>
  <si>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</si>
  <si>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</si>
  <si>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</si>
  <si>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</si>
  <si>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</si>
  <si>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</si>
  <si>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</si>
  <si>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</si>
  <si>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</si>
  <si>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</si>
  <si>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</si>
  <si>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</si>
  <si>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</si>
  <si>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</si>
  <si>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</si>
  <si>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</si>
  <si>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</si>
  <si>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</si>
  <si>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</si>
  <si>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</si>
  <si>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</si>
  <si>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</si>
  <si>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</si>
  <si>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</si>
  <si>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</si>
  <si>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</si>
  <si>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</si>
  <si>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</si>
  <si>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</si>
  <si>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</si>
  <si>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</si>
  <si>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</si>
  <si>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</si>
  <si>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</si>
  <si>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</si>
  <si>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</si>
  <si>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</si>
  <si>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</si>
  <si>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</si>
  <si>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</si>
  <si>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</si>
  <si>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</si>
  <si>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</si>
  <si>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</si>
  <si>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</si>
  <si>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</si>
  <si>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</si>
  <si>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</si>
  <si>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</si>
  <si>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</si>
  <si>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</si>
  <si>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</si>
  <si>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</si>
  <si>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</si>
  <si>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</si>
  <si>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</si>
  <si>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</si>
  <si>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</si>
  <si>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</si>
  <si>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</si>
  <si>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</si>
  <si>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</si>
  <si>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</si>
  <si>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</si>
  <si>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</si>
  <si>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</si>
  <si>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</si>
  <si>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</si>
  <si>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</si>
  <si>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</si>
  <si>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</si>
  <si>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</si>
  <si>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</si>
  <si>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</si>
  <si>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</si>
  <si>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</si>
  <si>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</si>
  <si>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</si>
  <si>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</si>
  <si>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</si>
  <si>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</si>
  <si>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</si>
  <si>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</si>
  <si>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</si>
  <si>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</si>
  <si>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</si>
  <si>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</si>
  <si>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</si>
  <si>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</si>
  <si>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</si>
  <si>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</si>
  <si>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</si>
  <si>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</si>
  <si>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</si>
  <si>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</si>
  <si>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</si>
  <si>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</si>
  <si>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</si>
  <si>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</si>
  <si>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</si>
  <si>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</si>
  <si>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</si>
  <si>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</si>
  <si>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</si>
  <si>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</si>
  <si>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</si>
  <si>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</si>
  <si>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</si>
  <si>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</si>
  <si>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</si>
  <si>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</si>
  <si>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</si>
  <si>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</si>
  <si>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</si>
  <si>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</si>
  <si>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</si>
  <si>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</si>
  <si>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</si>
  <si>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</si>
  <si>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</si>
  <si>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</si>
  <si>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</si>
  <si>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</si>
  <si>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</si>
  <si>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</si>
  <si>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</si>
  <si>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</si>
  <si>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</si>
  <si>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</si>
  <si>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</si>
  <si>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</si>
  <si>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</si>
  <si>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</si>
  <si>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</si>
  <si>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</si>
  <si>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</si>
  <si>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</si>
  <si>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</si>
  <si>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</si>
  <si>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</si>
  <si>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</si>
  <si>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</si>
  <si>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</si>
  <si>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</si>
  <si>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</si>
  <si>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</si>
  <si>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</si>
  <si>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</si>
  <si>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</si>
  <si>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</si>
  <si>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</si>
  <si>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</si>
  <si>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</si>
  <si>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</si>
  <si>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</si>
  <si>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</si>
  <si>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</si>
  <si>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</si>
  <si>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</si>
  <si>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</si>
  <si>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</si>
  <si>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</si>
  <si>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</si>
  <si>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</si>
  <si>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</si>
  <si>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</si>
  <si>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</si>
  <si>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</si>
  <si>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</si>
  <si>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</si>
  <si>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</si>
  <si>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</si>
  <si>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</si>
  <si>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</si>
  <si>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</si>
  <si>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</si>
  <si>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</si>
  <si>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</si>
  <si>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</si>
  <si>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</si>
  <si>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</si>
  <si>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</si>
  <si>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</si>
  <si>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</si>
  <si>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</si>
  <si>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</si>
  <si>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</si>
  <si>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</si>
  <si>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</si>
  <si>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</si>
  <si>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</si>
  <si>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</si>
  <si>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</si>
  <si>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</si>
  <si>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</si>
  <si>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</si>
  <si>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</si>
  <si>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</si>
  <si>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</si>
  <si>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</si>
  <si>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</si>
  <si>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</si>
  <si>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</si>
  <si>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</si>
  <si>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</si>
  <si>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</si>
  <si>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</si>
  <si>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</si>
  <si>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</si>
  <si>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</si>
  <si>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</si>
  <si>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</si>
  <si>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</si>
  <si>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</si>
  <si>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</si>
  <si>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</si>
  <si>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</si>
  <si>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</si>
  <si>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</si>
  <si>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</si>
  <si>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</si>
  <si>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</si>
  <si>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</si>
  <si>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</si>
  <si>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</si>
  <si>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</si>
  <si>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</si>
  <si>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</si>
  <si>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</si>
  <si>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</si>
  <si>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</si>
  <si>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</si>
  <si>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</si>
  <si>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</si>
  <si>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</si>
  <si>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</si>
  <si>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</si>
  <si>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</si>
  <si>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</si>
  <si>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</si>
  <si>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</si>
  <si>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</si>
  <si>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</si>
  <si>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</si>
  <si>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</si>
  <si>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</si>
  <si>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</si>
  <si>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</si>
  <si>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</si>
  <si>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</si>
  <si>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</si>
  <si>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</si>
  <si>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</si>
  <si>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</si>
  <si>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</si>
  <si>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</si>
  <si>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</si>
  <si>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</si>
  <si>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</si>
  <si>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</si>
  <si>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</si>
  <si>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</si>
  <si>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</si>
  <si>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</si>
  <si>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</si>
  <si>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</si>
  <si>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</si>
  <si>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</si>
  <si>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</si>
  <si>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</si>
  <si>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</si>
  <si>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</si>
  <si>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</si>
  <si>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</si>
  <si>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</si>
  <si>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</si>
  <si>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</si>
  <si>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</si>
  <si>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</si>
  <si>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</si>
  <si>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</si>
  <si>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</si>
  <si>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</si>
  <si>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</si>
  <si>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</si>
  <si>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</si>
  <si>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</si>
  <si>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</si>
  <si>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</si>
  <si>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</si>
  <si>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</si>
  <si>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</si>
  <si>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</si>
  <si>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</si>
  <si>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</si>
  <si>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</si>
  <si>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</si>
  <si>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</si>
  <si>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</si>
  <si>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</si>
  <si>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</si>
  <si>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</si>
  <si>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</si>
  <si>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</si>
  <si>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</si>
  <si>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</si>
  <si>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</si>
  <si>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</si>
  <si>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</si>
  <si>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</si>
  <si>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</si>
  <si>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</si>
  <si>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</si>
  <si>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</si>
  <si>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</si>
  <si>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</si>
  <si>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</si>
  <si>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</si>
  <si>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</si>
  <si>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</si>
  <si>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</si>
  <si>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</si>
  <si>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</si>
  <si>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</si>
  <si>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</si>
  <si>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</si>
  <si>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</si>
  <si>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</si>
  <si>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</si>
  <si>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</si>
  <si>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</si>
  <si>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</si>
  <si>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</si>
  <si>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</si>
  <si>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</si>
  <si>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</si>
  <si>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</si>
  <si>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</si>
  <si>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</si>
  <si>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</si>
  <si>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</si>
  <si>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</si>
  <si>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</si>
  <si>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</si>
  <si>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</si>
  <si>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</si>
  <si>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</si>
  <si>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</si>
  <si>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</si>
  <si>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</si>
  <si>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</si>
  <si>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</si>
  <si>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</si>
  <si>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</si>
  <si>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</si>
  <si>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</si>
  <si>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</si>
  <si>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</si>
  <si>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</si>
  <si>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</si>
  <si>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</si>
  <si>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</si>
  <si>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</si>
  <si>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</si>
  <si>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</si>
  <si>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</si>
  <si>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</si>
  <si>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</si>
  <si>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</si>
  <si>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</si>
  <si>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</si>
  <si>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</si>
  <si>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</si>
  <si>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</si>
  <si>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</si>
  <si>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</si>
  <si>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</si>
  <si>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</si>
  <si>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</si>
  <si>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</si>
  <si>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</si>
  <si>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</si>
  <si>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</si>
  <si>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</si>
  <si>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</si>
  <si>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</si>
  <si>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</si>
  <si>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</si>
  <si>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</si>
  <si>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</si>
  <si>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</si>
  <si>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</si>
  <si>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</si>
  <si>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</si>
  <si>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</si>
  <si>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</si>
  <si>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</si>
  <si>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</si>
  <si>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</si>
  <si>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</si>
  <si>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</si>
  <si>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</si>
  <si>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</si>
  <si>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</si>
  <si>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</si>
  <si>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</si>
  <si>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</si>
  <si>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</si>
  <si>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</si>
  <si>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</si>
  <si>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</si>
  <si>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</si>
  <si>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</si>
  <si>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</si>
  <si>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</si>
  <si>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</si>
  <si>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</si>
  <si>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</si>
  <si>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</si>
  <si>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</si>
  <si>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</si>
  <si>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</si>
  <si>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</si>
  <si>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</si>
  <si>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</si>
  <si>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</si>
  <si>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</si>
  <si>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</si>
  <si>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</si>
  <si>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</si>
  <si>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</si>
  <si>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</si>
  <si>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</si>
  <si>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</si>
  <si>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</si>
  <si>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</si>
  <si>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</si>
  <si>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</si>
  <si>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</si>
  <si>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</si>
  <si>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</si>
  <si>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</si>
  <si>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</si>
  <si>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</si>
  <si>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</si>
  <si>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</si>
  <si>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</si>
  <si>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</si>
  <si>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</si>
  <si>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</si>
  <si>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</si>
  <si>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</si>
  <si>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</si>
  <si>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</si>
  <si>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</si>
  <si>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VNT</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</si>
  <si>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</si>
  <si>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</si>
  <si>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</si>
  <si>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</si>
  <si>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</si>
  <si>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</si>
  <si>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</si>
  <si>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</si>
  <si>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</si>
  <si>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</si>
  <si>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</si>
  <si>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</si>
  <si>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</si>
  <si>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</si>
  <si>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</si>
  <si>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</si>
  <si>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</si>
  <si>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</si>
  <si>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</si>
  <si>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</si>
  <si>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</si>
  <si>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</si>
  <si>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</si>
  <si>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</si>
  <si>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</si>
  <si>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</si>
  <si>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</si>
  <si>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</si>
  <si>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</si>
  <si>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</si>
  <si>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</si>
  <si>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</si>
  <si>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</si>
  <si>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</si>
  <si>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</si>
  <si>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</si>
  <si>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</si>
  <si>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</si>
  <si>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</si>
  <si>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</si>
  <si>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</si>
  <si>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</si>
  <si>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</si>
  <si>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</si>
  <si>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</si>
  <si>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</si>
  <si>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</si>
  <si>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</si>
  <si>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</si>
  <si>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</si>
  <si>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</si>
  <si>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</si>
  <si>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</si>
  <si>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</si>
  <si>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</si>
  <si>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</si>
  <si>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</si>
  <si>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</si>
  <si>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</si>
  <si>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</si>
  <si>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</si>
  <si>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</si>
  <si>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</si>
  <si>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</si>
  <si>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</si>
  <si>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</si>
  <si>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</si>
  <si>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</si>
  <si>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</si>
  <si>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</si>
  <si>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</si>
  <si>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</si>
  <si>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</si>
  <si>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</si>
  <si>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</si>
  <si>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</si>
  <si>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</si>
  <si>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</si>
  <si>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</si>
  <si>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</si>
  <si>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</si>
  <si>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</si>
  <si>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</si>
  <si>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</si>
  <si>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</si>
  <si>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</si>
  <si>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</si>
  <si>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</si>
  <si>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</si>
  <si>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</si>
  <si>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</si>
  <si>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</si>
  <si>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</si>
  <si>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</si>
  <si>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</si>
  <si>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</si>
  <si>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</si>
  <si>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</si>
  <si>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</si>
  <si>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</si>
  <si>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</si>
  <si>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</si>
  <si>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</si>
  <si>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</si>
  <si>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</si>
  <si>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</si>
  <si>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</si>
  <si>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</si>
  <si>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</si>
  <si>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</si>
  <si>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</si>
  <si>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</si>
  <si>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</si>
  <si>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</si>
  <si>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</si>
  <si>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</si>
  <si>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</si>
  <si>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</si>
  <si>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</si>
  <si>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</si>
  <si>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</si>
  <si>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</si>
  <si>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</si>
  <si>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</si>
  <si>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</si>
  <si>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</si>
  <si>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</si>
  <si>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</si>
  <si>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</si>
  <si>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</si>
  <si>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</si>
  <si>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</si>
  <si>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</si>
  <si>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</si>
  <si>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</si>
  <si>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</si>
  <si>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</si>
  <si>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</si>
  <si>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</si>
  <si>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</si>
  <si>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</si>
  <si>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</si>
  <si>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</si>
  <si>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</si>
  <si>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</si>
  <si>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</si>
  <si>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</si>
  <si>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</si>
  <si>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</si>
  <si>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</si>
  <si>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</si>
  <si>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</si>
  <si>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</si>
  <si>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</si>
  <si>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</si>
  <si>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</si>
  <si>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</si>
  <si>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</si>
  <si>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</si>
  <si>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</si>
  <si>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</si>
  <si>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</si>
  <si>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</si>
  <si>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</si>
  <si>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</si>
  <si>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</si>
  <si>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</si>
  <si>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</si>
  <si>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</si>
  <si>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</si>
  <si>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</si>
  <si>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</si>
  <si>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</si>
  <si>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</si>
  <si>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</si>
  <si>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</si>
  <si>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</si>
  <si>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</si>
  <si>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</si>
  <si>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</si>
  <si>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</si>
  <si>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</si>
  <si>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</si>
  <si>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</si>
  <si>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</si>
  <si>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</si>
  <si>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</si>
  <si>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</si>
  <si>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</si>
  <si>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</si>
  <si>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</si>
  <si>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</si>
  <si>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</si>
  <si>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</si>
  <si>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</si>
  <si>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</si>
  <si>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</si>
  <si>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</si>
  <si>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</si>
  <si>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</si>
  <si>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</si>
  <si>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</si>
  <si>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</si>
  <si>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</si>
  <si>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</si>
  <si>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</si>
  <si>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</si>
  <si>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</si>
  <si>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</si>
  <si>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</si>
  <si>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</si>
  <si>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</si>
  <si>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</si>
  <si>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</si>
  <si>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</si>
  <si>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LTR</t>
  </si>
  <si>
    <t>AAI</t>
  </si>
  <si>
    <t>DMP</t>
  </si>
  <si>
    <t>GGP</t>
  </si>
  <si>
    <t>MIN</t>
  </si>
  <si>
    <t>WAF</t>
  </si>
  <si>
    <t>EMR</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</si>
  <si>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</si>
  <si>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</si>
  <si>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</si>
  <si>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</si>
  <si>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</si>
  <si>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</si>
  <si>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</si>
  <si>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</si>
  <si>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</si>
  <si>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</si>
  <si>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</si>
  <si>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</si>
  <si>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</si>
  <si>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</si>
  <si>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</si>
  <si>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</si>
  <si>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</si>
  <si>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</si>
  <si>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</si>
  <si>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</si>
  <si>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</si>
  <si>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</si>
  <si>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</si>
  <si>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</si>
  <si>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</si>
  <si>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</si>
  <si>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</si>
  <si>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</si>
  <si>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</si>
  <si>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</si>
  <si>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</si>
  <si>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</si>
  <si>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</si>
  <si>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</si>
  <si>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</si>
  <si>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</si>
  <si>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</si>
  <si>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</si>
  <si>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</si>
  <si>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</si>
  <si>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</si>
  <si>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</si>
  <si>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</si>
  <si>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</si>
  <si>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</si>
  <si>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</si>
  <si>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</si>
  <si>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</si>
  <si>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</si>
  <si>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</si>
  <si>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</si>
  <si>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</si>
  <si>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</si>
  <si>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</si>
  <si>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</si>
  <si>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</si>
  <si>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</si>
  <si>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</si>
  <si>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</si>
  <si>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43.31694030761719</t>
  </si>
  <si>
    <t>13.109999656677246</t>
  </si>
  <si>
    <t>4.909999847412109</t>
  </si>
  <si>
    <t>3.240000009536743</t>
  </si>
  <si>
    <t>12.915535926818848</t>
  </si>
  <si>
    <t>2.4823849201202393</t>
  </si>
  <si>
    <t>2.9858739376068115</t>
  </si>
  <si>
    <t>3.3789565563201904</t>
  </si>
  <si>
    <t>4.730000019073486</t>
  </si>
  <si>
    <t>4.610000133514404</t>
  </si>
  <si>
    <t>0.6850000023841858</t>
  </si>
  <si>
    <t>23.459999084472656</t>
  </si>
  <si>
    <t>2.1050000190734863</t>
  </si>
  <si>
    <t>7.727819442749023</t>
  </si>
  <si>
    <t>6.184688568115234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</si>
</sst>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CCCCCC"/>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0" fillId="0" borderId="0" xfId="0" quotePrefix="1"/>
    <xf numFmtId="0" fontId="2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710</v>
      </c>
    </row>
    <row r="2" spans="1:2" x14ac:dyDescent="0.25">
      <c r="A2" t="s">
        <v>696</v>
      </c>
      <c r="B2" s="15" t="s">
        <v>697</v>
      </c>
    </row>
    <row r="3" spans="1:2" x14ac:dyDescent="0.25">
      <c r="A3" t="s">
        <v>698</v>
      </c>
      <c r="B3" s="15">
        <v>15</v>
      </c>
    </row>
    <row r="4" spans="1:2" x14ac:dyDescent="0.25">
      <c r="A4" t="s">
        <v>699</v>
      </c>
      <c r="B4" s="15" t="s">
        <v>700</v>
      </c>
    </row>
    <row r="5" spans="1:2" x14ac:dyDescent="0.25">
      <c r="A5" t="s">
        <v>701</v>
      </c>
      <c r="B5" s="15" t="s">
        <v>702</v>
      </c>
    </row>
    <row r="6" spans="1:2" x14ac:dyDescent="0.25">
      <c r="A6" t="s">
        <v>703</v>
      </c>
      <c r="B6" s="15" t="s">
        <v>704</v>
      </c>
    </row>
    <row r="7" spans="1:2" x14ac:dyDescent="0.25">
      <c r="A7" t="s">
        <v>705</v>
      </c>
      <c r="B7" s="15">
        <v>2.46</v>
      </c>
    </row>
    <row r="8" spans="1:2" x14ac:dyDescent="0.25">
      <c r="A8" t="s">
        <v>706</v>
      </c>
      <c r="B8" s="15" t="s">
        <v>707</v>
      </c>
    </row>
    <row r="9" spans="1:2" x14ac:dyDescent="0.25">
      <c r="A9" t="s">
        <v>708</v>
      </c>
      <c r="B9" s="15"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B29" sqref="B29"/>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692</v>
      </c>
      <c r="E1" s="1" t="s">
        <v>3</v>
      </c>
      <c r="F1" s="1" t="s">
        <v>750</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829</v>
      </c>
      <c r="B2" t="s">
        <v>815</v>
      </c>
      <c r="C2" t="s">
        <v>618</v>
      </c>
      <c r="D2" s="4">
        <v>2.15</v>
      </c>
      <c r="E2" s="4">
        <v>1.86</v>
      </c>
      <c r="F2">
        <f t="shared" ref="F2:F10" si="0">(E2/D2-1)*100</f>
        <v>-13.488372093023248</v>
      </c>
      <c r="G2" s="25" t="s">
        <v>891</v>
      </c>
      <c r="H2" s="4">
        <v>2.2599999999999998</v>
      </c>
      <c r="I2" s="4">
        <v>0.42</v>
      </c>
      <c r="J2" t="s">
        <v>774</v>
      </c>
      <c r="L2" t="s">
        <v>835</v>
      </c>
      <c r="N2" s="3">
        <v>0</v>
      </c>
      <c r="O2" t="s">
        <v>836</v>
      </c>
      <c r="Q2" t="s">
        <v>837</v>
      </c>
      <c r="R2" s="3">
        <v>1.4319999999999999</v>
      </c>
      <c r="S2" s="3">
        <v>4.0000000000000001E-3</v>
      </c>
      <c r="T2" t="s">
        <v>838</v>
      </c>
      <c r="U2" s="3">
        <v>-0.65</v>
      </c>
      <c r="X2" s="3">
        <v>-0.28599999999999998</v>
      </c>
    </row>
    <row r="3" spans="1:24" x14ac:dyDescent="0.25">
      <c r="A3" t="s">
        <v>830</v>
      </c>
      <c r="B3" t="s">
        <v>816</v>
      </c>
      <c r="C3" t="s">
        <v>618</v>
      </c>
      <c r="D3" s="4">
        <v>95.28</v>
      </c>
      <c r="E3" s="4">
        <v>84.27</v>
      </c>
      <c r="F3">
        <f t="shared" si="0"/>
        <v>-11.555415617128473</v>
      </c>
      <c r="G3" s="25" t="s">
        <v>881</v>
      </c>
      <c r="H3" s="4">
        <v>98.32</v>
      </c>
      <c r="I3" s="4">
        <v>35.96</v>
      </c>
      <c r="K3" s="3">
        <v>0</v>
      </c>
      <c r="L3" t="s">
        <v>839</v>
      </c>
      <c r="N3" s="3">
        <v>5.0000000000000001E-3</v>
      </c>
    </row>
    <row r="4" spans="1:24" x14ac:dyDescent="0.25">
      <c r="A4" t="s">
        <v>427</v>
      </c>
      <c r="B4" t="s">
        <v>817</v>
      </c>
      <c r="C4" t="s">
        <v>676</v>
      </c>
      <c r="D4" s="4">
        <v>23.97</v>
      </c>
      <c r="E4" s="4">
        <v>22.85</v>
      </c>
      <c r="F4">
        <f t="shared" si="0"/>
        <v>-4.6725073007926499</v>
      </c>
      <c r="G4" s="25" t="s">
        <v>882</v>
      </c>
      <c r="H4" s="4">
        <v>35.43</v>
      </c>
      <c r="I4" s="4">
        <v>13.11</v>
      </c>
      <c r="J4" t="s">
        <v>798</v>
      </c>
      <c r="K4" s="3">
        <v>0</v>
      </c>
      <c r="L4" t="s">
        <v>840</v>
      </c>
      <c r="N4" s="3">
        <v>3.4000000000000002E-2</v>
      </c>
      <c r="O4" t="s">
        <v>680</v>
      </c>
      <c r="P4" t="s">
        <v>841</v>
      </c>
      <c r="Q4" t="s">
        <v>842</v>
      </c>
      <c r="R4" s="3">
        <v>2.2360000000000002</v>
      </c>
      <c r="S4" s="3">
        <v>0.01</v>
      </c>
      <c r="T4" t="s">
        <v>843</v>
      </c>
      <c r="U4" s="3">
        <v>-2E-3</v>
      </c>
      <c r="V4" s="3">
        <v>5.0000000000000001E-3</v>
      </c>
      <c r="X4" s="3">
        <v>-6.0000000000000001E-3</v>
      </c>
    </row>
    <row r="5" spans="1:24" x14ac:dyDescent="0.25">
      <c r="A5" t="s">
        <v>831</v>
      </c>
      <c r="B5" t="s">
        <v>818</v>
      </c>
      <c r="C5" t="s">
        <v>618</v>
      </c>
      <c r="D5" s="4">
        <v>12.72</v>
      </c>
      <c r="E5" s="4">
        <v>13.15</v>
      </c>
      <c r="F5">
        <f t="shared" si="0"/>
        <v>3.380503144654079</v>
      </c>
      <c r="G5" s="25" t="s">
        <v>883</v>
      </c>
      <c r="H5" s="4">
        <v>14.43</v>
      </c>
      <c r="I5" s="4">
        <v>4.91</v>
      </c>
      <c r="J5" t="s">
        <v>844</v>
      </c>
      <c r="L5" t="s">
        <v>845</v>
      </c>
      <c r="M5" t="s">
        <v>846</v>
      </c>
      <c r="N5" s="3">
        <v>0</v>
      </c>
      <c r="O5" t="s">
        <v>847</v>
      </c>
      <c r="P5" t="s">
        <v>848</v>
      </c>
      <c r="Q5" t="s">
        <v>849</v>
      </c>
      <c r="R5" s="3">
        <v>2.4E-2</v>
      </c>
      <c r="S5" s="3">
        <v>2.5999999999999999E-2</v>
      </c>
      <c r="T5" t="s">
        <v>850</v>
      </c>
      <c r="U5" s="3">
        <v>0.35199999999999998</v>
      </c>
    </row>
    <row r="6" spans="1:24" x14ac:dyDescent="0.25">
      <c r="A6" t="s">
        <v>390</v>
      </c>
      <c r="B6" t="s">
        <v>819</v>
      </c>
      <c r="C6" t="s">
        <v>618</v>
      </c>
      <c r="D6" s="4">
        <v>59.78</v>
      </c>
      <c r="E6" s="4">
        <v>57.15</v>
      </c>
      <c r="F6">
        <f t="shared" si="0"/>
        <v>-4.399464703914358</v>
      </c>
      <c r="G6" s="25" t="s">
        <v>892</v>
      </c>
      <c r="H6" s="4">
        <v>65.790000000000006</v>
      </c>
      <c r="I6" s="4">
        <v>14.05</v>
      </c>
      <c r="J6" t="s">
        <v>779</v>
      </c>
      <c r="K6" s="3">
        <v>1</v>
      </c>
      <c r="L6" t="s">
        <v>851</v>
      </c>
      <c r="N6" s="3">
        <v>0</v>
      </c>
      <c r="O6" t="s">
        <v>852</v>
      </c>
      <c r="Q6" t="s">
        <v>853</v>
      </c>
      <c r="R6" s="3">
        <v>1.786</v>
      </c>
      <c r="S6" s="3">
        <v>1.0999999999999999E-2</v>
      </c>
      <c r="T6" t="s">
        <v>854</v>
      </c>
      <c r="U6" s="3">
        <v>-0.2</v>
      </c>
      <c r="V6" s="3">
        <v>9.4E-2</v>
      </c>
      <c r="X6" s="3">
        <v>-0.26700000000000002</v>
      </c>
    </row>
    <row r="7" spans="1:24" x14ac:dyDescent="0.25">
      <c r="A7" t="s">
        <v>832</v>
      </c>
      <c r="B7" t="s">
        <v>820</v>
      </c>
      <c r="C7" t="s">
        <v>618</v>
      </c>
      <c r="D7" s="4">
        <v>3.42</v>
      </c>
      <c r="E7" s="4">
        <v>3.69</v>
      </c>
      <c r="F7">
        <f t="shared" si="0"/>
        <v>7.8947368421052655</v>
      </c>
      <c r="G7" s="25" t="s">
        <v>893</v>
      </c>
      <c r="H7" s="4">
        <v>3.97</v>
      </c>
      <c r="I7" s="4">
        <v>1.375</v>
      </c>
      <c r="J7" t="s">
        <v>855</v>
      </c>
      <c r="L7" t="s">
        <v>856</v>
      </c>
      <c r="M7" t="s">
        <v>857</v>
      </c>
      <c r="N7" s="3">
        <v>0</v>
      </c>
      <c r="O7" t="s">
        <v>858</v>
      </c>
      <c r="Q7" t="s">
        <v>859</v>
      </c>
      <c r="R7" s="3">
        <v>0.29799999999999999</v>
      </c>
      <c r="S7" s="3">
        <v>1.7999999999999999E-2</v>
      </c>
      <c r="T7" t="s">
        <v>860</v>
      </c>
      <c r="U7" s="3">
        <v>0.42699999999999999</v>
      </c>
      <c r="V7" s="3">
        <v>8.0000000000000002E-3</v>
      </c>
      <c r="W7" s="3">
        <v>-2E-3</v>
      </c>
      <c r="X7" s="3">
        <v>0.27400000000000002</v>
      </c>
    </row>
    <row r="8" spans="1:24" x14ac:dyDescent="0.25">
      <c r="A8" t="s">
        <v>833</v>
      </c>
      <c r="B8" t="s">
        <v>821</v>
      </c>
      <c r="C8" t="s">
        <v>618</v>
      </c>
      <c r="D8" s="4">
        <v>6.84</v>
      </c>
      <c r="E8" s="4">
        <v>7.45</v>
      </c>
      <c r="F8">
        <f t="shared" si="0"/>
        <v>8.9181286549707686</v>
      </c>
      <c r="G8" s="25" t="s">
        <v>884</v>
      </c>
      <c r="H8" s="4">
        <v>8.11</v>
      </c>
      <c r="I8" s="4">
        <v>3.24</v>
      </c>
      <c r="J8" t="s">
        <v>861</v>
      </c>
      <c r="L8" t="s">
        <v>862</v>
      </c>
      <c r="M8" t="s">
        <v>863</v>
      </c>
      <c r="N8" s="3">
        <v>0</v>
      </c>
      <c r="O8" t="s">
        <v>864</v>
      </c>
      <c r="P8" t="s">
        <v>865</v>
      </c>
      <c r="Q8" t="s">
        <v>866</v>
      </c>
      <c r="R8" s="3">
        <v>3.3000000000000002E-2</v>
      </c>
      <c r="S8" s="3">
        <v>3.5999999999999997E-2</v>
      </c>
      <c r="T8" t="s">
        <v>867</v>
      </c>
      <c r="U8" s="3">
        <v>0.2</v>
      </c>
      <c r="V8" s="3">
        <v>0.28499999999999998</v>
      </c>
      <c r="W8" s="3">
        <v>0.16400000000000001</v>
      </c>
      <c r="X8" s="3">
        <v>0.14399999999999999</v>
      </c>
    </row>
    <row r="9" spans="1:24" x14ac:dyDescent="0.25">
      <c r="A9" t="s">
        <v>408</v>
      </c>
      <c r="B9" t="s">
        <v>822</v>
      </c>
      <c r="C9" t="s">
        <v>618</v>
      </c>
      <c r="D9" s="4">
        <v>20.07</v>
      </c>
      <c r="E9" s="4">
        <v>20.28</v>
      </c>
      <c r="F9">
        <f t="shared" si="0"/>
        <v>1.0463378176382765</v>
      </c>
      <c r="G9" s="25" t="s">
        <v>885</v>
      </c>
      <c r="H9" s="4">
        <v>20.84</v>
      </c>
      <c r="I9" s="4">
        <v>12.14</v>
      </c>
      <c r="J9" t="s">
        <v>868</v>
      </c>
      <c r="K9" s="3">
        <v>1</v>
      </c>
      <c r="L9" t="s">
        <v>869</v>
      </c>
      <c r="M9" t="s">
        <v>870</v>
      </c>
      <c r="N9" s="3">
        <v>1.0999999999999999E-2</v>
      </c>
      <c r="O9" t="s">
        <v>672</v>
      </c>
      <c r="P9" t="s">
        <v>871</v>
      </c>
      <c r="Q9" t="s">
        <v>872</v>
      </c>
      <c r="R9" s="3">
        <v>0.30499999999999999</v>
      </c>
      <c r="S9" s="3">
        <v>1.7000000000000001E-2</v>
      </c>
      <c r="T9" t="s">
        <v>873</v>
      </c>
      <c r="U9" s="3">
        <v>0</v>
      </c>
      <c r="V9" s="3">
        <v>-6.7000000000000004E-2</v>
      </c>
      <c r="W9" s="3">
        <v>-0.83899999999999997</v>
      </c>
      <c r="X9" s="3">
        <v>1E-3</v>
      </c>
    </row>
    <row r="10" spans="1:24" x14ac:dyDescent="0.25">
      <c r="A10" t="s">
        <v>834</v>
      </c>
      <c r="B10" t="s">
        <v>823</v>
      </c>
      <c r="C10" t="s">
        <v>618</v>
      </c>
      <c r="D10" s="4">
        <v>4.16</v>
      </c>
      <c r="E10" s="4">
        <v>4.62</v>
      </c>
      <c r="F10">
        <f t="shared" si="0"/>
        <v>11.057692307692314</v>
      </c>
      <c r="G10" s="25" t="s">
        <v>886</v>
      </c>
      <c r="H10" s="4">
        <v>4.7300000000000004</v>
      </c>
      <c r="I10" s="4">
        <v>2.4300000000000002</v>
      </c>
      <c r="J10" t="s">
        <v>874</v>
      </c>
      <c r="K10" s="3">
        <v>1</v>
      </c>
      <c r="L10" t="s">
        <v>875</v>
      </c>
      <c r="M10" t="s">
        <v>876</v>
      </c>
      <c r="N10" s="3">
        <v>0.02</v>
      </c>
      <c r="O10" t="s">
        <v>633</v>
      </c>
      <c r="P10" t="s">
        <v>877</v>
      </c>
      <c r="Q10" t="s">
        <v>878</v>
      </c>
      <c r="R10" s="3">
        <v>0.185</v>
      </c>
      <c r="S10" s="3">
        <v>2.4E-2</v>
      </c>
      <c r="T10" t="s">
        <v>879</v>
      </c>
      <c r="U10" s="3">
        <v>5.3999999999999999E-2</v>
      </c>
      <c r="V10" s="3">
        <v>-0.14599999999999999</v>
      </c>
      <c r="W10" s="3">
        <v>-0.502</v>
      </c>
      <c r="X10" s="3">
        <v>3.5999999999999997E-2</v>
      </c>
    </row>
    <row r="11" spans="1:24" x14ac:dyDescent="0.25">
      <c r="A11" t="s">
        <v>217</v>
      </c>
      <c r="B11" t="s">
        <v>595</v>
      </c>
      <c r="C11" t="s">
        <v>39</v>
      </c>
      <c r="D11">
        <v>3.06</v>
      </c>
      <c r="E11" s="4">
        <v>3.25</v>
      </c>
      <c r="F11">
        <f t="shared" ref="F11:F16" si="1">(E11/D11-1)*100</f>
        <v>6.2091503267973858</v>
      </c>
      <c r="G11" s="25" t="s">
        <v>887</v>
      </c>
      <c r="H11" s="4">
        <v>3.54</v>
      </c>
      <c r="I11" s="4">
        <v>2.68</v>
      </c>
      <c r="J11" t="s">
        <v>798</v>
      </c>
      <c r="K11" s="3">
        <v>0</v>
      </c>
      <c r="L11" t="s">
        <v>769</v>
      </c>
      <c r="M11" t="s">
        <v>713</v>
      </c>
      <c r="N11" s="3">
        <v>5.0999999999999997E-2</v>
      </c>
      <c r="O11" t="s">
        <v>808</v>
      </c>
      <c r="Q11" t="s">
        <v>714</v>
      </c>
      <c r="R11" s="3">
        <v>0.54600000000000004</v>
      </c>
      <c r="S11" s="3">
        <v>2E-3</v>
      </c>
      <c r="T11" t="s">
        <v>715</v>
      </c>
      <c r="U11" s="3">
        <v>0.56999999999999995</v>
      </c>
      <c r="V11" s="3">
        <v>4.7E-2</v>
      </c>
      <c r="W11" s="3">
        <v>-0.29499999999999998</v>
      </c>
      <c r="X11" s="3">
        <v>5.3999999999999999E-2</v>
      </c>
    </row>
    <row r="12" spans="1:24" x14ac:dyDescent="0.25">
      <c r="A12" t="s">
        <v>218</v>
      </c>
      <c r="B12" t="s">
        <v>596</v>
      </c>
      <c r="C12" t="s">
        <v>27</v>
      </c>
      <c r="D12">
        <v>7.17</v>
      </c>
      <c r="E12" s="4">
        <v>9.2100000000000009</v>
      </c>
      <c r="F12">
        <f t="shared" si="1"/>
        <v>28.451882845188294</v>
      </c>
      <c r="G12" s="25" t="s">
        <v>894</v>
      </c>
      <c r="H12" s="4">
        <v>9.6</v>
      </c>
      <c r="I12" s="4">
        <v>5.12</v>
      </c>
      <c r="J12" t="s">
        <v>809</v>
      </c>
      <c r="K12" s="3">
        <v>1</v>
      </c>
      <c r="L12" t="s">
        <v>219</v>
      </c>
      <c r="M12" t="s">
        <v>726</v>
      </c>
      <c r="N12" s="3">
        <v>3.2000000000000001E-2</v>
      </c>
      <c r="O12" t="s">
        <v>666</v>
      </c>
      <c r="P12" t="s">
        <v>810</v>
      </c>
      <c r="Q12" t="s">
        <v>727</v>
      </c>
      <c r="R12" s="3">
        <v>2.1389999999999998</v>
      </c>
      <c r="T12" t="s">
        <v>728</v>
      </c>
      <c r="U12" s="3">
        <v>7.5999999999999998E-2</v>
      </c>
      <c r="V12" s="3">
        <v>0.218</v>
      </c>
      <c r="W12" s="3">
        <v>-5.8999999999999997E-2</v>
      </c>
      <c r="X12" s="3">
        <v>0.05</v>
      </c>
    </row>
    <row r="13" spans="1:24" x14ac:dyDescent="0.25">
      <c r="A13" t="s">
        <v>694</v>
      </c>
      <c r="B13" t="s">
        <v>597</v>
      </c>
      <c r="C13" t="s">
        <v>39</v>
      </c>
      <c r="D13">
        <v>3.64</v>
      </c>
      <c r="E13" s="4">
        <v>3.74</v>
      </c>
      <c r="F13">
        <f t="shared" si="1"/>
        <v>2.7472527472527597</v>
      </c>
      <c r="G13" s="25" t="s">
        <v>888</v>
      </c>
      <c r="H13" s="4">
        <v>4.03</v>
      </c>
      <c r="I13" s="4">
        <v>3.13</v>
      </c>
      <c r="J13" t="s">
        <v>806</v>
      </c>
      <c r="K13" s="3">
        <v>0</v>
      </c>
      <c r="L13" t="s">
        <v>221</v>
      </c>
      <c r="M13" t="s">
        <v>716</v>
      </c>
      <c r="N13" s="3">
        <v>5.0999999999999997E-2</v>
      </c>
      <c r="O13" t="s">
        <v>811</v>
      </c>
      <c r="Q13" t="s">
        <v>717</v>
      </c>
      <c r="R13" s="3">
        <v>0.28499999999999998</v>
      </c>
      <c r="S13" s="3">
        <v>3.0000000000000001E-3</v>
      </c>
      <c r="T13" t="s">
        <v>718</v>
      </c>
      <c r="U13" s="3">
        <v>1.306</v>
      </c>
      <c r="V13" s="3">
        <v>9.8000000000000004E-2</v>
      </c>
      <c r="W13" s="3">
        <v>-0.21099999999999999</v>
      </c>
      <c r="X13" s="3">
        <v>9.6000000000000002E-2</v>
      </c>
    </row>
    <row r="14" spans="1:24" x14ac:dyDescent="0.25">
      <c r="A14" t="s">
        <v>222</v>
      </c>
      <c r="B14" t="s">
        <v>598</v>
      </c>
      <c r="C14" t="s">
        <v>23</v>
      </c>
      <c r="D14">
        <v>5.19</v>
      </c>
      <c r="E14" s="4">
        <v>4.97</v>
      </c>
      <c r="F14">
        <f t="shared" si="1"/>
        <v>-4.2389210019267987</v>
      </c>
      <c r="G14" s="25" t="s">
        <v>889</v>
      </c>
      <c r="H14" s="4">
        <v>5.33</v>
      </c>
      <c r="I14" s="4">
        <v>4.45</v>
      </c>
      <c r="J14" t="s">
        <v>812</v>
      </c>
      <c r="K14" s="3">
        <v>0</v>
      </c>
      <c r="L14" t="s">
        <v>52</v>
      </c>
      <c r="M14" t="s">
        <v>745</v>
      </c>
      <c r="N14" s="3">
        <v>8.1000000000000003E-2</v>
      </c>
      <c r="O14" t="s">
        <v>813</v>
      </c>
      <c r="Q14" t="s">
        <v>746</v>
      </c>
      <c r="R14" s="3">
        <v>0.27800000000000002</v>
      </c>
      <c r="S14" s="3">
        <v>2.4E-2</v>
      </c>
      <c r="T14" t="s">
        <v>53</v>
      </c>
      <c r="U14" s="3">
        <v>1.524</v>
      </c>
      <c r="V14" s="3">
        <v>0.13200000000000001</v>
      </c>
      <c r="W14" s="3">
        <v>0.06</v>
      </c>
      <c r="X14" s="3">
        <v>3.7999999999999999E-2</v>
      </c>
    </row>
    <row r="15" spans="1:24" x14ac:dyDescent="0.25">
      <c r="A15" t="s">
        <v>35</v>
      </c>
      <c r="B15" t="s">
        <v>599</v>
      </c>
      <c r="C15" t="s">
        <v>23</v>
      </c>
      <c r="D15">
        <v>4.34</v>
      </c>
      <c r="E15" s="4">
        <v>5.78</v>
      </c>
      <c r="F15">
        <f t="shared" si="1"/>
        <v>33.179723502304157</v>
      </c>
      <c r="G15" s="25" t="s">
        <v>890</v>
      </c>
      <c r="H15" s="4">
        <v>6.41</v>
      </c>
      <c r="I15" s="4">
        <v>3.5</v>
      </c>
      <c r="J15" t="s">
        <v>774</v>
      </c>
      <c r="K15" s="3">
        <v>0.9</v>
      </c>
      <c r="L15" t="s">
        <v>759</v>
      </c>
      <c r="M15" t="s">
        <v>732</v>
      </c>
      <c r="N15" s="3">
        <v>3.6999999999999998E-2</v>
      </c>
      <c r="O15" t="s">
        <v>782</v>
      </c>
      <c r="P15" t="s">
        <v>814</v>
      </c>
      <c r="Q15" t="s">
        <v>733</v>
      </c>
      <c r="R15" s="3">
        <v>1.5249999999999999</v>
      </c>
      <c r="S15" s="3">
        <v>0.01</v>
      </c>
      <c r="T15" t="s">
        <v>37</v>
      </c>
      <c r="U15" s="3">
        <v>4.2000000000000003E-2</v>
      </c>
      <c r="V15" s="3">
        <v>0.10299999999999999</v>
      </c>
      <c r="X15" s="3">
        <v>0.42899999999999999</v>
      </c>
    </row>
    <row r="16" spans="1:24" x14ac:dyDescent="0.25">
      <c r="A16" t="s">
        <v>21</v>
      </c>
      <c r="B16" t="s">
        <v>600</v>
      </c>
      <c r="C16" t="s">
        <v>23</v>
      </c>
      <c r="D16">
        <v>4.58</v>
      </c>
      <c r="E16" s="4">
        <v>8.0500000000000007</v>
      </c>
      <c r="F16">
        <f t="shared" si="1"/>
        <v>75.764192139738</v>
      </c>
      <c r="G16" s="25" t="s">
        <v>895</v>
      </c>
      <c r="H16" s="4">
        <v>8.19</v>
      </c>
      <c r="I16" s="4">
        <v>4.91</v>
      </c>
      <c r="J16" t="s">
        <v>802</v>
      </c>
      <c r="K16" s="3">
        <v>1</v>
      </c>
      <c r="L16" t="s">
        <v>799</v>
      </c>
      <c r="M16" t="s">
        <v>734</v>
      </c>
      <c r="N16" s="3">
        <v>3.1E-2</v>
      </c>
      <c r="O16" t="s">
        <v>672</v>
      </c>
      <c r="P16" t="s">
        <v>807</v>
      </c>
      <c r="Q16" t="s">
        <v>735</v>
      </c>
      <c r="R16" s="3">
        <v>0.68600000000000005</v>
      </c>
      <c r="S16" s="3">
        <v>8.9999999999999993E-3</v>
      </c>
      <c r="T16" t="s">
        <v>736</v>
      </c>
      <c r="U16" s="3">
        <v>1.4E-2</v>
      </c>
      <c r="V16" s="3">
        <v>-1.4E-2</v>
      </c>
      <c r="W16" s="3">
        <v>-3.0000000000000001E-3</v>
      </c>
      <c r="X16" s="3">
        <v>6.6000000000000003E-2</v>
      </c>
    </row>
    <row r="20" spans="8:12" x14ac:dyDescent="0.25">
      <c r="H20" s="4"/>
      <c r="I20" s="4"/>
    </row>
    <row r="25" spans="8:12" x14ac:dyDescent="0.25">
      <c r="L25" s="21"/>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3"/>
  <sheetViews>
    <sheetView topLeftCell="A9" zoomScale="90" zoomScaleNormal="90" workbookViewId="0">
      <selection activeCell="D46" sqref="D46"/>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692</v>
      </c>
      <c r="D1" s="1" t="s">
        <v>54</v>
      </c>
      <c r="E1" s="1" t="s">
        <v>55</v>
      </c>
      <c r="F1" s="1" t="s">
        <v>57</v>
      </c>
      <c r="G1" s="1" t="s">
        <v>58</v>
      </c>
      <c r="H1" s="1" t="s">
        <v>0</v>
      </c>
      <c r="I1" s="1" t="s">
        <v>2</v>
      </c>
      <c r="J1" s="1" t="s">
        <v>3</v>
      </c>
      <c r="K1" s="5" t="s">
        <v>693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46041</v>
      </c>
      <c r="B2" s="11" t="s">
        <v>113</v>
      </c>
      <c r="C2" s="4">
        <v>2.15</v>
      </c>
      <c r="D2" t="s">
        <v>611</v>
      </c>
      <c r="E2" t="s">
        <v>617</v>
      </c>
      <c r="F2" t="s">
        <v>612</v>
      </c>
      <c r="G2" t="s">
        <v>613</v>
      </c>
      <c r="H2" t="s">
        <v>829</v>
      </c>
      <c r="I2" t="s">
        <v>618</v>
      </c>
      <c r="J2" s="4">
        <v>1.86</v>
      </c>
      <c r="K2" s="11">
        <f t="shared" ref="K2:K10" si="0">(J2/C2-1)*100</f>
        <v>-13.488372093023248</v>
      </c>
      <c r="L2" s="4">
        <v>2.2599999999999998</v>
      </c>
      <c r="M2" s="4">
        <v>0.42</v>
      </c>
      <c r="N2" t="s">
        <v>774</v>
      </c>
      <c r="P2" t="s">
        <v>835</v>
      </c>
      <c r="R2" s="3">
        <v>0</v>
      </c>
      <c r="S2" t="s">
        <v>836</v>
      </c>
      <c r="U2" t="s">
        <v>837</v>
      </c>
      <c r="V2" s="3">
        <v>1.4319999999999999</v>
      </c>
      <c r="W2" s="3">
        <v>4.0000000000000001E-3</v>
      </c>
      <c r="X2" t="s">
        <v>838</v>
      </c>
      <c r="Y2" s="3">
        <v>-0.65</v>
      </c>
      <c r="AB2" s="3">
        <v>-0.28599999999999998</v>
      </c>
    </row>
    <row r="3" spans="1:28" x14ac:dyDescent="0.25">
      <c r="A3" s="19">
        <v>46041</v>
      </c>
      <c r="B3" s="11" t="s">
        <v>824</v>
      </c>
      <c r="C3" s="4">
        <v>95.28</v>
      </c>
      <c r="D3" t="s">
        <v>611</v>
      </c>
      <c r="E3" t="s">
        <v>617</v>
      </c>
      <c r="F3" t="s">
        <v>612</v>
      </c>
      <c r="G3" t="s">
        <v>613</v>
      </c>
      <c r="H3" t="s">
        <v>830</v>
      </c>
      <c r="I3" t="s">
        <v>618</v>
      </c>
      <c r="J3" s="4">
        <v>84.27</v>
      </c>
      <c r="K3" s="11">
        <f t="shared" si="0"/>
        <v>-11.555415617128473</v>
      </c>
      <c r="L3" s="4">
        <v>98.32</v>
      </c>
      <c r="M3" s="4">
        <v>35.96</v>
      </c>
      <c r="O3" s="3">
        <v>0</v>
      </c>
      <c r="P3" t="s">
        <v>839</v>
      </c>
      <c r="R3" s="3">
        <v>5.0000000000000001E-3</v>
      </c>
    </row>
    <row r="4" spans="1:28" x14ac:dyDescent="0.25">
      <c r="A4" s="19">
        <v>46041</v>
      </c>
      <c r="B4" s="11" t="s">
        <v>142</v>
      </c>
      <c r="C4" s="4">
        <v>23.97</v>
      </c>
      <c r="D4" t="s">
        <v>611</v>
      </c>
      <c r="E4" t="s">
        <v>617</v>
      </c>
      <c r="F4" t="s">
        <v>612</v>
      </c>
      <c r="G4" t="s">
        <v>613</v>
      </c>
      <c r="H4" t="s">
        <v>427</v>
      </c>
      <c r="I4" t="s">
        <v>676</v>
      </c>
      <c r="J4" s="4">
        <v>22.85</v>
      </c>
      <c r="K4" s="11">
        <f t="shared" si="0"/>
        <v>-4.6725073007926499</v>
      </c>
      <c r="L4" s="4">
        <v>35.43</v>
      </c>
      <c r="M4" s="4">
        <v>13.11</v>
      </c>
      <c r="N4" t="s">
        <v>798</v>
      </c>
      <c r="O4" s="3">
        <v>0</v>
      </c>
      <c r="P4" t="s">
        <v>840</v>
      </c>
      <c r="R4" s="3">
        <v>3.4000000000000002E-2</v>
      </c>
      <c r="S4" t="s">
        <v>680</v>
      </c>
      <c r="T4" t="s">
        <v>841</v>
      </c>
      <c r="U4" t="s">
        <v>842</v>
      </c>
      <c r="V4" s="3">
        <v>2.2360000000000002</v>
      </c>
      <c r="W4" s="3">
        <v>0.01</v>
      </c>
      <c r="X4" t="s">
        <v>843</v>
      </c>
      <c r="Y4" s="3">
        <v>-2E-3</v>
      </c>
      <c r="Z4" s="3">
        <v>5.0000000000000001E-3</v>
      </c>
      <c r="AB4" s="3">
        <v>-6.0000000000000001E-3</v>
      </c>
    </row>
    <row r="5" spans="1:28" x14ac:dyDescent="0.25">
      <c r="A5" s="19">
        <v>46041</v>
      </c>
      <c r="B5" s="11" t="s">
        <v>825</v>
      </c>
      <c r="C5" s="4">
        <v>12.72</v>
      </c>
      <c r="D5" t="s">
        <v>611</v>
      </c>
      <c r="E5" t="s">
        <v>617</v>
      </c>
      <c r="F5" t="s">
        <v>612</v>
      </c>
      <c r="G5" t="s">
        <v>613</v>
      </c>
      <c r="H5" t="s">
        <v>831</v>
      </c>
      <c r="I5" t="s">
        <v>618</v>
      </c>
      <c r="J5" s="4">
        <v>13.15</v>
      </c>
      <c r="K5" s="11">
        <f t="shared" si="0"/>
        <v>3.380503144654079</v>
      </c>
      <c r="L5" s="4">
        <v>14.43</v>
      </c>
      <c r="M5" s="4">
        <v>4.91</v>
      </c>
      <c r="N5" t="s">
        <v>844</v>
      </c>
      <c r="P5" t="s">
        <v>845</v>
      </c>
      <c r="Q5" t="s">
        <v>846</v>
      </c>
      <c r="R5" s="3">
        <v>0</v>
      </c>
      <c r="S5" t="s">
        <v>847</v>
      </c>
      <c r="T5" t="s">
        <v>848</v>
      </c>
      <c r="U5" t="s">
        <v>849</v>
      </c>
      <c r="V5" s="3">
        <v>2.4E-2</v>
      </c>
      <c r="W5" s="3">
        <v>2.5999999999999999E-2</v>
      </c>
      <c r="X5" t="s">
        <v>850</v>
      </c>
      <c r="Y5" s="3">
        <v>0.35199999999999998</v>
      </c>
    </row>
    <row r="6" spans="1:28" x14ac:dyDescent="0.25">
      <c r="A6" s="19">
        <v>46041</v>
      </c>
      <c r="B6" s="11" t="s">
        <v>116</v>
      </c>
      <c r="C6" s="4">
        <v>59.78</v>
      </c>
      <c r="D6" t="s">
        <v>611</v>
      </c>
      <c r="E6" t="s">
        <v>617</v>
      </c>
      <c r="F6" t="s">
        <v>612</v>
      </c>
      <c r="G6" t="s">
        <v>613</v>
      </c>
      <c r="H6" t="s">
        <v>390</v>
      </c>
      <c r="I6" t="s">
        <v>618</v>
      </c>
      <c r="J6" s="4">
        <v>57.15</v>
      </c>
      <c r="K6" s="11">
        <f t="shared" si="0"/>
        <v>-4.399464703914358</v>
      </c>
      <c r="L6" s="4">
        <v>65.790000000000006</v>
      </c>
      <c r="M6" s="4">
        <v>14.05</v>
      </c>
      <c r="N6" t="s">
        <v>779</v>
      </c>
      <c r="O6" s="3">
        <v>1</v>
      </c>
      <c r="P6" t="s">
        <v>851</v>
      </c>
      <c r="R6" s="3">
        <v>0</v>
      </c>
      <c r="S6" t="s">
        <v>852</v>
      </c>
      <c r="U6" t="s">
        <v>853</v>
      </c>
      <c r="V6" s="3">
        <v>1.786</v>
      </c>
      <c r="W6" s="3">
        <v>1.0999999999999999E-2</v>
      </c>
      <c r="X6" t="s">
        <v>854</v>
      </c>
      <c r="Y6" s="3">
        <v>-0.2</v>
      </c>
      <c r="Z6" s="3">
        <v>9.4E-2</v>
      </c>
      <c r="AB6" s="3">
        <v>-0.26700000000000002</v>
      </c>
    </row>
    <row r="7" spans="1:28" x14ac:dyDescent="0.25">
      <c r="A7" s="19">
        <v>46041</v>
      </c>
      <c r="B7" s="11" t="s">
        <v>826</v>
      </c>
      <c r="C7" s="4">
        <v>3.42</v>
      </c>
      <c r="D7" t="s">
        <v>611</v>
      </c>
      <c r="E7" t="s">
        <v>617</v>
      </c>
      <c r="F7" t="s">
        <v>612</v>
      </c>
      <c r="G7" t="s">
        <v>613</v>
      </c>
      <c r="H7" t="s">
        <v>832</v>
      </c>
      <c r="I7" t="s">
        <v>618</v>
      </c>
      <c r="J7" s="4">
        <v>3.69</v>
      </c>
      <c r="K7" s="11">
        <f t="shared" si="0"/>
        <v>7.8947368421052655</v>
      </c>
      <c r="L7" s="4">
        <v>3.97</v>
      </c>
      <c r="M7" s="4">
        <v>1.375</v>
      </c>
      <c r="N7" t="s">
        <v>855</v>
      </c>
      <c r="P7" t="s">
        <v>856</v>
      </c>
      <c r="Q7" t="s">
        <v>857</v>
      </c>
      <c r="R7" s="3">
        <v>0</v>
      </c>
      <c r="S7" t="s">
        <v>858</v>
      </c>
      <c r="U7" t="s">
        <v>859</v>
      </c>
      <c r="V7" s="3">
        <v>0.29799999999999999</v>
      </c>
      <c r="W7" s="3">
        <v>1.7999999999999999E-2</v>
      </c>
      <c r="X7" t="s">
        <v>860</v>
      </c>
      <c r="Y7" s="3">
        <v>0.42699999999999999</v>
      </c>
      <c r="Z7" s="3">
        <v>8.0000000000000002E-3</v>
      </c>
      <c r="AA7" s="3">
        <v>-2E-3</v>
      </c>
      <c r="AB7" s="3">
        <v>0.27400000000000002</v>
      </c>
    </row>
    <row r="8" spans="1:28" x14ac:dyDescent="0.25">
      <c r="A8" s="19">
        <v>46041</v>
      </c>
      <c r="B8" s="11" t="s">
        <v>827</v>
      </c>
      <c r="C8" s="4">
        <v>6.84</v>
      </c>
      <c r="D8" t="s">
        <v>611</v>
      </c>
      <c r="E8" t="s">
        <v>617</v>
      </c>
      <c r="F8" t="s">
        <v>612</v>
      </c>
      <c r="G8" t="s">
        <v>613</v>
      </c>
      <c r="H8" t="s">
        <v>833</v>
      </c>
      <c r="I8" t="s">
        <v>618</v>
      </c>
      <c r="J8" s="4">
        <v>7.45</v>
      </c>
      <c r="K8" s="11">
        <f t="shared" si="0"/>
        <v>8.9181286549707686</v>
      </c>
      <c r="L8" s="4">
        <v>8.11</v>
      </c>
      <c r="M8" s="4">
        <v>3.24</v>
      </c>
      <c r="N8" t="s">
        <v>861</v>
      </c>
      <c r="P8" t="s">
        <v>862</v>
      </c>
      <c r="Q8" t="s">
        <v>863</v>
      </c>
      <c r="R8" s="3">
        <v>0</v>
      </c>
      <c r="S8" t="s">
        <v>864</v>
      </c>
      <c r="T8" t="s">
        <v>865</v>
      </c>
      <c r="U8" t="s">
        <v>866</v>
      </c>
      <c r="V8" s="3">
        <v>3.3000000000000002E-2</v>
      </c>
      <c r="W8" s="3">
        <v>3.5999999999999997E-2</v>
      </c>
      <c r="X8" t="s">
        <v>867</v>
      </c>
      <c r="Y8" s="3">
        <v>0.2</v>
      </c>
      <c r="Z8" s="3">
        <v>0.28499999999999998</v>
      </c>
      <c r="AA8" s="3">
        <v>0.16400000000000001</v>
      </c>
      <c r="AB8" s="3">
        <v>0.14399999999999999</v>
      </c>
    </row>
    <row r="9" spans="1:28" x14ac:dyDescent="0.25">
      <c r="A9" s="19">
        <v>46041</v>
      </c>
      <c r="B9" s="11" t="s">
        <v>131</v>
      </c>
      <c r="C9" s="4">
        <v>20.07</v>
      </c>
      <c r="D9" t="s">
        <v>611</v>
      </c>
      <c r="E9" t="s">
        <v>617</v>
      </c>
      <c r="F9" t="s">
        <v>612</v>
      </c>
      <c r="G9" t="s">
        <v>613</v>
      </c>
      <c r="H9" t="s">
        <v>408</v>
      </c>
      <c r="I9" t="s">
        <v>618</v>
      </c>
      <c r="J9" s="4">
        <v>20.28</v>
      </c>
      <c r="K9" s="11">
        <f t="shared" si="0"/>
        <v>1.0463378176382765</v>
      </c>
      <c r="L9" s="4">
        <v>20.84</v>
      </c>
      <c r="M9" s="4">
        <v>12.14</v>
      </c>
      <c r="N9" t="s">
        <v>868</v>
      </c>
      <c r="O9" s="3">
        <v>1</v>
      </c>
      <c r="P9" t="s">
        <v>869</v>
      </c>
      <c r="Q9" t="s">
        <v>870</v>
      </c>
      <c r="R9" s="3">
        <v>1.0999999999999999E-2</v>
      </c>
      <c r="S9" t="s">
        <v>672</v>
      </c>
      <c r="T9" t="s">
        <v>871</v>
      </c>
      <c r="U9" t="s">
        <v>872</v>
      </c>
      <c r="V9" s="3">
        <v>0.30499999999999999</v>
      </c>
      <c r="W9" s="3">
        <v>1.7000000000000001E-2</v>
      </c>
      <c r="X9" t="s">
        <v>873</v>
      </c>
      <c r="Y9" s="3">
        <v>0</v>
      </c>
      <c r="Z9" s="3">
        <v>-6.7000000000000004E-2</v>
      </c>
      <c r="AA9" s="3">
        <v>-0.83899999999999997</v>
      </c>
      <c r="AB9" s="3">
        <v>1E-3</v>
      </c>
    </row>
    <row r="10" spans="1:28" x14ac:dyDescent="0.25">
      <c r="A10" s="19">
        <v>46041</v>
      </c>
      <c r="B10" s="11" t="s">
        <v>828</v>
      </c>
      <c r="C10" s="4">
        <v>4.16</v>
      </c>
      <c r="D10" t="s">
        <v>611</v>
      </c>
      <c r="E10" t="s">
        <v>617</v>
      </c>
      <c r="F10" t="s">
        <v>612</v>
      </c>
      <c r="G10" t="s">
        <v>613</v>
      </c>
      <c r="H10" t="s">
        <v>834</v>
      </c>
      <c r="I10" t="s">
        <v>618</v>
      </c>
      <c r="J10" s="4">
        <v>4.62</v>
      </c>
      <c r="K10" s="11">
        <f t="shared" si="0"/>
        <v>11.057692307692314</v>
      </c>
      <c r="L10" s="4">
        <v>4.7300000000000004</v>
      </c>
      <c r="M10" s="4">
        <v>2.4300000000000002</v>
      </c>
      <c r="N10" t="s">
        <v>874</v>
      </c>
      <c r="O10" s="3">
        <v>1</v>
      </c>
      <c r="P10" t="s">
        <v>875</v>
      </c>
      <c r="Q10" t="s">
        <v>876</v>
      </c>
      <c r="R10" s="3">
        <v>0.02</v>
      </c>
      <c r="S10" t="s">
        <v>633</v>
      </c>
      <c r="T10" t="s">
        <v>877</v>
      </c>
      <c r="U10" t="s">
        <v>878</v>
      </c>
      <c r="V10" s="3">
        <v>0.185</v>
      </c>
      <c r="W10" s="3">
        <v>2.4E-2</v>
      </c>
      <c r="X10" t="s">
        <v>879</v>
      </c>
      <c r="Y10" s="3">
        <v>5.3999999999999999E-2</v>
      </c>
      <c r="Z10" s="3">
        <v>-0.14599999999999999</v>
      </c>
      <c r="AA10" s="3">
        <v>-0.502</v>
      </c>
      <c r="AB10" s="3">
        <v>3.5999999999999997E-2</v>
      </c>
    </row>
    <row r="11" spans="1:28" x14ac:dyDescent="0.25">
      <c r="A11" s="19">
        <v>46020</v>
      </c>
      <c r="B11" s="11" t="s">
        <v>33</v>
      </c>
      <c r="C11" s="11">
        <v>12.96</v>
      </c>
      <c r="D11" s="11" t="s">
        <v>610</v>
      </c>
      <c r="E11" t="s">
        <v>616</v>
      </c>
      <c r="F11" s="11" t="s">
        <v>691</v>
      </c>
      <c r="G11" t="s">
        <v>614</v>
      </c>
      <c r="H11" t="s">
        <v>32</v>
      </c>
      <c r="I11" t="s">
        <v>34</v>
      </c>
      <c r="J11" s="4">
        <v>12.96</v>
      </c>
      <c r="K11" s="11">
        <f t="shared" ref="K11:K19" si="1">(J11/C11-1)*100</f>
        <v>0</v>
      </c>
      <c r="L11" s="4">
        <v>17.7</v>
      </c>
      <c r="M11" s="4">
        <v>10.65</v>
      </c>
      <c r="N11" t="s">
        <v>798</v>
      </c>
      <c r="O11" s="3">
        <v>1</v>
      </c>
      <c r="P11" t="s">
        <v>795</v>
      </c>
      <c r="Q11" t="s">
        <v>747</v>
      </c>
      <c r="R11" s="3">
        <v>2.9000000000000001E-2</v>
      </c>
      <c r="S11" t="s">
        <v>627</v>
      </c>
      <c r="T11" t="s">
        <v>805</v>
      </c>
      <c r="U11" t="s">
        <v>748</v>
      </c>
      <c r="V11" s="3">
        <v>1.3839999999999999</v>
      </c>
      <c r="W11" s="3">
        <v>3.0000000000000001E-3</v>
      </c>
      <c r="X11" t="s">
        <v>749</v>
      </c>
      <c r="Y11" s="3">
        <v>2.7E-2</v>
      </c>
      <c r="Z11" s="3">
        <v>0.128</v>
      </c>
      <c r="AA11" s="3">
        <v>-0.14799999999999999</v>
      </c>
      <c r="AB11" s="3">
        <v>3.5000000000000003E-2</v>
      </c>
    </row>
    <row r="12" spans="1:28" x14ac:dyDescent="0.25">
      <c r="A12" s="19">
        <v>46006</v>
      </c>
      <c r="B12" s="11" t="s">
        <v>87</v>
      </c>
      <c r="C12" s="4">
        <v>35.619999999999997</v>
      </c>
      <c r="D12" s="11" t="s">
        <v>610</v>
      </c>
      <c r="E12" t="s">
        <v>617</v>
      </c>
      <c r="F12" s="11" t="s">
        <v>691</v>
      </c>
      <c r="G12" t="s">
        <v>614</v>
      </c>
      <c r="H12" t="s">
        <v>765</v>
      </c>
      <c r="I12" t="s">
        <v>27</v>
      </c>
      <c r="J12" s="4">
        <v>35.619999999999997</v>
      </c>
      <c r="K12" s="11">
        <f t="shared" si="1"/>
        <v>0</v>
      </c>
      <c r="L12" s="4">
        <v>45.14</v>
      </c>
      <c r="M12" s="4">
        <v>30.88</v>
      </c>
      <c r="N12" t="s">
        <v>803</v>
      </c>
      <c r="O12" s="3">
        <v>1</v>
      </c>
      <c r="P12" t="s">
        <v>768</v>
      </c>
      <c r="Q12" t="s">
        <v>770</v>
      </c>
      <c r="R12" s="3">
        <v>2.9000000000000001E-2</v>
      </c>
      <c r="S12" t="s">
        <v>804</v>
      </c>
      <c r="U12" t="s">
        <v>771</v>
      </c>
      <c r="V12" s="3">
        <v>0.107</v>
      </c>
      <c r="W12" s="3">
        <v>1.2999999999999999E-2</v>
      </c>
      <c r="X12" t="s">
        <v>772</v>
      </c>
      <c r="Y12" s="3">
        <v>0.59099999999999997</v>
      </c>
      <c r="Z12" s="3">
        <v>-0.39500000000000002</v>
      </c>
      <c r="AB12" s="3">
        <v>0.04</v>
      </c>
    </row>
    <row r="13" spans="1:28" x14ac:dyDescent="0.25">
      <c r="A13" s="19">
        <v>45999</v>
      </c>
      <c r="B13" s="11" t="s">
        <v>41</v>
      </c>
      <c r="C13" s="11">
        <v>2.0299999999999998</v>
      </c>
      <c r="D13" s="11" t="s">
        <v>610</v>
      </c>
      <c r="E13" t="s">
        <v>617</v>
      </c>
      <c r="F13" s="11" t="s">
        <v>691</v>
      </c>
      <c r="G13" t="s">
        <v>614</v>
      </c>
      <c r="H13" t="s">
        <v>40</v>
      </c>
      <c r="I13" t="s">
        <v>39</v>
      </c>
      <c r="J13" s="4">
        <v>2.0299999999999998</v>
      </c>
      <c r="K13" s="11">
        <f t="shared" si="1"/>
        <v>0</v>
      </c>
      <c r="L13" s="4">
        <v>2.46</v>
      </c>
      <c r="M13" s="4">
        <v>1.7749999999999999</v>
      </c>
      <c r="N13" t="s">
        <v>796</v>
      </c>
      <c r="O13" s="3">
        <v>0</v>
      </c>
      <c r="P13" t="s">
        <v>42</v>
      </c>
      <c r="Q13" t="s">
        <v>729</v>
      </c>
      <c r="R13" s="3">
        <v>4.3999999999999997E-2</v>
      </c>
      <c r="S13" t="s">
        <v>786</v>
      </c>
      <c r="T13" t="s">
        <v>797</v>
      </c>
      <c r="U13" t="s">
        <v>730</v>
      </c>
      <c r="V13" s="3">
        <v>0.502</v>
      </c>
      <c r="W13" s="3">
        <v>0.01</v>
      </c>
      <c r="X13" t="s">
        <v>731</v>
      </c>
      <c r="Y13" s="3">
        <v>2.8000000000000001E-2</v>
      </c>
      <c r="Z13" s="3">
        <v>2.3E-2</v>
      </c>
      <c r="AA13" s="3">
        <v>-0.57799999999999996</v>
      </c>
      <c r="AB13" s="3">
        <v>7.0000000000000001E-3</v>
      </c>
    </row>
    <row r="14" spans="1:28" x14ac:dyDescent="0.25">
      <c r="A14" s="19">
        <v>45999</v>
      </c>
      <c r="B14" s="11" t="s">
        <v>26</v>
      </c>
      <c r="C14" s="11">
        <v>4.5</v>
      </c>
      <c r="D14" s="11" t="s">
        <v>610</v>
      </c>
      <c r="E14" t="s">
        <v>617</v>
      </c>
      <c r="F14" s="11" t="s">
        <v>691</v>
      </c>
      <c r="G14" t="s">
        <v>614</v>
      </c>
      <c r="H14" t="s">
        <v>25</v>
      </c>
      <c r="I14" t="s">
        <v>27</v>
      </c>
      <c r="J14" s="4">
        <v>4.5</v>
      </c>
      <c r="K14" s="11">
        <f t="shared" si="1"/>
        <v>0</v>
      </c>
      <c r="L14" s="4">
        <v>5.2</v>
      </c>
      <c r="M14" s="4">
        <v>3.57</v>
      </c>
      <c r="N14" t="s">
        <v>800</v>
      </c>
      <c r="O14" s="3">
        <v>1</v>
      </c>
      <c r="P14" t="s">
        <v>28</v>
      </c>
      <c r="Q14" t="s">
        <v>751</v>
      </c>
      <c r="R14" s="3">
        <v>0.04</v>
      </c>
      <c r="S14" t="s">
        <v>801</v>
      </c>
      <c r="U14" t="s">
        <v>752</v>
      </c>
      <c r="V14" s="3">
        <v>8.8999999999999996E-2</v>
      </c>
      <c r="X14" t="s">
        <v>753</v>
      </c>
      <c r="Y14" s="3">
        <v>6.2E-2</v>
      </c>
      <c r="Z14" s="3">
        <v>4.7E-2</v>
      </c>
      <c r="AA14" s="3">
        <v>8.3000000000000004E-2</v>
      </c>
      <c r="AB14" s="3">
        <v>0.216</v>
      </c>
    </row>
    <row r="15" spans="1:28" x14ac:dyDescent="0.25">
      <c r="A15" s="19">
        <v>45978</v>
      </c>
      <c r="B15" s="11" t="s">
        <v>94</v>
      </c>
      <c r="C15" s="11">
        <v>157.30000000000001</v>
      </c>
      <c r="D15" s="11" t="s">
        <v>610</v>
      </c>
      <c r="E15" t="s">
        <v>616</v>
      </c>
      <c r="F15" s="11" t="s">
        <v>691</v>
      </c>
      <c r="G15" t="s">
        <v>614</v>
      </c>
      <c r="H15" t="s">
        <v>214</v>
      </c>
      <c r="I15" t="s">
        <v>27</v>
      </c>
      <c r="J15" s="4">
        <v>157.30000000000001</v>
      </c>
      <c r="K15" s="11">
        <f t="shared" si="1"/>
        <v>0</v>
      </c>
      <c r="L15" s="4">
        <v>189.08</v>
      </c>
      <c r="M15" s="4">
        <v>138.08000000000001</v>
      </c>
      <c r="N15" t="s">
        <v>788</v>
      </c>
      <c r="O15" s="3">
        <v>1</v>
      </c>
      <c r="P15" t="s">
        <v>690</v>
      </c>
      <c r="Q15" t="s">
        <v>719</v>
      </c>
      <c r="R15" s="3">
        <v>3.1E-2</v>
      </c>
      <c r="S15" t="s">
        <v>789</v>
      </c>
      <c r="U15" t="s">
        <v>720</v>
      </c>
      <c r="V15" s="3">
        <v>2.758</v>
      </c>
      <c r="X15" t="s">
        <v>721</v>
      </c>
      <c r="Y15" s="3">
        <v>0.35399999999999998</v>
      </c>
      <c r="Z15" s="3">
        <v>0.38900000000000001</v>
      </c>
      <c r="AA15" s="3">
        <v>8.2000000000000003E-2</v>
      </c>
      <c r="AB15" s="3">
        <v>0.13300000000000001</v>
      </c>
    </row>
    <row r="16" spans="1:28" x14ac:dyDescent="0.25">
      <c r="A16" s="19">
        <v>45978</v>
      </c>
      <c r="B16" s="11" t="s">
        <v>79</v>
      </c>
      <c r="C16" s="11">
        <v>37.119999999999997</v>
      </c>
      <c r="D16" s="11" t="s">
        <v>610</v>
      </c>
      <c r="E16" t="s">
        <v>616</v>
      </c>
      <c r="F16" s="11" t="s">
        <v>691</v>
      </c>
      <c r="G16" t="s">
        <v>614</v>
      </c>
      <c r="H16" t="s">
        <v>372</v>
      </c>
      <c r="I16" t="s">
        <v>737</v>
      </c>
      <c r="J16" s="4">
        <v>37.119999999999997</v>
      </c>
      <c r="K16" s="11">
        <f t="shared" si="1"/>
        <v>0</v>
      </c>
      <c r="L16" s="4">
        <v>55.87</v>
      </c>
      <c r="M16" s="4">
        <v>14.93</v>
      </c>
      <c r="N16" t="s">
        <v>790</v>
      </c>
      <c r="P16" t="s">
        <v>738</v>
      </c>
      <c r="Q16" t="s">
        <v>791</v>
      </c>
      <c r="R16" s="3">
        <v>0</v>
      </c>
      <c r="S16" t="s">
        <v>792</v>
      </c>
      <c r="T16" t="s">
        <v>793</v>
      </c>
      <c r="U16" t="s">
        <v>794</v>
      </c>
      <c r="V16" s="3">
        <v>0.79200000000000004</v>
      </c>
      <c r="W16" s="3">
        <v>6.8000000000000005E-2</v>
      </c>
      <c r="X16" t="s">
        <v>741</v>
      </c>
      <c r="Y16" s="3">
        <v>6.5000000000000002E-2</v>
      </c>
      <c r="Z16" s="3">
        <v>0.48799999999999999</v>
      </c>
      <c r="AB16" s="3">
        <v>8.1000000000000003E-2</v>
      </c>
    </row>
    <row r="17" spans="1:28" x14ac:dyDescent="0.25">
      <c r="A17" s="19">
        <v>45971</v>
      </c>
      <c r="B17" s="11" t="s">
        <v>90</v>
      </c>
      <c r="C17">
        <v>3.37</v>
      </c>
      <c r="D17" s="11" t="s">
        <v>610</v>
      </c>
      <c r="E17" t="s">
        <v>616</v>
      </c>
      <c r="F17" s="11" t="s">
        <v>691</v>
      </c>
      <c r="G17" t="s">
        <v>614</v>
      </c>
      <c r="H17" t="s">
        <v>371</v>
      </c>
      <c r="I17" t="s">
        <v>27</v>
      </c>
      <c r="J17" s="4">
        <v>3.37</v>
      </c>
      <c r="K17" s="11">
        <f t="shared" si="1"/>
        <v>0</v>
      </c>
      <c r="L17" s="4">
        <v>4.93</v>
      </c>
      <c r="M17" s="4">
        <v>1.085</v>
      </c>
      <c r="N17" t="s">
        <v>783</v>
      </c>
      <c r="P17" t="s">
        <v>712</v>
      </c>
      <c r="Q17" t="s">
        <v>723</v>
      </c>
      <c r="R17" s="3">
        <v>0</v>
      </c>
      <c r="S17" t="s">
        <v>784</v>
      </c>
      <c r="U17" t="s">
        <v>724</v>
      </c>
      <c r="V17" s="3">
        <v>3.4159999999999999</v>
      </c>
      <c r="X17" t="s">
        <v>725</v>
      </c>
      <c r="Y17" s="3">
        <v>7.4999999999999997E-2</v>
      </c>
      <c r="Z17" s="3">
        <v>0.215</v>
      </c>
      <c r="AB17" s="3">
        <v>0.14399999999999999</v>
      </c>
    </row>
    <row r="18" spans="1:28" x14ac:dyDescent="0.25">
      <c r="A18" s="19">
        <v>45971</v>
      </c>
      <c r="B18" s="11" t="s">
        <v>762</v>
      </c>
      <c r="C18">
        <v>5.52</v>
      </c>
      <c r="D18" s="11" t="s">
        <v>610</v>
      </c>
      <c r="E18" t="s">
        <v>616</v>
      </c>
      <c r="F18" s="11" t="s">
        <v>691</v>
      </c>
      <c r="G18" t="s">
        <v>614</v>
      </c>
      <c r="H18" t="s">
        <v>763</v>
      </c>
      <c r="I18" t="s">
        <v>618</v>
      </c>
      <c r="J18" s="4">
        <v>5.52</v>
      </c>
      <c r="K18" s="11">
        <f t="shared" si="1"/>
        <v>0</v>
      </c>
      <c r="L18" s="4">
        <v>9.1999999999999993</v>
      </c>
      <c r="M18" s="4">
        <v>2.0699999999999998</v>
      </c>
      <c r="N18" t="s">
        <v>785</v>
      </c>
      <c r="P18" t="s">
        <v>764</v>
      </c>
      <c r="R18" s="3">
        <v>0</v>
      </c>
      <c r="U18" t="s">
        <v>766</v>
      </c>
      <c r="V18" s="3">
        <v>4.2999999999999997E-2</v>
      </c>
      <c r="W18" s="3">
        <v>7.0000000000000007E-2</v>
      </c>
      <c r="X18" t="s">
        <v>767</v>
      </c>
      <c r="Y18" s="3">
        <v>-5.8010000000000002</v>
      </c>
      <c r="AB18" s="3">
        <v>-0.49199999999999999</v>
      </c>
    </row>
    <row r="19" spans="1:28" x14ac:dyDescent="0.25">
      <c r="A19" s="19">
        <v>45971</v>
      </c>
      <c r="B19" s="11" t="s">
        <v>30</v>
      </c>
      <c r="C19">
        <v>5.27</v>
      </c>
      <c r="D19" s="11" t="s">
        <v>610</v>
      </c>
      <c r="E19" t="s">
        <v>616</v>
      </c>
      <c r="F19" s="11" t="s">
        <v>691</v>
      </c>
      <c r="G19" t="s">
        <v>614</v>
      </c>
      <c r="H19" t="s">
        <v>29</v>
      </c>
      <c r="I19" t="s">
        <v>27</v>
      </c>
      <c r="J19" s="4">
        <v>5.27</v>
      </c>
      <c r="K19" s="11">
        <f t="shared" si="1"/>
        <v>0</v>
      </c>
      <c r="L19" s="4">
        <v>6.66</v>
      </c>
      <c r="M19" s="4">
        <v>5.03</v>
      </c>
      <c r="N19" t="s">
        <v>619</v>
      </c>
      <c r="O19" s="3">
        <v>1</v>
      </c>
      <c r="P19" t="s">
        <v>773</v>
      </c>
      <c r="Q19" t="s">
        <v>754</v>
      </c>
      <c r="R19" s="3">
        <v>3.6999999999999998E-2</v>
      </c>
      <c r="S19" t="s">
        <v>786</v>
      </c>
      <c r="T19" t="s">
        <v>787</v>
      </c>
      <c r="U19" t="s">
        <v>755</v>
      </c>
      <c r="V19" s="3">
        <v>0.68</v>
      </c>
      <c r="W19" s="3">
        <v>1.4E-2</v>
      </c>
      <c r="X19" t="s">
        <v>756</v>
      </c>
      <c r="Y19" s="3">
        <v>0.21299999999999999</v>
      </c>
      <c r="Z19" s="3">
        <v>0.17299999999999999</v>
      </c>
      <c r="AA19" s="3">
        <v>0.193</v>
      </c>
      <c r="AB19" s="3">
        <v>0.14199999999999999</v>
      </c>
    </row>
    <row r="20" spans="1:28" x14ac:dyDescent="0.25">
      <c r="A20" s="19">
        <v>45929</v>
      </c>
      <c r="B20" s="11" t="s">
        <v>762</v>
      </c>
      <c r="C20" s="11">
        <v>7.7</v>
      </c>
      <c r="D20" s="11" t="s">
        <v>611</v>
      </c>
      <c r="E20" t="s">
        <v>617</v>
      </c>
      <c r="F20" t="s">
        <v>612</v>
      </c>
      <c r="G20" t="s">
        <v>613</v>
      </c>
      <c r="H20" t="s">
        <v>763</v>
      </c>
      <c r="I20" t="s">
        <v>618</v>
      </c>
      <c r="J20" s="4">
        <v>6.8</v>
      </c>
      <c r="K20" s="11">
        <f t="shared" ref="K20:K22" si="2">(J20/C20-1)*100</f>
        <v>-11.688311688311693</v>
      </c>
      <c r="L20" s="4">
        <v>9.1999999999999993</v>
      </c>
      <c r="M20" s="4">
        <v>2.0699999999999998</v>
      </c>
      <c r="N20" t="s">
        <v>776</v>
      </c>
      <c r="P20" t="s">
        <v>764</v>
      </c>
      <c r="R20" s="3">
        <v>0</v>
      </c>
      <c r="U20" t="s">
        <v>766</v>
      </c>
      <c r="V20" s="3">
        <v>4.2999999999999997E-2</v>
      </c>
      <c r="W20" s="3">
        <v>7.0000000000000007E-2</v>
      </c>
      <c r="X20" t="s">
        <v>767</v>
      </c>
      <c r="Y20" s="3">
        <v>-5.8010000000000002</v>
      </c>
      <c r="Z20" s="3">
        <v>3.7549999999999999</v>
      </c>
      <c r="AB20" s="3">
        <v>-0.49199999999999999</v>
      </c>
    </row>
    <row r="21" spans="1:28" x14ac:dyDescent="0.25">
      <c r="A21" s="19">
        <v>45929</v>
      </c>
      <c r="B21" s="11" t="s">
        <v>95</v>
      </c>
      <c r="C21" s="11">
        <v>26.79</v>
      </c>
      <c r="D21" s="11" t="s">
        <v>610</v>
      </c>
      <c r="E21" t="s">
        <v>617</v>
      </c>
      <c r="F21" s="11" t="s">
        <v>691</v>
      </c>
      <c r="G21" t="s">
        <v>613</v>
      </c>
      <c r="H21" t="s">
        <v>215</v>
      </c>
      <c r="I21" t="s">
        <v>44</v>
      </c>
      <c r="J21" s="4">
        <v>26.79</v>
      </c>
      <c r="K21" s="14">
        <f t="shared" si="2"/>
        <v>0</v>
      </c>
      <c r="L21" s="4">
        <v>33.229999999999997</v>
      </c>
      <c r="M21" s="4">
        <v>26.61</v>
      </c>
      <c r="N21" t="s">
        <v>760</v>
      </c>
      <c r="O21" s="3">
        <v>1</v>
      </c>
      <c r="P21" t="s">
        <v>216</v>
      </c>
      <c r="Q21" t="s">
        <v>742</v>
      </c>
      <c r="R21" s="3">
        <v>3.1E-2</v>
      </c>
      <c r="S21" t="s">
        <v>672</v>
      </c>
      <c r="T21" t="s">
        <v>761</v>
      </c>
      <c r="U21" t="s">
        <v>743</v>
      </c>
      <c r="V21" s="3">
        <v>3.577</v>
      </c>
      <c r="W21" s="3">
        <v>6.0000000000000001E-3</v>
      </c>
      <c r="X21" t="s">
        <v>744</v>
      </c>
      <c r="Y21" s="3">
        <v>1.4E-2</v>
      </c>
      <c r="Z21" s="3">
        <v>4.2999999999999997E-2</v>
      </c>
      <c r="AA21" s="3">
        <v>-0.14599999999999999</v>
      </c>
      <c r="AB21" s="3">
        <v>0.188</v>
      </c>
    </row>
    <row r="22" spans="1:28" x14ac:dyDescent="0.25">
      <c r="A22" s="19">
        <v>45894</v>
      </c>
      <c r="B22" s="11" t="s">
        <v>79</v>
      </c>
      <c r="C22" s="11">
        <v>45.06</v>
      </c>
      <c r="D22" s="11" t="s">
        <v>611</v>
      </c>
      <c r="E22" t="s">
        <v>617</v>
      </c>
      <c r="F22" t="s">
        <v>612</v>
      </c>
      <c r="G22" t="s">
        <v>613</v>
      </c>
      <c r="H22" t="s">
        <v>372</v>
      </c>
      <c r="I22" t="s">
        <v>737</v>
      </c>
      <c r="J22" s="4">
        <v>46.64</v>
      </c>
      <c r="K22" s="14">
        <f t="shared" si="2"/>
        <v>3.5064358632933779</v>
      </c>
      <c r="L22" s="4">
        <v>55.87</v>
      </c>
      <c r="M22" s="4">
        <v>14.93</v>
      </c>
      <c r="N22" t="s">
        <v>779</v>
      </c>
      <c r="P22" t="s">
        <v>738</v>
      </c>
      <c r="Q22" t="s">
        <v>739</v>
      </c>
      <c r="R22" s="3">
        <v>0</v>
      </c>
      <c r="S22" t="s">
        <v>780</v>
      </c>
      <c r="T22" t="s">
        <v>781</v>
      </c>
      <c r="U22" t="s">
        <v>740</v>
      </c>
      <c r="V22" s="3">
        <v>0.84399999999999997</v>
      </c>
      <c r="W22" s="3">
        <v>7.0999999999999994E-2</v>
      </c>
      <c r="X22" t="s">
        <v>741</v>
      </c>
      <c r="Y22" s="3">
        <v>6.5000000000000002E-2</v>
      </c>
      <c r="Z22" s="3">
        <v>0.48799999999999999</v>
      </c>
      <c r="AB22" s="3">
        <v>0.08</v>
      </c>
    </row>
    <row r="23" spans="1:28" x14ac:dyDescent="0.25">
      <c r="A23" s="19">
        <v>45894</v>
      </c>
      <c r="B23" t="s">
        <v>46</v>
      </c>
      <c r="C23" s="11">
        <v>2.83</v>
      </c>
      <c r="D23" s="11" t="s">
        <v>610</v>
      </c>
      <c r="E23" t="s">
        <v>617</v>
      </c>
      <c r="F23" s="11" t="s">
        <v>691</v>
      </c>
      <c r="G23" t="s">
        <v>613</v>
      </c>
      <c r="H23" t="s">
        <v>45</v>
      </c>
      <c r="I23" t="s">
        <v>44</v>
      </c>
      <c r="J23" s="11">
        <v>2.83</v>
      </c>
      <c r="K23" s="20">
        <f>(J23/C23-1)*100</f>
        <v>0</v>
      </c>
      <c r="L23" s="4">
        <v>3.9</v>
      </c>
      <c r="M23" s="4">
        <v>2.72</v>
      </c>
      <c r="N23" t="s">
        <v>601</v>
      </c>
      <c r="O23" s="3">
        <v>1</v>
      </c>
      <c r="P23" t="s">
        <v>47</v>
      </c>
      <c r="Q23" t="s">
        <v>48</v>
      </c>
      <c r="R23" s="3">
        <v>5.3999999999999999E-2</v>
      </c>
      <c r="S23" t="s">
        <v>24</v>
      </c>
      <c r="T23" t="s">
        <v>722</v>
      </c>
      <c r="U23" t="s">
        <v>49</v>
      </c>
      <c r="V23" s="3">
        <v>6.4219999999999997</v>
      </c>
      <c r="W23" s="3">
        <v>1.2999999999999999E-2</v>
      </c>
      <c r="X23" t="s">
        <v>50</v>
      </c>
      <c r="Y23" s="3">
        <v>2.8000000000000001E-2</v>
      </c>
      <c r="Z23" s="3">
        <v>6.9000000000000006E-2</v>
      </c>
      <c r="AA23" s="3">
        <v>6.7000000000000004E-2</v>
      </c>
      <c r="AB23" s="3">
        <v>0.38600000000000001</v>
      </c>
    </row>
    <row r="24" spans="1:28" x14ac:dyDescent="0.25">
      <c r="A24" s="19">
        <v>45879</v>
      </c>
      <c r="B24" s="11" t="s">
        <v>90</v>
      </c>
      <c r="C24" s="11">
        <v>3.37</v>
      </c>
      <c r="D24" s="11" t="s">
        <v>611</v>
      </c>
      <c r="E24" t="s">
        <v>617</v>
      </c>
      <c r="F24" t="s">
        <v>612</v>
      </c>
      <c r="G24" t="s">
        <v>613</v>
      </c>
      <c r="H24" t="s">
        <v>371</v>
      </c>
      <c r="I24" t="s">
        <v>27</v>
      </c>
      <c r="J24" s="4">
        <v>3.87</v>
      </c>
      <c r="K24" s="6">
        <f>(J24/C24-1)*100</f>
        <v>14.836795252225521</v>
      </c>
      <c r="L24" s="4">
        <v>4.93</v>
      </c>
      <c r="M24" s="4">
        <v>1.085</v>
      </c>
      <c r="N24" t="s">
        <v>774</v>
      </c>
      <c r="P24" t="s">
        <v>712</v>
      </c>
      <c r="Q24" t="s">
        <v>723</v>
      </c>
      <c r="R24" s="3">
        <v>0</v>
      </c>
      <c r="S24" t="s">
        <v>775</v>
      </c>
      <c r="U24" t="s">
        <v>724</v>
      </c>
      <c r="V24" s="3">
        <v>3.4159999999999999</v>
      </c>
      <c r="X24" t="s">
        <v>725</v>
      </c>
      <c r="Y24" s="3">
        <v>7.4999999999999997E-2</v>
      </c>
      <c r="Z24" s="3">
        <v>0.215</v>
      </c>
      <c r="AB24" s="3">
        <v>0.14399999999999999</v>
      </c>
    </row>
    <row r="25" spans="1:28" x14ac:dyDescent="0.25">
      <c r="A25" s="12">
        <v>45872</v>
      </c>
      <c r="B25" t="s">
        <v>93</v>
      </c>
      <c r="C25" s="11">
        <v>1.7050000000000001</v>
      </c>
      <c r="D25" s="11" t="s">
        <v>610</v>
      </c>
      <c r="E25" t="s">
        <v>617</v>
      </c>
      <c r="F25" s="10" t="s">
        <v>691</v>
      </c>
      <c r="G25" t="s">
        <v>613</v>
      </c>
      <c r="H25" t="s">
        <v>209</v>
      </c>
      <c r="I25" t="s">
        <v>210</v>
      </c>
      <c r="J25" s="13">
        <v>1.7050000000000001</v>
      </c>
      <c r="K25" s="14">
        <v>0</v>
      </c>
      <c r="L25" s="4">
        <v>4.75</v>
      </c>
      <c r="M25" s="4">
        <v>1.68</v>
      </c>
      <c r="N25" t="s">
        <v>695</v>
      </c>
      <c r="P25" t="s">
        <v>211</v>
      </c>
      <c r="R25" s="3">
        <v>0</v>
      </c>
      <c r="U25" t="s">
        <v>212</v>
      </c>
      <c r="V25" s="3">
        <v>1E-3</v>
      </c>
      <c r="W25" s="3">
        <v>0.13900000000000001</v>
      </c>
      <c r="X25" t="s">
        <v>213</v>
      </c>
      <c r="Y25" s="3">
        <v>-0.47199999999999998</v>
      </c>
      <c r="AA25" s="3">
        <v>2.157</v>
      </c>
      <c r="AB25" s="3">
        <v>-4.4999999999999998E-2</v>
      </c>
    </row>
    <row r="26" spans="1:28" x14ac:dyDescent="0.25">
      <c r="A26" s="2">
        <v>45786</v>
      </c>
      <c r="B26" t="s">
        <v>93</v>
      </c>
      <c r="C26">
        <v>3.58</v>
      </c>
      <c r="D26" t="s">
        <v>611</v>
      </c>
      <c r="E26" t="s">
        <v>617</v>
      </c>
      <c r="F26" t="s">
        <v>612</v>
      </c>
      <c r="G26" t="s">
        <v>613</v>
      </c>
      <c r="H26" t="s">
        <v>209</v>
      </c>
      <c r="I26" t="s">
        <v>210</v>
      </c>
      <c r="J26" s="4">
        <v>1.71</v>
      </c>
      <c r="K26" s="6">
        <f t="shared" ref="K26:K46" si="3">(J26/C26-1)*100</f>
        <v>-52.234636871508378</v>
      </c>
      <c r="L26" s="4">
        <v>4.75</v>
      </c>
      <c r="M26" s="4">
        <v>1.68</v>
      </c>
      <c r="N26" t="s">
        <v>695</v>
      </c>
      <c r="P26" t="s">
        <v>211</v>
      </c>
      <c r="R26" s="3">
        <v>0</v>
      </c>
      <c r="U26" t="s">
        <v>212</v>
      </c>
      <c r="V26" s="3">
        <v>1E-3</v>
      </c>
      <c r="W26" s="3">
        <v>0.13900000000000001</v>
      </c>
      <c r="X26" t="s">
        <v>213</v>
      </c>
      <c r="Y26" s="3">
        <v>-0.47199999999999998</v>
      </c>
      <c r="AA26" s="3">
        <v>2.157</v>
      </c>
      <c r="AB26" s="3">
        <v>-4.4999999999999998E-2</v>
      </c>
    </row>
    <row r="27" spans="1:28" x14ac:dyDescent="0.25">
      <c r="A27" s="2">
        <v>45786</v>
      </c>
      <c r="B27" t="s">
        <v>94</v>
      </c>
      <c r="C27">
        <v>169.66</v>
      </c>
      <c r="D27" t="s">
        <v>611</v>
      </c>
      <c r="E27" t="s">
        <v>617</v>
      </c>
      <c r="F27" t="s">
        <v>612</v>
      </c>
      <c r="G27" t="s">
        <v>613</v>
      </c>
      <c r="H27" t="s">
        <v>214</v>
      </c>
      <c r="I27" t="s">
        <v>27</v>
      </c>
      <c r="J27" s="4">
        <v>175.91</v>
      </c>
      <c r="K27" s="6">
        <f t="shared" si="3"/>
        <v>3.683838264764816</v>
      </c>
      <c r="L27" s="4">
        <v>189.08</v>
      </c>
      <c r="M27" s="4">
        <v>138.08000000000001</v>
      </c>
      <c r="N27" t="s">
        <v>777</v>
      </c>
      <c r="O27" s="3">
        <v>1</v>
      </c>
      <c r="P27" t="s">
        <v>690</v>
      </c>
      <c r="Q27" t="s">
        <v>719</v>
      </c>
      <c r="R27" s="3">
        <v>2.8000000000000001E-2</v>
      </c>
      <c r="S27" t="s">
        <v>778</v>
      </c>
      <c r="U27" t="s">
        <v>720</v>
      </c>
      <c r="V27" s="3">
        <v>2.758</v>
      </c>
      <c r="X27" t="s">
        <v>721</v>
      </c>
      <c r="Y27" s="3">
        <v>0.35399999999999998</v>
      </c>
      <c r="Z27" s="3">
        <v>0.38900000000000001</v>
      </c>
      <c r="AA27" s="3">
        <v>8.2000000000000003E-2</v>
      </c>
      <c r="AB27" s="3">
        <v>0.13300000000000001</v>
      </c>
    </row>
    <row r="28" spans="1:28" x14ac:dyDescent="0.25">
      <c r="A28" s="2">
        <v>45786</v>
      </c>
      <c r="B28" t="s">
        <v>95</v>
      </c>
      <c r="C28">
        <v>32.68</v>
      </c>
      <c r="D28" t="s">
        <v>611</v>
      </c>
      <c r="E28" t="s">
        <v>617</v>
      </c>
      <c r="F28" t="s">
        <v>612</v>
      </c>
      <c r="G28" t="s">
        <v>613</v>
      </c>
      <c r="H28" t="s">
        <v>215</v>
      </c>
      <c r="I28" t="s">
        <v>44</v>
      </c>
      <c r="J28" s="4">
        <v>27.38</v>
      </c>
      <c r="K28" s="6">
        <f t="shared" si="3"/>
        <v>-16.217870257037948</v>
      </c>
      <c r="L28" s="4">
        <v>33.4</v>
      </c>
      <c r="M28" s="4">
        <v>27.08</v>
      </c>
      <c r="N28" t="s">
        <v>757</v>
      </c>
      <c r="O28" s="3">
        <v>1</v>
      </c>
      <c r="P28" t="s">
        <v>216</v>
      </c>
      <c r="Q28" t="s">
        <v>742</v>
      </c>
      <c r="R28" s="3">
        <v>3.1E-2</v>
      </c>
      <c r="S28" t="s">
        <v>672</v>
      </c>
      <c r="T28" t="s">
        <v>758</v>
      </c>
      <c r="U28" t="s">
        <v>743</v>
      </c>
      <c r="V28" s="3">
        <v>3.577</v>
      </c>
      <c r="W28" s="3">
        <v>6.0000000000000001E-3</v>
      </c>
      <c r="X28" t="s">
        <v>744</v>
      </c>
      <c r="Y28" s="3">
        <v>1.4E-2</v>
      </c>
      <c r="Z28" s="3">
        <v>4.2999999999999997E-2</v>
      </c>
      <c r="AA28" s="3">
        <v>-0.14599999999999999</v>
      </c>
      <c r="AB28" s="3">
        <v>0.188</v>
      </c>
    </row>
    <row r="29" spans="1:28" x14ac:dyDescent="0.25">
      <c r="A29" s="2">
        <v>45786</v>
      </c>
      <c r="B29" t="s">
        <v>96</v>
      </c>
      <c r="C29">
        <v>3.06</v>
      </c>
      <c r="D29" t="s">
        <v>611</v>
      </c>
      <c r="E29" t="s">
        <v>617</v>
      </c>
      <c r="F29" t="s">
        <v>612</v>
      </c>
      <c r="G29" t="s">
        <v>613</v>
      </c>
      <c r="H29" t="s">
        <v>217</v>
      </c>
      <c r="I29" t="s">
        <v>39</v>
      </c>
      <c r="J29" s="4">
        <v>3.25</v>
      </c>
      <c r="K29" s="6">
        <f t="shared" si="3"/>
        <v>6.2091503267973858</v>
      </c>
      <c r="L29" s="4">
        <v>3.54</v>
      </c>
      <c r="M29" s="4">
        <v>2.68</v>
      </c>
      <c r="N29" t="s">
        <v>798</v>
      </c>
      <c r="O29" s="3">
        <v>0</v>
      </c>
      <c r="P29" t="s">
        <v>769</v>
      </c>
      <c r="Q29" t="s">
        <v>713</v>
      </c>
      <c r="R29" s="3">
        <v>5.0999999999999997E-2</v>
      </c>
      <c r="S29" t="s">
        <v>808</v>
      </c>
      <c r="U29" t="s">
        <v>714</v>
      </c>
      <c r="V29" s="3">
        <v>0.54600000000000004</v>
      </c>
      <c r="W29" s="3">
        <v>2E-3</v>
      </c>
      <c r="X29" t="s">
        <v>715</v>
      </c>
      <c r="Y29" s="3">
        <v>0.56999999999999995</v>
      </c>
      <c r="Z29" s="3">
        <v>4.7E-2</v>
      </c>
      <c r="AA29" s="3">
        <v>-0.29499999999999998</v>
      </c>
      <c r="AB29" s="3">
        <v>5.3999999999999999E-2</v>
      </c>
    </row>
    <row r="30" spans="1:28" x14ac:dyDescent="0.25">
      <c r="A30" s="2">
        <v>45786</v>
      </c>
      <c r="B30" t="s">
        <v>97</v>
      </c>
      <c r="C30">
        <v>7.17</v>
      </c>
      <c r="D30" t="s">
        <v>611</v>
      </c>
      <c r="E30" t="s">
        <v>617</v>
      </c>
      <c r="F30" t="s">
        <v>612</v>
      </c>
      <c r="G30" t="s">
        <v>613</v>
      </c>
      <c r="H30" t="s">
        <v>218</v>
      </c>
      <c r="I30" t="s">
        <v>27</v>
      </c>
      <c r="J30" s="4">
        <v>9.2100000000000009</v>
      </c>
      <c r="K30" s="6">
        <f t="shared" si="3"/>
        <v>28.451882845188294</v>
      </c>
      <c r="L30" s="4">
        <v>9.6</v>
      </c>
      <c r="M30" s="4">
        <v>5.12</v>
      </c>
      <c r="N30" t="s">
        <v>809</v>
      </c>
      <c r="O30" s="3">
        <v>1</v>
      </c>
      <c r="P30" t="s">
        <v>219</v>
      </c>
      <c r="Q30" t="s">
        <v>726</v>
      </c>
      <c r="R30" s="3">
        <v>3.2000000000000001E-2</v>
      </c>
      <c r="S30" t="s">
        <v>666</v>
      </c>
      <c r="T30" t="s">
        <v>810</v>
      </c>
      <c r="U30" t="s">
        <v>727</v>
      </c>
      <c r="V30" s="3">
        <v>2.1389999999999998</v>
      </c>
      <c r="X30" t="s">
        <v>728</v>
      </c>
      <c r="Y30" s="3">
        <v>7.5999999999999998E-2</v>
      </c>
      <c r="Z30" s="3">
        <v>0.218</v>
      </c>
      <c r="AA30" s="3">
        <v>-5.8999999999999997E-2</v>
      </c>
      <c r="AB30" s="3">
        <v>0.05</v>
      </c>
    </row>
    <row r="31" spans="1:28" x14ac:dyDescent="0.25">
      <c r="A31" s="2">
        <v>45786</v>
      </c>
      <c r="B31" t="s">
        <v>98</v>
      </c>
      <c r="C31">
        <v>3.64</v>
      </c>
      <c r="D31" t="s">
        <v>611</v>
      </c>
      <c r="E31" t="s">
        <v>617</v>
      </c>
      <c r="F31" t="s">
        <v>612</v>
      </c>
      <c r="G31" t="s">
        <v>613</v>
      </c>
      <c r="H31" t="s">
        <v>694</v>
      </c>
      <c r="I31" t="s">
        <v>39</v>
      </c>
      <c r="J31" s="4">
        <v>3.74</v>
      </c>
      <c r="K31" s="6">
        <f t="shared" si="3"/>
        <v>2.7472527472527597</v>
      </c>
      <c r="L31" s="4">
        <v>4.03</v>
      </c>
      <c r="M31" s="4">
        <v>3.13</v>
      </c>
      <c r="N31" t="s">
        <v>806</v>
      </c>
      <c r="O31" s="3">
        <v>0</v>
      </c>
      <c r="P31" t="s">
        <v>221</v>
      </c>
      <c r="Q31" t="s">
        <v>716</v>
      </c>
      <c r="R31" s="3">
        <v>5.0999999999999997E-2</v>
      </c>
      <c r="S31" t="s">
        <v>811</v>
      </c>
      <c r="U31" t="s">
        <v>717</v>
      </c>
      <c r="V31" s="3">
        <v>0.28499999999999998</v>
      </c>
      <c r="W31" s="3">
        <v>3.0000000000000001E-3</v>
      </c>
      <c r="X31" t="s">
        <v>718</v>
      </c>
      <c r="Y31" s="3">
        <v>1.306</v>
      </c>
      <c r="Z31" s="3">
        <v>9.8000000000000004E-2</v>
      </c>
      <c r="AA31" s="3">
        <v>-0.21099999999999999</v>
      </c>
      <c r="AB31" s="3">
        <v>9.6000000000000002E-2</v>
      </c>
    </row>
    <row r="32" spans="1:28" x14ac:dyDescent="0.25">
      <c r="A32" s="2">
        <v>45786</v>
      </c>
      <c r="B32" t="s">
        <v>51</v>
      </c>
      <c r="C32">
        <v>5.19</v>
      </c>
      <c r="D32" t="s">
        <v>611</v>
      </c>
      <c r="E32" t="s">
        <v>617</v>
      </c>
      <c r="F32" t="s">
        <v>612</v>
      </c>
      <c r="G32" t="s">
        <v>613</v>
      </c>
      <c r="H32" t="s">
        <v>222</v>
      </c>
      <c r="I32" t="s">
        <v>23</v>
      </c>
      <c r="J32" s="4">
        <v>4.97</v>
      </c>
      <c r="K32" s="6">
        <f t="shared" si="3"/>
        <v>-4.2389210019267987</v>
      </c>
      <c r="L32" s="4">
        <v>5.33</v>
      </c>
      <c r="M32" s="4">
        <v>4.45</v>
      </c>
      <c r="N32" t="s">
        <v>812</v>
      </c>
      <c r="O32" s="3">
        <v>0</v>
      </c>
      <c r="P32" t="s">
        <v>52</v>
      </c>
      <c r="Q32" t="s">
        <v>745</v>
      </c>
      <c r="R32" s="3">
        <v>8.1000000000000003E-2</v>
      </c>
      <c r="S32" t="s">
        <v>813</v>
      </c>
      <c r="U32" t="s">
        <v>746</v>
      </c>
      <c r="V32" s="3">
        <v>0.27800000000000002</v>
      </c>
      <c r="W32" s="3">
        <v>2.4E-2</v>
      </c>
      <c r="X32" t="s">
        <v>53</v>
      </c>
      <c r="Y32" s="3">
        <v>1.524</v>
      </c>
      <c r="Z32" s="3">
        <v>0.13200000000000001</v>
      </c>
      <c r="AA32" s="3">
        <v>0.06</v>
      </c>
      <c r="AB32" s="3">
        <v>3.7999999999999999E-2</v>
      </c>
    </row>
    <row r="33" spans="1:28" x14ac:dyDescent="0.25">
      <c r="A33" s="2">
        <v>45786</v>
      </c>
      <c r="B33" t="s">
        <v>46</v>
      </c>
      <c r="C33">
        <v>3.5</v>
      </c>
      <c r="D33" t="s">
        <v>611</v>
      </c>
      <c r="E33" t="s">
        <v>617</v>
      </c>
      <c r="F33" t="s">
        <v>612</v>
      </c>
      <c r="G33" t="s">
        <v>613</v>
      </c>
      <c r="H33" t="s">
        <v>45</v>
      </c>
      <c r="I33" t="s">
        <v>44</v>
      </c>
      <c r="J33" s="4">
        <v>3.53</v>
      </c>
      <c r="K33" s="6">
        <f t="shared" si="3"/>
        <v>0.85714285714284522</v>
      </c>
      <c r="L33" s="4">
        <v>3.9</v>
      </c>
      <c r="M33" s="4">
        <v>2.72</v>
      </c>
      <c r="N33" t="s">
        <v>601</v>
      </c>
      <c r="O33" s="3">
        <v>1</v>
      </c>
      <c r="P33" t="s">
        <v>47</v>
      </c>
      <c r="Q33" t="s">
        <v>48</v>
      </c>
      <c r="R33" s="3">
        <v>5.3999999999999999E-2</v>
      </c>
      <c r="S33" t="s">
        <v>24</v>
      </c>
      <c r="T33" t="s">
        <v>722</v>
      </c>
      <c r="U33" t="s">
        <v>49</v>
      </c>
      <c r="V33" s="3">
        <v>6.4219999999999997</v>
      </c>
      <c r="W33" s="3">
        <v>1.2999999999999999E-2</v>
      </c>
      <c r="X33" t="s">
        <v>50</v>
      </c>
      <c r="Y33" s="3">
        <v>2.8000000000000001E-2</v>
      </c>
      <c r="Z33" s="3">
        <v>6.9000000000000006E-2</v>
      </c>
      <c r="AA33" s="3">
        <v>6.7000000000000004E-2</v>
      </c>
      <c r="AB33" s="3">
        <v>0.38600000000000001</v>
      </c>
    </row>
    <row r="34" spans="1:28" x14ac:dyDescent="0.25">
      <c r="A34" s="2">
        <v>45786</v>
      </c>
      <c r="B34" t="s">
        <v>41</v>
      </c>
      <c r="C34">
        <v>2.2999999999999998</v>
      </c>
      <c r="D34" t="s">
        <v>611</v>
      </c>
      <c r="E34" t="s">
        <v>617</v>
      </c>
      <c r="F34" t="s">
        <v>612</v>
      </c>
      <c r="G34" t="s">
        <v>613</v>
      </c>
      <c r="H34" t="s">
        <v>40</v>
      </c>
      <c r="I34" t="s">
        <v>39</v>
      </c>
      <c r="J34" s="4">
        <v>2.0299999999999998</v>
      </c>
      <c r="K34" s="6">
        <f t="shared" si="3"/>
        <v>-11.739130434782608</v>
      </c>
      <c r="L34" s="4">
        <v>2.46</v>
      </c>
      <c r="M34" s="4">
        <v>1.7749999999999999</v>
      </c>
      <c r="N34" t="s">
        <v>796</v>
      </c>
      <c r="O34" s="3">
        <v>0</v>
      </c>
      <c r="P34" t="s">
        <v>42</v>
      </c>
      <c r="Q34" t="s">
        <v>729</v>
      </c>
      <c r="R34" s="3">
        <v>4.3999999999999997E-2</v>
      </c>
      <c r="S34" t="s">
        <v>786</v>
      </c>
      <c r="T34" t="s">
        <v>797</v>
      </c>
      <c r="U34" t="s">
        <v>730</v>
      </c>
      <c r="V34" s="3">
        <v>0.502</v>
      </c>
      <c r="W34" s="3">
        <v>0.01</v>
      </c>
      <c r="X34" t="s">
        <v>731</v>
      </c>
      <c r="Y34" s="3">
        <v>2.8000000000000001E-2</v>
      </c>
      <c r="Z34" s="3">
        <v>2.3E-2</v>
      </c>
      <c r="AA34" s="3">
        <v>-0.57799999999999996</v>
      </c>
      <c r="AB34" s="3">
        <v>7.0000000000000001E-3</v>
      </c>
    </row>
    <row r="35" spans="1:28" x14ac:dyDescent="0.25">
      <c r="A35" s="2">
        <v>45786</v>
      </c>
      <c r="B35" t="s">
        <v>36</v>
      </c>
      <c r="C35">
        <v>4.34</v>
      </c>
      <c r="D35" t="s">
        <v>611</v>
      </c>
      <c r="E35" t="s">
        <v>617</v>
      </c>
      <c r="F35" t="s">
        <v>612</v>
      </c>
      <c r="G35" t="s">
        <v>613</v>
      </c>
      <c r="H35" t="s">
        <v>35</v>
      </c>
      <c r="I35" t="s">
        <v>23</v>
      </c>
      <c r="J35" s="4">
        <v>5.78</v>
      </c>
      <c r="K35" s="6">
        <f t="shared" si="3"/>
        <v>33.179723502304157</v>
      </c>
      <c r="L35" s="4">
        <v>6.41</v>
      </c>
      <c r="M35" s="4">
        <v>3.5</v>
      </c>
      <c r="N35" t="s">
        <v>774</v>
      </c>
      <c r="O35" s="3">
        <v>0.9</v>
      </c>
      <c r="P35" t="s">
        <v>759</v>
      </c>
      <c r="Q35" t="s">
        <v>732</v>
      </c>
      <c r="R35" s="3">
        <v>3.6999999999999998E-2</v>
      </c>
      <c r="S35" t="s">
        <v>782</v>
      </c>
      <c r="T35" t="s">
        <v>814</v>
      </c>
      <c r="U35" t="s">
        <v>733</v>
      </c>
      <c r="V35" s="3">
        <v>1.5249999999999999</v>
      </c>
      <c r="W35" s="3">
        <v>0.01</v>
      </c>
      <c r="X35" t="s">
        <v>37</v>
      </c>
      <c r="Y35" s="3">
        <v>4.2000000000000003E-2</v>
      </c>
      <c r="Z35" s="3">
        <v>0.10299999999999999</v>
      </c>
      <c r="AB35" s="3">
        <v>0.42899999999999999</v>
      </c>
    </row>
    <row r="36" spans="1:28" x14ac:dyDescent="0.25">
      <c r="A36" s="2">
        <v>45770</v>
      </c>
      <c r="B36" t="s">
        <v>239</v>
      </c>
      <c r="C36">
        <v>2.64</v>
      </c>
      <c r="D36" t="s">
        <v>610</v>
      </c>
      <c r="E36" t="s">
        <v>615</v>
      </c>
      <c r="F36" t="s">
        <v>691</v>
      </c>
      <c r="G36" t="s">
        <v>613</v>
      </c>
      <c r="H36" t="s">
        <v>360</v>
      </c>
      <c r="I36" t="s">
        <v>618</v>
      </c>
      <c r="J36" s="4">
        <v>2.46</v>
      </c>
      <c r="K36" s="6">
        <f t="shared" si="3"/>
        <v>-6.8181818181818237</v>
      </c>
      <c r="L36" s="4">
        <v>2.77</v>
      </c>
      <c r="M36" s="4">
        <v>0.98499999999999999</v>
      </c>
      <c r="N36" t="s">
        <v>619</v>
      </c>
      <c r="P36" t="s">
        <v>620</v>
      </c>
      <c r="R36" s="3">
        <v>0</v>
      </c>
      <c r="S36" t="s">
        <v>621</v>
      </c>
      <c r="U36" t="s">
        <v>622</v>
      </c>
      <c r="V36" s="3">
        <v>6.0000000000000001E-3</v>
      </c>
      <c r="W36" s="3">
        <v>0.33100000000000002</v>
      </c>
      <c r="X36" t="s">
        <v>623</v>
      </c>
      <c r="Y36" s="3">
        <v>-0.20899999999999999</v>
      </c>
      <c r="Z36" s="3">
        <v>2.7229999999999999</v>
      </c>
      <c r="AB36" s="3">
        <v>-7.0000000000000001E-3</v>
      </c>
    </row>
    <row r="37" spans="1:28" x14ac:dyDescent="0.25">
      <c r="A37" s="2">
        <v>45758</v>
      </c>
      <c r="B37" t="s">
        <v>99</v>
      </c>
      <c r="C37">
        <v>1.2450000000000001</v>
      </c>
      <c r="D37" t="s">
        <v>610</v>
      </c>
      <c r="E37" t="s">
        <v>616</v>
      </c>
      <c r="F37" t="s">
        <v>691</v>
      </c>
      <c r="G37" t="s">
        <v>614</v>
      </c>
      <c r="H37" t="s">
        <v>361</v>
      </c>
      <c r="I37" t="s">
        <v>210</v>
      </c>
      <c r="J37" s="4">
        <v>1.36</v>
      </c>
      <c r="K37" s="6">
        <f t="shared" si="3"/>
        <v>9.2369477911646634</v>
      </c>
      <c r="L37" s="4">
        <v>1.5149999999999999</v>
      </c>
      <c r="M37" s="4">
        <v>1.04</v>
      </c>
      <c r="N37" t="s">
        <v>624</v>
      </c>
      <c r="O37" s="3">
        <v>1</v>
      </c>
      <c r="P37" t="s">
        <v>625</v>
      </c>
      <c r="Q37" t="s">
        <v>626</v>
      </c>
      <c r="R37" s="3">
        <v>3.6999999999999998E-2</v>
      </c>
      <c r="S37" t="s">
        <v>627</v>
      </c>
      <c r="U37" t="s">
        <v>628</v>
      </c>
      <c r="V37" s="3">
        <v>0.19400000000000001</v>
      </c>
      <c r="W37" s="3">
        <v>8.0000000000000002E-3</v>
      </c>
      <c r="X37" t="s">
        <v>629</v>
      </c>
      <c r="Y37" s="3">
        <v>4.9000000000000002E-2</v>
      </c>
      <c r="Z37" s="3">
        <v>4.8000000000000001E-2</v>
      </c>
      <c r="AB37" s="3">
        <v>2.5999999999999999E-2</v>
      </c>
    </row>
    <row r="38" spans="1:28" x14ac:dyDescent="0.25">
      <c r="A38" s="2">
        <v>45758</v>
      </c>
      <c r="B38" t="s">
        <v>86</v>
      </c>
      <c r="C38">
        <v>45.15</v>
      </c>
      <c r="D38" t="s">
        <v>610</v>
      </c>
      <c r="E38" t="s">
        <v>616</v>
      </c>
      <c r="F38" t="s">
        <v>691</v>
      </c>
      <c r="G38" t="s">
        <v>614</v>
      </c>
      <c r="H38" t="s">
        <v>362</v>
      </c>
      <c r="I38" t="s">
        <v>23</v>
      </c>
      <c r="J38" s="4">
        <v>50.67</v>
      </c>
      <c r="K38" s="6">
        <f t="shared" si="3"/>
        <v>12.225913621262464</v>
      </c>
      <c r="L38" s="4">
        <v>55.65</v>
      </c>
      <c r="M38" s="4">
        <v>34.71</v>
      </c>
      <c r="N38" t="s">
        <v>630</v>
      </c>
      <c r="O38" s="3">
        <v>1</v>
      </c>
      <c r="P38" t="s">
        <v>631</v>
      </c>
      <c r="Q38" t="s">
        <v>632</v>
      </c>
      <c r="R38" s="3">
        <v>1.2E-2</v>
      </c>
      <c r="S38" t="s">
        <v>633</v>
      </c>
      <c r="U38" t="s">
        <v>634</v>
      </c>
      <c r="V38" s="3">
        <v>1.224</v>
      </c>
      <c r="W38" s="3">
        <v>0.02</v>
      </c>
      <c r="X38" t="s">
        <v>635</v>
      </c>
      <c r="Y38" s="3">
        <v>7.5999999999999998E-2</v>
      </c>
      <c r="Z38" s="3">
        <v>0.29899999999999999</v>
      </c>
      <c r="AA38" s="3">
        <v>-0.124</v>
      </c>
      <c r="AB38" s="3">
        <v>0.182</v>
      </c>
    </row>
    <row r="39" spans="1:28" x14ac:dyDescent="0.25">
      <c r="A39" s="2">
        <v>45737</v>
      </c>
      <c r="B39" t="s">
        <v>82</v>
      </c>
      <c r="C39">
        <v>37.54</v>
      </c>
      <c r="D39" t="s">
        <v>610</v>
      </c>
      <c r="E39" t="s">
        <v>616</v>
      </c>
      <c r="F39" t="s">
        <v>691</v>
      </c>
      <c r="G39" t="s">
        <v>614</v>
      </c>
      <c r="H39" t="s">
        <v>363</v>
      </c>
      <c r="I39" t="s">
        <v>23</v>
      </c>
      <c r="J39" s="4">
        <v>40.61</v>
      </c>
      <c r="K39" s="6">
        <f t="shared" si="3"/>
        <v>8.1779435269046417</v>
      </c>
      <c r="L39" s="4">
        <v>43.23</v>
      </c>
      <c r="M39" s="4">
        <v>24.42</v>
      </c>
      <c r="N39" t="s">
        <v>636</v>
      </c>
      <c r="O39" s="3">
        <v>0</v>
      </c>
      <c r="P39" t="s">
        <v>637</v>
      </c>
      <c r="Q39" t="s">
        <v>638</v>
      </c>
      <c r="R39" s="3">
        <v>2.1000000000000001E-2</v>
      </c>
      <c r="S39" t="s">
        <v>639</v>
      </c>
      <c r="T39" t="s">
        <v>640</v>
      </c>
      <c r="U39" t="s">
        <v>641</v>
      </c>
      <c r="V39" s="3">
        <v>0.90700000000000003</v>
      </c>
      <c r="W39" s="3">
        <v>1.4999999999999999E-2</v>
      </c>
      <c r="X39" t="s">
        <v>642</v>
      </c>
      <c r="Y39" s="3">
        <v>0.18</v>
      </c>
      <c r="Z39" s="3">
        <v>9.1999999999999998E-2</v>
      </c>
      <c r="AA39" s="3">
        <v>0.34499999999999997</v>
      </c>
      <c r="AB39" s="3">
        <v>0.27300000000000002</v>
      </c>
    </row>
    <row r="40" spans="1:28" x14ac:dyDescent="0.25">
      <c r="A40" s="2">
        <v>45730</v>
      </c>
      <c r="B40" t="s">
        <v>89</v>
      </c>
      <c r="C40">
        <v>18.73</v>
      </c>
      <c r="D40" t="s">
        <v>610</v>
      </c>
      <c r="E40" t="s">
        <v>616</v>
      </c>
      <c r="F40" t="s">
        <v>691</v>
      </c>
      <c r="G40" t="s">
        <v>614</v>
      </c>
      <c r="H40" t="s">
        <v>364</v>
      </c>
      <c r="I40" t="s">
        <v>27</v>
      </c>
      <c r="J40" s="4">
        <v>20.59</v>
      </c>
      <c r="K40" s="6">
        <f t="shared" si="3"/>
        <v>9.9305926321409554</v>
      </c>
      <c r="L40" s="4">
        <v>22.14</v>
      </c>
      <c r="M40" s="4">
        <v>15.01</v>
      </c>
      <c r="N40" t="s">
        <v>643</v>
      </c>
      <c r="O40" s="3">
        <v>1</v>
      </c>
      <c r="P40" t="s">
        <v>644</v>
      </c>
      <c r="Q40" t="s">
        <v>645</v>
      </c>
      <c r="R40" s="3">
        <v>4.1000000000000002E-2</v>
      </c>
      <c r="S40" t="s">
        <v>627</v>
      </c>
      <c r="T40" t="s">
        <v>646</v>
      </c>
      <c r="U40" t="s">
        <v>647</v>
      </c>
      <c r="V40" s="3">
        <v>0.17399999999999999</v>
      </c>
      <c r="X40" t="s">
        <v>648</v>
      </c>
      <c r="Y40" s="3">
        <v>0.09</v>
      </c>
      <c r="Z40" s="3">
        <v>-2.5000000000000001E-2</v>
      </c>
      <c r="AA40" s="3">
        <v>-3.5000000000000003E-2</v>
      </c>
      <c r="AB40" s="3">
        <v>8.5000000000000006E-2</v>
      </c>
    </row>
    <row r="41" spans="1:28" x14ac:dyDescent="0.25">
      <c r="A41" s="2">
        <v>45723</v>
      </c>
      <c r="B41" t="s">
        <v>84</v>
      </c>
      <c r="C41">
        <v>253.25</v>
      </c>
      <c r="D41" t="s">
        <v>610</v>
      </c>
      <c r="E41" t="s">
        <v>616</v>
      </c>
      <c r="F41" t="s">
        <v>691</v>
      </c>
      <c r="G41" t="s">
        <v>614</v>
      </c>
      <c r="H41" t="s">
        <v>365</v>
      </c>
      <c r="I41" t="s">
        <v>649</v>
      </c>
      <c r="J41" s="4">
        <v>317.69</v>
      </c>
      <c r="K41" s="6">
        <f t="shared" si="3"/>
        <v>25.44521224086871</v>
      </c>
      <c r="L41" s="4">
        <v>325</v>
      </c>
      <c r="M41" s="4">
        <v>120.92</v>
      </c>
      <c r="N41" t="s">
        <v>650</v>
      </c>
      <c r="O41" s="3">
        <v>1</v>
      </c>
      <c r="P41" t="s">
        <v>651</v>
      </c>
      <c r="Q41" t="s">
        <v>652</v>
      </c>
      <c r="R41" s="3">
        <v>1E-3</v>
      </c>
      <c r="S41" t="s">
        <v>653</v>
      </c>
      <c r="T41" t="s">
        <v>654</v>
      </c>
      <c r="U41" t="s">
        <v>655</v>
      </c>
      <c r="V41" s="3">
        <v>8.0000000000000002E-3</v>
      </c>
      <c r="W41" s="3">
        <v>7.0000000000000007E-2</v>
      </c>
      <c r="X41" t="s">
        <v>656</v>
      </c>
      <c r="Y41" s="3">
        <v>0.51500000000000001</v>
      </c>
      <c r="Z41" s="3">
        <v>0.34699999999999998</v>
      </c>
      <c r="AA41" s="3">
        <v>0.38900000000000001</v>
      </c>
      <c r="AB41" s="3">
        <v>0.51500000000000001</v>
      </c>
    </row>
    <row r="42" spans="1:28" x14ac:dyDescent="0.25">
      <c r="A42" s="2">
        <v>45723</v>
      </c>
      <c r="B42" t="s">
        <v>85</v>
      </c>
      <c r="C42">
        <v>22.85</v>
      </c>
      <c r="D42" t="s">
        <v>610</v>
      </c>
      <c r="E42" t="s">
        <v>616</v>
      </c>
      <c r="F42" t="s">
        <v>691</v>
      </c>
      <c r="G42" t="s">
        <v>614</v>
      </c>
      <c r="H42" t="s">
        <v>366</v>
      </c>
      <c r="I42" t="s">
        <v>27</v>
      </c>
      <c r="J42" s="4">
        <v>20.98</v>
      </c>
      <c r="K42" s="6">
        <f t="shared" si="3"/>
        <v>-8.1838074398249532</v>
      </c>
      <c r="L42" s="4">
        <v>26.68</v>
      </c>
      <c r="M42" s="4">
        <v>13.59</v>
      </c>
      <c r="N42" t="s">
        <v>657</v>
      </c>
      <c r="O42" s="3">
        <v>0.72</v>
      </c>
      <c r="P42" t="s">
        <v>658</v>
      </c>
      <c r="Q42" t="s">
        <v>609</v>
      </c>
      <c r="R42" s="3">
        <v>2.8000000000000001E-2</v>
      </c>
      <c r="S42" t="s">
        <v>659</v>
      </c>
      <c r="T42" t="s">
        <v>660</v>
      </c>
      <c r="U42" t="s">
        <v>661</v>
      </c>
      <c r="V42" s="3">
        <v>0.12</v>
      </c>
      <c r="W42" s="3">
        <v>4.2000000000000003E-2</v>
      </c>
      <c r="X42" t="s">
        <v>662</v>
      </c>
      <c r="Y42" s="3">
        <v>2.5649999999999999</v>
      </c>
      <c r="Z42" s="3">
        <v>0.14599999999999999</v>
      </c>
      <c r="AA42" s="3">
        <v>7.5999999999999998E-2</v>
      </c>
      <c r="AB42" s="3">
        <v>0.20200000000000001</v>
      </c>
    </row>
    <row r="43" spans="1:28" x14ac:dyDescent="0.25">
      <c r="A43" s="2">
        <v>45716</v>
      </c>
      <c r="B43" t="s">
        <v>83</v>
      </c>
      <c r="C43">
        <v>1.3049999999999999</v>
      </c>
      <c r="D43" t="s">
        <v>610</v>
      </c>
      <c r="E43" t="s">
        <v>616</v>
      </c>
      <c r="F43" t="s">
        <v>691</v>
      </c>
      <c r="G43" t="s">
        <v>614</v>
      </c>
      <c r="H43" t="s">
        <v>367</v>
      </c>
      <c r="I43" t="s">
        <v>649</v>
      </c>
      <c r="J43" s="4">
        <v>0.75</v>
      </c>
      <c r="K43" s="6">
        <f t="shared" si="3"/>
        <v>-42.528735632183903</v>
      </c>
      <c r="L43" s="4">
        <v>1.36</v>
      </c>
      <c r="M43" s="4">
        <v>0.69499999999999995</v>
      </c>
      <c r="N43" t="s">
        <v>663</v>
      </c>
      <c r="O43" s="3">
        <v>1</v>
      </c>
      <c r="P43" t="s">
        <v>664</v>
      </c>
      <c r="R43" s="3">
        <v>0</v>
      </c>
      <c r="S43" t="s">
        <v>665</v>
      </c>
      <c r="T43" t="s">
        <v>666</v>
      </c>
      <c r="U43" t="s">
        <v>667</v>
      </c>
      <c r="V43" s="3">
        <v>1.3620000000000001</v>
      </c>
      <c r="W43" s="3">
        <v>1.2999999999999999E-2</v>
      </c>
      <c r="X43" t="s">
        <v>668</v>
      </c>
      <c r="Y43" s="3">
        <v>-0.03</v>
      </c>
      <c r="Z43" s="3">
        <v>-2.8000000000000001E-2</v>
      </c>
      <c r="AB43" s="3">
        <v>-4.3999999999999997E-2</v>
      </c>
    </row>
    <row r="44" spans="1:28" x14ac:dyDescent="0.25">
      <c r="A44" s="2">
        <v>45716</v>
      </c>
      <c r="B44" t="s">
        <v>80</v>
      </c>
      <c r="C44">
        <v>10.56</v>
      </c>
      <c r="D44" t="s">
        <v>610</v>
      </c>
      <c r="E44" t="s">
        <v>616</v>
      </c>
      <c r="F44" t="s">
        <v>691</v>
      </c>
      <c r="G44" t="s">
        <v>614</v>
      </c>
      <c r="H44" t="s">
        <v>368</v>
      </c>
      <c r="I44" t="s">
        <v>669</v>
      </c>
      <c r="J44" s="4">
        <v>9.81</v>
      </c>
      <c r="K44" s="6">
        <f t="shared" si="3"/>
        <v>-7.1022727272727293</v>
      </c>
      <c r="L44" s="4">
        <v>11.94</v>
      </c>
      <c r="M44" s="4">
        <v>9.5399999999999991</v>
      </c>
      <c r="N44" t="s">
        <v>602</v>
      </c>
      <c r="O44" s="3">
        <v>1</v>
      </c>
      <c r="P44" t="s">
        <v>670</v>
      </c>
      <c r="Q44" t="s">
        <v>671</v>
      </c>
      <c r="R44" s="3">
        <v>5.8999999999999997E-2</v>
      </c>
      <c r="S44" t="s">
        <v>672</v>
      </c>
      <c r="T44" t="s">
        <v>673</v>
      </c>
      <c r="U44" t="s">
        <v>674</v>
      </c>
      <c r="V44" s="3">
        <v>0.53400000000000003</v>
      </c>
      <c r="W44" s="3">
        <v>8.9999999999999993E-3</v>
      </c>
      <c r="X44" t="s">
        <v>675</v>
      </c>
      <c r="Y44" s="3">
        <v>1.6E-2</v>
      </c>
      <c r="Z44" s="3">
        <v>7.4999999999999997E-2</v>
      </c>
      <c r="AB44" s="3">
        <v>4.2999999999999997E-2</v>
      </c>
    </row>
    <row r="45" spans="1:28" x14ac:dyDescent="0.25">
      <c r="A45" s="2">
        <v>45716</v>
      </c>
      <c r="B45" t="s">
        <v>88</v>
      </c>
      <c r="C45">
        <v>14</v>
      </c>
      <c r="D45" t="s">
        <v>610</v>
      </c>
      <c r="E45" t="s">
        <v>616</v>
      </c>
      <c r="F45" t="s">
        <v>691</v>
      </c>
      <c r="G45" t="s">
        <v>614</v>
      </c>
      <c r="H45" t="s">
        <v>369</v>
      </c>
      <c r="I45" t="s">
        <v>676</v>
      </c>
      <c r="J45" s="4">
        <v>15.27</v>
      </c>
      <c r="K45" s="6">
        <f t="shared" si="3"/>
        <v>9.0714285714285747</v>
      </c>
      <c r="L45" s="4">
        <v>17.97</v>
      </c>
      <c r="M45" s="4">
        <v>12.06</v>
      </c>
      <c r="N45" t="s">
        <v>677</v>
      </c>
      <c r="O45" s="3">
        <v>1</v>
      </c>
      <c r="P45" t="s">
        <v>678</v>
      </c>
      <c r="Q45" t="s">
        <v>679</v>
      </c>
      <c r="R45" s="3">
        <v>4.4999999999999998E-2</v>
      </c>
      <c r="S45" t="s">
        <v>680</v>
      </c>
      <c r="T45" t="s">
        <v>646</v>
      </c>
      <c r="U45" t="s">
        <v>681</v>
      </c>
      <c r="V45" s="3">
        <v>0.85599999999999998</v>
      </c>
      <c r="W45" s="3">
        <v>1.0999999999999999E-2</v>
      </c>
      <c r="X45" t="s">
        <v>682</v>
      </c>
      <c r="Y45" s="3">
        <v>5.7000000000000002E-2</v>
      </c>
      <c r="Z45" s="3">
        <v>0.04</v>
      </c>
      <c r="AA45" s="3">
        <v>-7.1999999999999995E-2</v>
      </c>
      <c r="AB45" s="3">
        <v>0.17100000000000001</v>
      </c>
    </row>
    <row r="46" spans="1:28" x14ac:dyDescent="0.25">
      <c r="A46" s="2">
        <v>45709</v>
      </c>
      <c r="B46" t="s">
        <v>81</v>
      </c>
      <c r="C46">
        <v>28.34</v>
      </c>
      <c r="D46" t="s">
        <v>610</v>
      </c>
      <c r="E46" t="s">
        <v>617</v>
      </c>
      <c r="F46" t="s">
        <v>691</v>
      </c>
      <c r="G46" t="s">
        <v>614</v>
      </c>
      <c r="H46" t="s">
        <v>370</v>
      </c>
      <c r="I46" t="s">
        <v>27</v>
      </c>
      <c r="J46" s="4">
        <v>33.99</v>
      </c>
      <c r="K46" s="6">
        <f t="shared" si="3"/>
        <v>19.936485532815816</v>
      </c>
      <c r="L46" s="4">
        <v>36.119999999999997</v>
      </c>
      <c r="M46" s="4">
        <v>27.21</v>
      </c>
      <c r="N46" t="s">
        <v>683</v>
      </c>
      <c r="O46" s="3">
        <v>1</v>
      </c>
      <c r="P46" t="s">
        <v>684</v>
      </c>
      <c r="Q46" t="s">
        <v>685</v>
      </c>
      <c r="R46" s="3">
        <v>2.5000000000000001E-2</v>
      </c>
      <c r="S46" t="s">
        <v>686</v>
      </c>
      <c r="T46" t="s">
        <v>687</v>
      </c>
      <c r="U46" t="s">
        <v>688</v>
      </c>
      <c r="V46" s="3">
        <v>0.56000000000000005</v>
      </c>
      <c r="W46" s="3">
        <v>0.01</v>
      </c>
      <c r="X46" t="s">
        <v>689</v>
      </c>
      <c r="Y46" s="3">
        <v>0.13400000000000001</v>
      </c>
      <c r="Z46" s="3">
        <v>0.47799999999999998</v>
      </c>
      <c r="AA46" s="3">
        <v>0.104</v>
      </c>
      <c r="AB46" s="3">
        <v>7.9000000000000001E-2</v>
      </c>
    </row>
    <row r="48" spans="1:28" x14ac:dyDescent="0.25">
      <c r="E48" s="2"/>
    </row>
    <row r="49" spans="3:21" x14ac:dyDescent="0.25">
      <c r="C49" s="4"/>
    </row>
    <row r="50" spans="3:21" x14ac:dyDescent="0.25">
      <c r="C50" s="4"/>
    </row>
    <row r="51" spans="3:21" x14ac:dyDescent="0.25">
      <c r="C51" s="4"/>
    </row>
    <row r="52" spans="3:21" x14ac:dyDescent="0.25">
      <c r="C52" s="4"/>
    </row>
    <row r="53" spans="3:21" x14ac:dyDescent="0.25">
      <c r="C53" s="4"/>
    </row>
    <row r="54" spans="3:21" x14ac:dyDescent="0.25">
      <c r="C54" s="4"/>
    </row>
    <row r="55" spans="3:21" x14ac:dyDescent="0.25">
      <c r="C55" s="4"/>
    </row>
    <row r="56" spans="3:21" x14ac:dyDescent="0.25">
      <c r="C56" s="4"/>
    </row>
    <row r="57" spans="3:21" x14ac:dyDescent="0.25">
      <c r="C57" s="4"/>
    </row>
    <row r="58" spans="3:21" x14ac:dyDescent="0.25">
      <c r="C58" s="4"/>
    </row>
    <row r="59" spans="3:21" x14ac:dyDescent="0.25">
      <c r="C59" s="4"/>
      <c r="E59" s="4"/>
      <c r="F59" s="4"/>
      <c r="H59" s="3"/>
      <c r="K59" s="3"/>
      <c r="O59" s="3"/>
      <c r="P59" s="3"/>
      <c r="R59" s="3"/>
      <c r="S59" s="3"/>
      <c r="T59" s="3"/>
      <c r="U59" s="3"/>
    </row>
    <row r="60" spans="3:21" x14ac:dyDescent="0.25">
      <c r="C60" s="4"/>
      <c r="E60" s="4"/>
      <c r="F60" s="4"/>
      <c r="H60" s="3"/>
      <c r="K60" s="3"/>
      <c r="O60" s="3"/>
      <c r="P60" s="3"/>
      <c r="R60" s="3"/>
      <c r="S60" s="3"/>
      <c r="T60" s="3"/>
      <c r="U60" s="3"/>
    </row>
    <row r="61" spans="3:21" x14ac:dyDescent="0.25">
      <c r="C61" s="4"/>
      <c r="E61" s="4"/>
      <c r="F61" s="4"/>
      <c r="H61" s="3"/>
      <c r="K61" s="3"/>
      <c r="O61" s="3"/>
      <c r="R61" s="3"/>
      <c r="S61" s="3"/>
      <c r="T61" s="3"/>
      <c r="U61" s="3"/>
    </row>
    <row r="62" spans="3:21" x14ac:dyDescent="0.25">
      <c r="C62" s="4"/>
      <c r="E62" s="4"/>
      <c r="F62" s="4"/>
      <c r="H62" s="3"/>
      <c r="K62" s="3"/>
      <c r="O62" s="3"/>
      <c r="P62" s="3"/>
      <c r="R62" s="3"/>
      <c r="S62" s="3"/>
      <c r="T62" s="3"/>
      <c r="U62" s="3"/>
    </row>
    <row r="63" spans="3:21" x14ac:dyDescent="0.25">
      <c r="C63" s="4"/>
      <c r="E63" s="4"/>
      <c r="F63" s="4"/>
      <c r="H63" s="3"/>
      <c r="K63" s="3"/>
      <c r="O63" s="3"/>
      <c r="P63" s="3"/>
      <c r="R63" s="3"/>
      <c r="S63" s="3"/>
      <c r="T63" s="3"/>
      <c r="U6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E2" sqref="E2"/>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13.997510065466724</v>
      </c>
      <c r="B2">
        <v>2949.7735378482857</v>
      </c>
      <c r="C2">
        <f>COUNTA(Trades!$A$2:A1048576)</f>
        <v>390</v>
      </c>
      <c r="D2">
        <f>COUNTIF(Trades!$J$2:J904,"&gt;0")</f>
        <v>214</v>
      </c>
      <c r="E2">
        <f>AVERAGEIF(Trades!$J$2:J904,"&gt;0")*100</f>
        <v>44.793257520545275</v>
      </c>
      <c r="F2">
        <f>C2-D2</f>
        <v>176</v>
      </c>
      <c r="G2">
        <f>AVERAGEIF(Trades!$J$2:J904,"&lt;0")*100</f>
        <v>-14.111347463382785</v>
      </c>
      <c r="H2">
        <v>-20.95</v>
      </c>
      <c r="I2">
        <v>-4.0183389408461672</v>
      </c>
      <c r="J2">
        <v>-6.3795240090587573</v>
      </c>
      <c r="K2">
        <v>-7.7088648804161108</v>
      </c>
      <c r="L2">
        <v>2.5422277000000002</v>
      </c>
    </row>
    <row r="3" spans="1:12" x14ac:dyDescent="0.25">
      <c r="L3" s="26"/>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3"/>
  <sheetViews>
    <sheetView tabSelected="1" topLeftCell="A1360" workbookViewId="0">
      <selection activeCell="H1381" sqref="H1381"/>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880</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1"/>
  <sheetViews>
    <sheetView workbookViewId="0">
      <selection activeCell="N14" sqref="N14"/>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N1" s="4"/>
      <c r="O1" s="4"/>
      <c r="P1" s="4"/>
      <c r="Q1" s="4"/>
      <c r="R1" s="4"/>
      <c r="S1" s="4"/>
      <c r="T1" s="4"/>
      <c r="U1" s="4"/>
      <c r="V1" s="4"/>
    </row>
    <row r="2" spans="1:30" x14ac:dyDescent="0.25">
      <c r="A2" s="11" t="s">
        <v>113</v>
      </c>
      <c r="B2" t="s">
        <v>829</v>
      </c>
      <c r="C2" t="s">
        <v>357</v>
      </c>
      <c r="D2" s="19">
        <v>46041</v>
      </c>
      <c r="E2" s="11">
        <v>2.09</v>
      </c>
      <c r="F2" s="19">
        <v>46054</v>
      </c>
      <c r="G2" s="4">
        <v>1.86</v>
      </c>
      <c r="H2" s="3">
        <f t="shared" ref="H2:H10" si="0">G2/E2-1</f>
        <v>-0.11004784688995206</v>
      </c>
      <c r="I2">
        <f t="shared" ref="I2:I10" si="1">K2*E2*J2</f>
        <v>-22468.165919999981</v>
      </c>
      <c r="J2" s="3">
        <f t="shared" ref="J2:J10" si="2">H2-0.002</f>
        <v>-0.11204784688995206</v>
      </c>
      <c r="K2" s="11">
        <v>95944</v>
      </c>
      <c r="M2" s="4"/>
      <c r="N2" s="4"/>
      <c r="O2" s="4"/>
      <c r="P2" s="4"/>
      <c r="Q2" s="4"/>
      <c r="R2" s="4"/>
      <c r="S2" s="4"/>
      <c r="T2" s="4"/>
      <c r="U2" s="4"/>
      <c r="V2" s="4"/>
    </row>
    <row r="3" spans="1:30" x14ac:dyDescent="0.25">
      <c r="A3" s="11" t="s">
        <v>824</v>
      </c>
      <c r="B3" t="s">
        <v>830</v>
      </c>
      <c r="C3" t="s">
        <v>357</v>
      </c>
      <c r="D3" s="19">
        <v>46041</v>
      </c>
      <c r="E3" s="11">
        <v>89.22</v>
      </c>
      <c r="F3" s="19">
        <v>46054</v>
      </c>
      <c r="G3" s="4">
        <v>84.27</v>
      </c>
      <c r="H3" s="3">
        <f t="shared" si="0"/>
        <v>-5.5480833893745807E-2</v>
      </c>
      <c r="I3">
        <f t="shared" si="1"/>
        <v>-11097.944160000001</v>
      </c>
      <c r="J3" s="3">
        <f t="shared" si="2"/>
        <v>-5.7480833893745809E-2</v>
      </c>
      <c r="K3" s="11">
        <v>2164</v>
      </c>
      <c r="M3" s="4"/>
      <c r="N3" s="4"/>
      <c r="O3" s="4"/>
      <c r="P3" s="4"/>
      <c r="Q3" s="4"/>
      <c r="R3" s="4"/>
      <c r="S3" s="4"/>
      <c r="T3" s="4"/>
      <c r="U3" s="4"/>
      <c r="V3" s="4"/>
    </row>
    <row r="4" spans="1:30" x14ac:dyDescent="0.25">
      <c r="A4" s="11" t="s">
        <v>142</v>
      </c>
      <c r="B4" t="s">
        <v>427</v>
      </c>
      <c r="C4" t="s">
        <v>357</v>
      </c>
      <c r="D4" s="19">
        <v>46041</v>
      </c>
      <c r="E4" s="11">
        <v>23.96</v>
      </c>
      <c r="F4" s="19">
        <v>46054</v>
      </c>
      <c r="G4" s="4">
        <v>22.85</v>
      </c>
      <c r="H4" s="3">
        <f t="shared" si="0"/>
        <v>-4.6327212020033315E-2</v>
      </c>
      <c r="I4">
        <f t="shared" si="1"/>
        <v>-9963.9015999999865</v>
      </c>
      <c r="J4" s="3">
        <f t="shared" si="2"/>
        <v>-4.8327212020033317E-2</v>
      </c>
      <c r="K4" s="11">
        <v>8605</v>
      </c>
      <c r="M4" s="4"/>
      <c r="N4" s="4"/>
      <c r="O4" s="4"/>
      <c r="P4" s="4"/>
      <c r="Q4" s="4"/>
      <c r="R4" s="4"/>
      <c r="S4" s="4"/>
      <c r="T4" s="4"/>
      <c r="U4" s="4"/>
      <c r="V4" s="4"/>
    </row>
    <row r="5" spans="1:30" x14ac:dyDescent="0.25">
      <c r="A5" s="11" t="s">
        <v>825</v>
      </c>
      <c r="B5" t="s">
        <v>831</v>
      </c>
      <c r="C5" t="s">
        <v>357</v>
      </c>
      <c r="D5" s="19">
        <v>46041</v>
      </c>
      <c r="E5" s="11">
        <v>12.7</v>
      </c>
      <c r="F5" s="19">
        <v>46054</v>
      </c>
      <c r="G5" s="4">
        <v>13.15</v>
      </c>
      <c r="H5" s="3">
        <f t="shared" si="0"/>
        <v>3.5433070866141891E-2</v>
      </c>
      <c r="I5">
        <f t="shared" si="1"/>
        <v>6885.7382000000325</v>
      </c>
      <c r="J5" s="3">
        <f t="shared" si="2"/>
        <v>3.343307086614189E-2</v>
      </c>
      <c r="K5" s="11">
        <v>16217</v>
      </c>
      <c r="M5" s="4"/>
      <c r="N5" s="4"/>
      <c r="O5" s="4"/>
      <c r="P5" s="4"/>
      <c r="Q5" s="4"/>
      <c r="R5" s="4"/>
      <c r="S5" s="4"/>
      <c r="T5" s="4"/>
      <c r="U5" s="4"/>
      <c r="V5" s="4"/>
    </row>
    <row r="6" spans="1:30" x14ac:dyDescent="0.25">
      <c r="A6" s="11" t="s">
        <v>116</v>
      </c>
      <c r="B6" t="s">
        <v>390</v>
      </c>
      <c r="C6" t="s">
        <v>357</v>
      </c>
      <c r="D6" s="19">
        <v>46041</v>
      </c>
      <c r="E6" s="11">
        <v>60.1</v>
      </c>
      <c r="F6" s="19">
        <v>46054</v>
      </c>
      <c r="G6" s="4">
        <v>57.15</v>
      </c>
      <c r="H6" s="3">
        <f t="shared" si="0"/>
        <v>-4.9084858569051648E-2</v>
      </c>
      <c r="I6">
        <f t="shared" si="1"/>
        <v>-10592.190000000015</v>
      </c>
      <c r="J6" s="3">
        <f t="shared" si="2"/>
        <v>-5.108485856905165E-2</v>
      </c>
      <c r="K6" s="11">
        <v>3450</v>
      </c>
      <c r="M6" s="4"/>
      <c r="N6" s="4"/>
      <c r="O6" s="4"/>
      <c r="P6" s="4"/>
      <c r="Q6" s="4"/>
      <c r="R6" s="4"/>
      <c r="S6" s="4"/>
      <c r="T6" s="4"/>
      <c r="U6" s="4"/>
      <c r="V6" s="4"/>
    </row>
    <row r="7" spans="1:30" x14ac:dyDescent="0.25">
      <c r="A7" s="11" t="s">
        <v>826</v>
      </c>
      <c r="B7" t="s">
        <v>832</v>
      </c>
      <c r="C7" t="s">
        <v>357</v>
      </c>
      <c r="D7" s="19">
        <v>46041</v>
      </c>
      <c r="E7" s="11">
        <v>3.4</v>
      </c>
      <c r="F7" s="19">
        <v>46054</v>
      </c>
      <c r="G7" s="4">
        <v>3.69</v>
      </c>
      <c r="H7" s="3">
        <f t="shared" si="0"/>
        <v>8.5294117647058743E-2</v>
      </c>
      <c r="I7">
        <f t="shared" si="1"/>
        <v>17081.491199999982</v>
      </c>
      <c r="J7" s="3">
        <f t="shared" si="2"/>
        <v>8.3294117647058741E-2</v>
      </c>
      <c r="K7" s="11">
        <v>60316</v>
      </c>
      <c r="M7" s="4"/>
      <c r="N7" s="4"/>
      <c r="O7" s="4"/>
      <c r="P7" s="4"/>
      <c r="Q7" s="4"/>
      <c r="R7" s="4"/>
      <c r="S7" s="4"/>
      <c r="T7" s="4"/>
      <c r="U7" s="4"/>
      <c r="V7" s="4"/>
    </row>
    <row r="8" spans="1:30" x14ac:dyDescent="0.25">
      <c r="A8" s="11" t="s">
        <v>827</v>
      </c>
      <c r="B8" t="s">
        <v>833</v>
      </c>
      <c r="C8" t="s">
        <v>357</v>
      </c>
      <c r="D8" s="19">
        <v>46041</v>
      </c>
      <c r="E8" s="11">
        <v>6.84</v>
      </c>
      <c r="F8" s="19">
        <v>46054</v>
      </c>
      <c r="G8" s="4">
        <v>7.45</v>
      </c>
      <c r="H8" s="3">
        <f t="shared" si="0"/>
        <v>8.9181286549707695E-2</v>
      </c>
      <c r="I8">
        <f t="shared" si="1"/>
        <v>17983.818560000018</v>
      </c>
      <c r="J8" s="3">
        <f t="shared" si="2"/>
        <v>8.7181286549707693E-2</v>
      </c>
      <c r="K8" s="11">
        <v>30158</v>
      </c>
      <c r="M8" s="4"/>
      <c r="N8" s="4"/>
      <c r="O8" s="4"/>
      <c r="P8" s="4"/>
      <c r="Q8" s="4"/>
      <c r="R8" s="4"/>
      <c r="S8" s="4"/>
      <c r="T8" s="4"/>
      <c r="U8" s="4"/>
      <c r="V8" s="4"/>
    </row>
    <row r="9" spans="1:30" x14ac:dyDescent="0.25">
      <c r="A9" s="11" t="s">
        <v>131</v>
      </c>
      <c r="B9" t="s">
        <v>408</v>
      </c>
      <c r="C9" t="s">
        <v>357</v>
      </c>
      <c r="D9" s="19">
        <v>46041</v>
      </c>
      <c r="E9" s="11">
        <v>20.149999999999999</v>
      </c>
      <c r="F9" s="19">
        <v>46054</v>
      </c>
      <c r="G9" s="4">
        <v>20.28</v>
      </c>
      <c r="H9" s="3">
        <f t="shared" si="0"/>
        <v>6.4516129032259339E-3</v>
      </c>
      <c r="I9">
        <f t="shared" si="1"/>
        <v>921.93660000002637</v>
      </c>
      <c r="J9" s="3">
        <f t="shared" si="2"/>
        <v>4.4516129032259339E-3</v>
      </c>
      <c r="K9" s="11">
        <v>10278</v>
      </c>
      <c r="M9" s="4"/>
      <c r="N9" s="4"/>
      <c r="O9" s="4"/>
      <c r="P9" s="4"/>
      <c r="Q9" s="4"/>
      <c r="R9" s="4"/>
      <c r="S9" s="4"/>
      <c r="T9" s="4"/>
      <c r="U9" s="4"/>
      <c r="V9" s="4"/>
    </row>
    <row r="10" spans="1:30" x14ac:dyDescent="0.25">
      <c r="A10" s="11" t="s">
        <v>828</v>
      </c>
      <c r="B10" t="s">
        <v>834</v>
      </c>
      <c r="C10" t="s">
        <v>357</v>
      </c>
      <c r="D10" s="19">
        <v>46041</v>
      </c>
      <c r="E10" s="11">
        <v>4.2</v>
      </c>
      <c r="F10" s="19">
        <v>46054</v>
      </c>
      <c r="G10" s="4">
        <v>4.62</v>
      </c>
      <c r="H10" s="3">
        <f t="shared" si="0"/>
        <v>0.10000000000000009</v>
      </c>
      <c r="I10">
        <f t="shared" si="1"/>
        <v>20409.597600000019</v>
      </c>
      <c r="J10" s="3">
        <f t="shared" si="2"/>
        <v>9.8000000000000087E-2</v>
      </c>
      <c r="K10" s="11">
        <v>49586</v>
      </c>
      <c r="M10" s="4"/>
      <c r="N10" s="4"/>
      <c r="O10" s="4"/>
      <c r="P10" s="4"/>
      <c r="Q10" s="4"/>
      <c r="R10" s="4"/>
      <c r="S10" s="4"/>
      <c r="T10" s="4"/>
      <c r="U10" s="4"/>
      <c r="V10" s="4"/>
    </row>
    <row r="11" spans="1:30" x14ac:dyDescent="0.25">
      <c r="A11" t="s">
        <v>96</v>
      </c>
      <c r="B11" t="s">
        <v>217</v>
      </c>
      <c r="C11" t="s">
        <v>357</v>
      </c>
      <c r="D11" s="2">
        <v>45786</v>
      </c>
      <c r="E11">
        <v>3.07</v>
      </c>
      <c r="F11" s="19">
        <v>46054</v>
      </c>
      <c r="G11" s="4">
        <v>3.25</v>
      </c>
      <c r="H11" s="3">
        <f t="shared" ref="H11:H16" si="3">G11/E11-1</f>
        <v>5.8631921824104261E-2</v>
      </c>
      <c r="I11">
        <f t="shared" ref="I11:I16" si="4">K11*E11*J11</f>
        <v>11404.346700000004</v>
      </c>
      <c r="J11" s="3">
        <f t="shared" ref="J11:J16" si="5">H11-0.002</f>
        <v>5.6631921824104259E-2</v>
      </c>
      <c r="K11">
        <v>65595</v>
      </c>
      <c r="M11" s="4"/>
      <c r="N11" s="4"/>
      <c r="O11" s="4"/>
      <c r="P11" s="4"/>
      <c r="Q11" s="4"/>
      <c r="R11" s="4"/>
      <c r="S11" s="4"/>
      <c r="T11" s="4"/>
      <c r="U11" s="4"/>
      <c r="V11" s="4"/>
      <c r="AB11" s="3"/>
      <c r="AC11" s="3"/>
      <c r="AD11" s="3"/>
    </row>
    <row r="12" spans="1:30" x14ac:dyDescent="0.25">
      <c r="A12" t="s">
        <v>97</v>
      </c>
      <c r="B12" t="s">
        <v>218</v>
      </c>
      <c r="C12" t="s">
        <v>357</v>
      </c>
      <c r="D12" s="2">
        <v>45786</v>
      </c>
      <c r="E12">
        <v>7.23</v>
      </c>
      <c r="F12" s="19">
        <v>46054</v>
      </c>
      <c r="G12" s="4">
        <v>9.2100000000000009</v>
      </c>
      <c r="H12" s="3">
        <f t="shared" si="3"/>
        <v>0.27385892116182586</v>
      </c>
      <c r="I12">
        <f t="shared" si="4"/>
        <v>54048.418920000026</v>
      </c>
      <c r="J12" s="3">
        <f t="shared" si="5"/>
        <v>0.27185892116182586</v>
      </c>
      <c r="K12">
        <v>27498</v>
      </c>
      <c r="M12" s="4"/>
      <c r="N12" s="4"/>
      <c r="O12" s="4"/>
      <c r="P12" s="4"/>
      <c r="Q12" s="4"/>
      <c r="R12" s="4"/>
      <c r="S12" s="4"/>
      <c r="T12" s="4"/>
      <c r="U12" s="4"/>
      <c r="V12" s="4"/>
      <c r="AB12" s="3"/>
      <c r="AC12" s="3"/>
      <c r="AD12" s="3"/>
    </row>
    <row r="13" spans="1:30" x14ac:dyDescent="0.25">
      <c r="A13" t="s">
        <v>98</v>
      </c>
      <c r="B13" t="s">
        <v>220</v>
      </c>
      <c r="C13" t="s">
        <v>357</v>
      </c>
      <c r="D13" s="2">
        <v>45786</v>
      </c>
      <c r="E13">
        <v>3.64</v>
      </c>
      <c r="F13" s="19">
        <v>46054</v>
      </c>
      <c r="G13" s="4">
        <v>3.74</v>
      </c>
      <c r="H13" s="3">
        <f t="shared" si="3"/>
        <v>2.7472527472527597E-2</v>
      </c>
      <c r="I13">
        <f t="shared" si="4"/>
        <v>5201.7774400000253</v>
      </c>
      <c r="J13" s="3">
        <f t="shared" si="5"/>
        <v>2.5472527472527595E-2</v>
      </c>
      <c r="K13">
        <v>56102</v>
      </c>
      <c r="M13" s="4"/>
      <c r="N13" s="4"/>
      <c r="O13" s="4"/>
      <c r="P13" s="4"/>
      <c r="Q13" s="4"/>
      <c r="R13" s="4"/>
      <c r="S13" s="4"/>
      <c r="T13" s="4"/>
      <c r="U13" s="4"/>
      <c r="V13" s="4"/>
      <c r="AB13" s="3"/>
      <c r="AC13" s="3"/>
      <c r="AD13" s="3"/>
    </row>
    <row r="14" spans="1:30" x14ac:dyDescent="0.25">
      <c r="A14" t="s">
        <v>51</v>
      </c>
      <c r="B14" t="s">
        <v>222</v>
      </c>
      <c r="C14" t="s">
        <v>357</v>
      </c>
      <c r="D14" s="2">
        <v>45786</v>
      </c>
      <c r="E14">
        <v>5.18</v>
      </c>
      <c r="F14" s="19">
        <v>46054</v>
      </c>
      <c r="G14" s="4">
        <v>4.97</v>
      </c>
      <c r="H14" s="3">
        <f t="shared" si="3"/>
        <v>-4.0540540540540571E-2</v>
      </c>
      <c r="I14">
        <f t="shared" si="4"/>
        <v>-8459.6204000000052</v>
      </c>
      <c r="J14" s="3">
        <f t="shared" si="5"/>
        <v>-4.2540540540540572E-2</v>
      </c>
      <c r="K14">
        <v>38390</v>
      </c>
      <c r="M14" s="4"/>
      <c r="N14" s="4"/>
      <c r="O14" s="4"/>
      <c r="P14" s="4"/>
      <c r="Q14" s="4"/>
      <c r="R14" s="4"/>
      <c r="S14" s="4"/>
      <c r="T14" s="4"/>
      <c r="U14" s="4"/>
      <c r="V14" s="4"/>
      <c r="AB14" s="3"/>
      <c r="AC14" s="3"/>
      <c r="AD14" s="3"/>
    </row>
    <row r="15" spans="1:30" x14ac:dyDescent="0.25">
      <c r="A15" t="s">
        <v>36</v>
      </c>
      <c r="B15" t="s">
        <v>35</v>
      </c>
      <c r="C15" t="s">
        <v>357</v>
      </c>
      <c r="D15" s="2">
        <v>45786</v>
      </c>
      <c r="E15">
        <v>4.3499999999999996</v>
      </c>
      <c r="F15" s="19">
        <v>46054</v>
      </c>
      <c r="G15" s="4">
        <v>5.78</v>
      </c>
      <c r="H15" s="3">
        <f t="shared" si="3"/>
        <v>0.32873563218390811</v>
      </c>
      <c r="I15">
        <f t="shared" si="4"/>
        <v>64998.89160000001</v>
      </c>
      <c r="J15" s="3">
        <f t="shared" si="5"/>
        <v>0.32673563218390811</v>
      </c>
      <c r="K15">
        <v>45732</v>
      </c>
      <c r="M15" s="4"/>
      <c r="N15" s="4"/>
      <c r="O15" s="4"/>
      <c r="Q15" s="17"/>
      <c r="T15" s="3"/>
      <c r="V15" s="3"/>
      <c r="AB15" s="3"/>
      <c r="AC15" s="3"/>
      <c r="AD15" s="3"/>
    </row>
    <row r="16" spans="1:30" x14ac:dyDescent="0.25">
      <c r="A16" t="s">
        <v>22</v>
      </c>
      <c r="B16" t="s">
        <v>21</v>
      </c>
      <c r="C16" t="s">
        <v>357</v>
      </c>
      <c r="D16" s="2">
        <v>45128</v>
      </c>
      <c r="E16">
        <v>4.2682180000000001</v>
      </c>
      <c r="F16" s="19">
        <v>46054</v>
      </c>
      <c r="G16" s="4">
        <v>8.0500000000000007</v>
      </c>
      <c r="H16" s="3">
        <f t="shared" si="3"/>
        <v>0.88603300018883768</v>
      </c>
      <c r="I16">
        <f t="shared" si="4"/>
        <v>123920.93081288802</v>
      </c>
      <c r="J16" s="3">
        <f t="shared" si="5"/>
        <v>0.88403300018883768</v>
      </c>
      <c r="K16">
        <v>32842</v>
      </c>
      <c r="M16" s="4"/>
      <c r="N16" s="4"/>
      <c r="O16" s="4"/>
      <c r="Q16" s="17"/>
      <c r="T16" s="3"/>
      <c r="V16" s="3"/>
      <c r="AB16" s="3"/>
      <c r="AC16" s="3"/>
      <c r="AD16" s="3"/>
    </row>
    <row r="17" spans="1:30" x14ac:dyDescent="0.25">
      <c r="A17" t="s">
        <v>33</v>
      </c>
      <c r="B17" t="s">
        <v>32</v>
      </c>
      <c r="C17" t="s">
        <v>358</v>
      </c>
      <c r="D17" s="2">
        <v>45709</v>
      </c>
      <c r="E17">
        <v>12.2315</v>
      </c>
      <c r="F17" s="19">
        <v>46020</v>
      </c>
      <c r="G17" s="4">
        <v>12.9</v>
      </c>
      <c r="H17" s="3">
        <f t="shared" ref="H17" si="6">G17/E17-1</f>
        <v>5.4653967215795296E-2</v>
      </c>
      <c r="I17">
        <f t="shared" ref="I17" si="7">K17*E17*J17</f>
        <v>10584.748095000003</v>
      </c>
      <c r="J17" s="3">
        <f t="shared" ref="J17" si="8">H17-0.002</f>
        <v>5.2653967215795294E-2</v>
      </c>
      <c r="K17">
        <v>16435</v>
      </c>
      <c r="L17" s="4"/>
      <c r="M17" s="4"/>
      <c r="N17" s="4"/>
      <c r="O17" s="4"/>
      <c r="Q17" s="17"/>
      <c r="T17" s="3"/>
      <c r="V17" s="3"/>
      <c r="AB17" s="3"/>
      <c r="AC17" s="3"/>
      <c r="AD17" s="3"/>
    </row>
    <row r="18" spans="1:30" x14ac:dyDescent="0.25">
      <c r="A18" t="s">
        <v>87</v>
      </c>
      <c r="B18" t="s">
        <v>223</v>
      </c>
      <c r="C18" t="s">
        <v>358</v>
      </c>
      <c r="D18" s="2">
        <v>44876</v>
      </c>
      <c r="E18">
        <v>25.921890000000001</v>
      </c>
      <c r="F18" s="19">
        <v>46006</v>
      </c>
      <c r="G18" s="4">
        <v>35.369999999999997</v>
      </c>
      <c r="H18" s="3">
        <f t="shared" ref="H18" si="9">G18/E18-1</f>
        <v>0.3644838397200203</v>
      </c>
      <c r="I18">
        <f t="shared" ref="I18" si="10">K18*E18*J18</f>
        <v>51998.937261479987</v>
      </c>
      <c r="J18" s="3">
        <f t="shared" ref="J18" si="11">H18-0.002</f>
        <v>0.3624838397200203</v>
      </c>
      <c r="K18">
        <v>5534</v>
      </c>
      <c r="L18" s="4"/>
      <c r="M18" s="4"/>
      <c r="N18" s="4"/>
      <c r="O18" s="4"/>
      <c r="Q18" s="17"/>
      <c r="T18" s="3"/>
      <c r="V18" s="3"/>
      <c r="AB18" s="3"/>
      <c r="AC18" s="3"/>
      <c r="AD18" s="3"/>
    </row>
    <row r="19" spans="1:30" x14ac:dyDescent="0.25">
      <c r="A19" t="s">
        <v>41</v>
      </c>
      <c r="B19" t="s">
        <v>40</v>
      </c>
      <c r="C19" t="s">
        <v>358</v>
      </c>
      <c r="D19" s="2">
        <v>45786</v>
      </c>
      <c r="E19">
        <v>2.2999999999999998</v>
      </c>
      <c r="F19" s="19">
        <v>45999</v>
      </c>
      <c r="G19" s="4">
        <v>2.0299999999999998</v>
      </c>
      <c r="H19" s="3">
        <f t="shared" ref="H19" si="12">G19/E19-1</f>
        <v>-0.11739130434782608</v>
      </c>
      <c r="I19">
        <f t="shared" ref="I19" si="13">K19*E19*J19</f>
        <v>-24237.568999999996</v>
      </c>
      <c r="J19" s="3">
        <f t="shared" ref="J19" si="14">H19-0.002</f>
        <v>-0.11939130434782608</v>
      </c>
      <c r="K19">
        <v>88265</v>
      </c>
      <c r="L19" s="4"/>
      <c r="M19" s="4"/>
      <c r="N19" s="4"/>
      <c r="O19" s="4"/>
      <c r="Q19" s="17"/>
      <c r="T19" s="3"/>
      <c r="V19" s="3"/>
      <c r="AB19" s="3"/>
      <c r="AC19" s="3"/>
      <c r="AD19" s="3"/>
    </row>
    <row r="20" spans="1:30" x14ac:dyDescent="0.25">
      <c r="A20" t="s">
        <v>26</v>
      </c>
      <c r="B20" t="s">
        <v>25</v>
      </c>
      <c r="C20" t="s">
        <v>358</v>
      </c>
      <c r="D20" s="2">
        <v>45037</v>
      </c>
      <c r="E20">
        <v>3.2149679999999998</v>
      </c>
      <c r="F20" s="19">
        <v>45999</v>
      </c>
      <c r="G20" s="4">
        <v>4.49</v>
      </c>
      <c r="H20" s="3">
        <f>G20/E20-1</f>
        <v>0.39659243886719886</v>
      </c>
      <c r="I20">
        <f>K20*E20*J20</f>
        <v>56365.258305584022</v>
      </c>
      <c r="J20" s="3">
        <f>H20-0.002</f>
        <v>0.39459243886719886</v>
      </c>
      <c r="K20">
        <v>44431</v>
      </c>
      <c r="L20" s="4"/>
      <c r="M20" s="4"/>
      <c r="N20" s="4"/>
      <c r="O20" s="4"/>
      <c r="Q20" s="17"/>
      <c r="T20" s="3"/>
      <c r="V20" s="3"/>
      <c r="AB20" s="3"/>
      <c r="AC20" s="3"/>
      <c r="AD20" s="3"/>
    </row>
    <row r="21" spans="1:30" x14ac:dyDescent="0.25">
      <c r="A21" t="s">
        <v>79</v>
      </c>
      <c r="B21" t="s">
        <v>372</v>
      </c>
      <c r="C21" t="s">
        <v>358</v>
      </c>
      <c r="D21" s="2">
        <v>45894</v>
      </c>
      <c r="E21">
        <v>46</v>
      </c>
      <c r="F21" s="19">
        <v>45975</v>
      </c>
      <c r="G21" s="4">
        <v>36.299999999999997</v>
      </c>
      <c r="H21" s="3">
        <f t="shared" ref="H21" si="15">G21/E21-1</f>
        <v>-0.21086956521739142</v>
      </c>
      <c r="I21">
        <f t="shared" ref="I21" si="16">K21*E21*J21</f>
        <v>-48930.624000000025</v>
      </c>
      <c r="J21" s="3">
        <f t="shared" ref="J21" si="17">H21-0.002</f>
        <v>-0.21286956521739142</v>
      </c>
      <c r="K21">
        <v>4997</v>
      </c>
      <c r="M21" s="4"/>
      <c r="N21" s="4"/>
      <c r="O21" s="4"/>
      <c r="Q21" s="17"/>
      <c r="T21" s="3"/>
      <c r="V21" s="3"/>
      <c r="AB21" s="3"/>
      <c r="AC21" s="3"/>
      <c r="AD21" s="3"/>
    </row>
    <row r="22" spans="1:30" x14ac:dyDescent="0.25">
      <c r="A22" t="s">
        <v>94</v>
      </c>
      <c r="B22" t="s">
        <v>214</v>
      </c>
      <c r="C22" t="s">
        <v>358</v>
      </c>
      <c r="D22" s="2">
        <v>45786</v>
      </c>
      <c r="E22">
        <v>169.28</v>
      </c>
      <c r="F22" s="19">
        <v>45975</v>
      </c>
      <c r="G22" s="4">
        <v>156.88</v>
      </c>
      <c r="H22" s="3">
        <f t="shared" ref="H22" si="18">G22/E22-1</f>
        <v>-7.3251417769376159E-2</v>
      </c>
      <c r="I22">
        <f t="shared" ref="I22" si="19">K22*E22*J22</f>
        <v>-14955.069439999996</v>
      </c>
      <c r="J22" s="3">
        <f t="shared" ref="J22" si="20">H22-0.002</f>
        <v>-7.5251417769376161E-2</v>
      </c>
      <c r="K22">
        <v>1174</v>
      </c>
      <c r="M22" s="4"/>
      <c r="N22" s="4"/>
      <c r="O22" s="4"/>
      <c r="Q22" s="17"/>
      <c r="T22" s="3"/>
      <c r="V22" s="3"/>
      <c r="AB22" s="3"/>
      <c r="AC22" s="3"/>
      <c r="AD22" s="3"/>
    </row>
    <row r="23" spans="1:30" x14ac:dyDescent="0.25">
      <c r="A23" t="s">
        <v>30</v>
      </c>
      <c r="B23" t="s">
        <v>29</v>
      </c>
      <c r="C23" t="s">
        <v>358</v>
      </c>
      <c r="D23" s="2">
        <v>44785</v>
      </c>
      <c r="E23">
        <v>4.9811699999999997</v>
      </c>
      <c r="F23" s="19">
        <v>45971</v>
      </c>
      <c r="G23" s="4">
        <v>5.31</v>
      </c>
      <c r="H23" s="3">
        <f t="shared" ref="H23:H25" si="21">G23/E23-1</f>
        <v>6.6014611025120518E-2</v>
      </c>
      <c r="I23">
        <f t="shared" ref="I23:I25" si="22">K23*E23*J23</f>
        <v>9561.5656527599858</v>
      </c>
      <c r="J23" s="3">
        <f t="shared" ref="J23:J25" si="23">H23-0.002</f>
        <v>6.4014611025120516E-2</v>
      </c>
      <c r="K23">
        <v>29986</v>
      </c>
      <c r="M23" s="4"/>
      <c r="O23" s="4"/>
      <c r="Q23" s="17"/>
      <c r="T23" s="3"/>
      <c r="V23" s="3"/>
      <c r="AB23" s="3"/>
      <c r="AC23" s="3"/>
      <c r="AD23" s="3"/>
    </row>
    <row r="24" spans="1:30" x14ac:dyDescent="0.25">
      <c r="A24" s="11" t="s">
        <v>762</v>
      </c>
      <c r="B24" s="11" t="s">
        <v>763</v>
      </c>
      <c r="C24" t="s">
        <v>358</v>
      </c>
      <c r="D24" s="19">
        <v>45929</v>
      </c>
      <c r="E24" s="11">
        <v>7.63</v>
      </c>
      <c r="F24" s="19">
        <v>45971</v>
      </c>
      <c r="G24" s="4">
        <v>5.69</v>
      </c>
      <c r="H24" s="3">
        <f t="shared" si="21"/>
        <v>-0.25425950196592395</v>
      </c>
      <c r="I24">
        <f t="shared" si="22"/>
        <v>-55468.770939999995</v>
      </c>
      <c r="J24" s="3">
        <f t="shared" si="23"/>
        <v>-0.25625950196592395</v>
      </c>
      <c r="K24" s="11">
        <v>28369</v>
      </c>
      <c r="M24" s="4"/>
      <c r="O24" s="4"/>
      <c r="Q24" s="17"/>
      <c r="T24" s="3"/>
      <c r="V24" s="3"/>
      <c r="AB24" s="3"/>
      <c r="AC24" s="3"/>
      <c r="AD24" s="3"/>
    </row>
    <row r="25" spans="1:30" x14ac:dyDescent="0.25">
      <c r="A25" t="s">
        <v>90</v>
      </c>
      <c r="B25" t="s">
        <v>371</v>
      </c>
      <c r="C25" t="s">
        <v>358</v>
      </c>
      <c r="D25" s="2">
        <v>45880</v>
      </c>
      <c r="E25">
        <v>3.28</v>
      </c>
      <c r="F25" s="19">
        <v>45971</v>
      </c>
      <c r="G25" s="4">
        <v>3.41</v>
      </c>
      <c r="H25" s="3">
        <f t="shared" si="21"/>
        <v>3.9634146341463561E-2</v>
      </c>
      <c r="I25">
        <f t="shared" si="22"/>
        <v>8059.6444800000299</v>
      </c>
      <c r="J25" s="3">
        <f t="shared" si="23"/>
        <v>3.7634146341463559E-2</v>
      </c>
      <c r="K25">
        <v>65292</v>
      </c>
      <c r="M25" s="4"/>
      <c r="O25" s="4"/>
      <c r="Q25" s="17"/>
      <c r="T25" s="3"/>
      <c r="V25" s="3"/>
      <c r="AB25" s="3"/>
      <c r="AC25" s="3"/>
      <c r="AD25" s="3"/>
    </row>
    <row r="26" spans="1:30" x14ac:dyDescent="0.25">
      <c r="A26" t="s">
        <v>95</v>
      </c>
      <c r="B26" t="s">
        <v>215</v>
      </c>
      <c r="C26" t="s">
        <v>358</v>
      </c>
      <c r="D26" s="2">
        <v>45786</v>
      </c>
      <c r="E26">
        <v>32.71</v>
      </c>
      <c r="F26" s="19">
        <v>45929</v>
      </c>
      <c r="G26" s="4">
        <v>26.85</v>
      </c>
      <c r="H26" s="3">
        <f t="shared" ref="H26" si="24">G26/E26-1</f>
        <v>-0.17915010700091716</v>
      </c>
      <c r="I26">
        <f t="shared" ref="I26" si="25">K26*E26*J26</f>
        <v>-36002.851920000001</v>
      </c>
      <c r="J26" s="3">
        <f t="shared" ref="J26" si="26">H26-0.002</f>
        <v>-0.18115010700091716</v>
      </c>
      <c r="K26">
        <v>6076</v>
      </c>
      <c r="M26" s="4"/>
      <c r="O26" s="4"/>
      <c r="Q26" s="17"/>
      <c r="T26" s="3"/>
      <c r="V26" s="3"/>
      <c r="AB26" s="3"/>
      <c r="AC26" s="3"/>
      <c r="AD26" s="3"/>
    </row>
    <row r="27" spans="1:30" x14ac:dyDescent="0.25">
      <c r="A27" t="s">
        <v>46</v>
      </c>
      <c r="B27" t="s">
        <v>45</v>
      </c>
      <c r="C27" t="s">
        <v>358</v>
      </c>
      <c r="D27" s="2">
        <v>45786</v>
      </c>
      <c r="E27">
        <v>3.5</v>
      </c>
      <c r="F27" s="2">
        <v>45884</v>
      </c>
      <c r="G27" s="4">
        <v>2.86</v>
      </c>
      <c r="H27" s="3">
        <f t="shared" ref="H27" si="27">G27/E27-1</f>
        <v>-0.18285714285714294</v>
      </c>
      <c r="I27">
        <f t="shared" ref="I27" si="28">K27*E27*J27</f>
        <v>-36765.775000000016</v>
      </c>
      <c r="J27" s="3">
        <f t="shared" ref="J27" si="29">H27-0.002</f>
        <v>-0.18485714285714294</v>
      </c>
      <c r="K27">
        <v>56825</v>
      </c>
      <c r="M27" s="4"/>
      <c r="Q27" s="17"/>
      <c r="T27" s="3"/>
      <c r="V27" s="3"/>
      <c r="AB27" s="3"/>
      <c r="AC27" s="3"/>
      <c r="AD27" s="3"/>
    </row>
    <row r="28" spans="1:30" x14ac:dyDescent="0.25">
      <c r="A28" t="s">
        <v>93</v>
      </c>
      <c r="B28" t="s">
        <v>209</v>
      </c>
      <c r="C28" t="s">
        <v>358</v>
      </c>
      <c r="D28" s="2">
        <v>45786</v>
      </c>
      <c r="E28">
        <v>3.57</v>
      </c>
      <c r="F28" s="2">
        <v>45873</v>
      </c>
      <c r="G28">
        <v>1.6850000000000001</v>
      </c>
      <c r="H28" s="3">
        <f>G28/E28-1</f>
        <v>-0.52801120448179262</v>
      </c>
      <c r="I28">
        <v>-105215.37381</v>
      </c>
      <c r="J28" s="3">
        <v>-0.53001120448179262</v>
      </c>
      <c r="K28">
        <v>55662</v>
      </c>
      <c r="M28" s="4"/>
      <c r="P28" s="2"/>
      <c r="R28" s="2"/>
      <c r="T28" s="3"/>
      <c r="V28" s="3"/>
      <c r="AB28" s="3"/>
      <c r="AC28" s="3"/>
      <c r="AD28" s="3"/>
    </row>
    <row r="29" spans="1:30" x14ac:dyDescent="0.25">
      <c r="A29" t="s">
        <v>239</v>
      </c>
      <c r="B29" t="s">
        <v>360</v>
      </c>
      <c r="C29" t="s">
        <v>358</v>
      </c>
      <c r="D29" s="2">
        <v>45681</v>
      </c>
      <c r="E29">
        <v>2.0299999999999998</v>
      </c>
      <c r="F29" s="2">
        <v>45770</v>
      </c>
      <c r="G29">
        <v>2.68</v>
      </c>
      <c r="H29" s="3">
        <v>0.32019999999999998</v>
      </c>
      <c r="I29">
        <v>61491.62</v>
      </c>
      <c r="J29" s="3">
        <v>0.31790000000000002</v>
      </c>
      <c r="K29">
        <v>95293</v>
      </c>
      <c r="P29" s="2"/>
      <c r="R29" s="2"/>
      <c r="T29" s="3"/>
      <c r="V29" s="3"/>
      <c r="AB29" s="3"/>
      <c r="AC29" s="3"/>
      <c r="AD29" s="3"/>
    </row>
    <row r="30" spans="1:30" x14ac:dyDescent="0.25">
      <c r="A30" t="s">
        <v>99</v>
      </c>
      <c r="B30" t="s">
        <v>361</v>
      </c>
      <c r="C30" t="s">
        <v>358</v>
      </c>
      <c r="D30" s="2">
        <v>45674</v>
      </c>
      <c r="E30">
        <v>1.404468</v>
      </c>
      <c r="F30" s="2">
        <v>45758</v>
      </c>
      <c r="G30">
        <v>1.165</v>
      </c>
      <c r="H30" s="3">
        <v>-0.17050000000000001</v>
      </c>
      <c r="I30">
        <v>-33021.9</v>
      </c>
      <c r="J30" s="3">
        <v>-0.17230000000000001</v>
      </c>
      <c r="K30">
        <v>136433</v>
      </c>
      <c r="P30" s="2"/>
      <c r="R30" s="2"/>
      <c r="T30" s="3"/>
      <c r="V30" s="3"/>
      <c r="AB30" s="3"/>
      <c r="AC30" s="3"/>
      <c r="AD30" s="3"/>
    </row>
    <row r="31" spans="1:30" x14ac:dyDescent="0.25">
      <c r="A31" t="s">
        <v>86</v>
      </c>
      <c r="B31" t="s">
        <v>362</v>
      </c>
      <c r="C31" t="s">
        <v>358</v>
      </c>
      <c r="D31" s="2">
        <v>45268</v>
      </c>
      <c r="E31">
        <v>32.166710000000002</v>
      </c>
      <c r="F31" s="2">
        <v>45758</v>
      </c>
      <c r="G31">
        <v>41.93</v>
      </c>
      <c r="H31" s="3">
        <v>0.30349999999999999</v>
      </c>
      <c r="I31">
        <v>42428.98</v>
      </c>
      <c r="J31" s="3">
        <v>0.30120000000000002</v>
      </c>
      <c r="K31">
        <v>4379</v>
      </c>
      <c r="N31" s="18"/>
      <c r="P31" s="2"/>
      <c r="R31" s="2"/>
      <c r="T31" s="3"/>
      <c r="V31" s="3"/>
      <c r="AB31" s="3"/>
      <c r="AC31" s="3"/>
      <c r="AD31" s="3"/>
    </row>
    <row r="32" spans="1:30" x14ac:dyDescent="0.25">
      <c r="A32" t="s">
        <v>82</v>
      </c>
      <c r="B32" t="s">
        <v>363</v>
      </c>
      <c r="C32" t="s">
        <v>358</v>
      </c>
      <c r="D32" s="2">
        <v>45177</v>
      </c>
      <c r="E32">
        <v>24.514279999999999</v>
      </c>
      <c r="F32" s="2">
        <v>45737</v>
      </c>
      <c r="G32">
        <v>37.299999999999997</v>
      </c>
      <c r="H32" s="3">
        <v>0.52159999999999995</v>
      </c>
      <c r="I32">
        <v>74320.33</v>
      </c>
      <c r="J32" s="3">
        <v>0.51900000000000002</v>
      </c>
      <c r="K32">
        <v>5841</v>
      </c>
      <c r="N32" s="17"/>
      <c r="P32" s="2"/>
      <c r="R32" s="2"/>
      <c r="T32" s="3"/>
      <c r="V32" s="3"/>
      <c r="AB32" s="3"/>
      <c r="AC32" s="3"/>
      <c r="AD32" s="3"/>
    </row>
    <row r="33" spans="1:30" x14ac:dyDescent="0.25">
      <c r="A33" t="s">
        <v>89</v>
      </c>
      <c r="B33" t="s">
        <v>364</v>
      </c>
      <c r="C33" t="s">
        <v>358</v>
      </c>
      <c r="D33" s="2">
        <v>44876</v>
      </c>
      <c r="E33">
        <v>10.24905</v>
      </c>
      <c r="F33" s="2">
        <v>45730</v>
      </c>
      <c r="G33">
        <v>18.829999999999998</v>
      </c>
      <c r="H33" s="3">
        <v>0.83720000000000006</v>
      </c>
      <c r="I33">
        <v>119691.99</v>
      </c>
      <c r="J33" s="3">
        <v>0.83440000000000003</v>
      </c>
      <c r="K33">
        <v>13996</v>
      </c>
      <c r="P33" s="2"/>
      <c r="R33" s="2"/>
      <c r="T33" s="3"/>
      <c r="V33" s="3"/>
      <c r="AB33" s="3"/>
      <c r="AC33" s="3"/>
      <c r="AD33" s="3"/>
    </row>
    <row r="34" spans="1:30" x14ac:dyDescent="0.25">
      <c r="A34" t="s">
        <v>84</v>
      </c>
      <c r="B34" t="s">
        <v>365</v>
      </c>
      <c r="C34" t="s">
        <v>358</v>
      </c>
      <c r="D34" s="2">
        <v>45527</v>
      </c>
      <c r="E34">
        <v>149.6061</v>
      </c>
      <c r="F34" s="2">
        <v>45723</v>
      </c>
      <c r="G34">
        <v>261.91000000000003</v>
      </c>
      <c r="H34" s="3">
        <v>0.75070000000000003</v>
      </c>
      <c r="I34">
        <v>126438.39</v>
      </c>
      <c r="J34" s="3">
        <v>0.74790000000000001</v>
      </c>
      <c r="K34">
        <v>1130</v>
      </c>
      <c r="L34" s="3"/>
      <c r="P34" s="2"/>
      <c r="R34" s="2"/>
      <c r="T34" s="3"/>
      <c r="V34" s="3"/>
      <c r="AB34" s="3"/>
      <c r="AC34" s="3"/>
      <c r="AD34" s="3"/>
    </row>
    <row r="35" spans="1:30" x14ac:dyDescent="0.25">
      <c r="A35" t="s">
        <v>85</v>
      </c>
      <c r="B35" t="s">
        <v>366</v>
      </c>
      <c r="C35" t="s">
        <v>358</v>
      </c>
      <c r="D35" s="2">
        <v>45429</v>
      </c>
      <c r="E35">
        <v>12.11786</v>
      </c>
      <c r="F35" s="2">
        <v>45723</v>
      </c>
      <c r="G35">
        <v>22.490929999999999</v>
      </c>
      <c r="H35" s="3">
        <v>0.85599999999999998</v>
      </c>
      <c r="I35">
        <v>132425.35</v>
      </c>
      <c r="J35" s="3">
        <v>0.85319999999999996</v>
      </c>
      <c r="K35">
        <v>12809</v>
      </c>
      <c r="L35" s="3"/>
      <c r="P35" s="2"/>
      <c r="R35" s="2"/>
      <c r="T35" s="3"/>
      <c r="V35" s="3"/>
      <c r="AB35" s="3"/>
      <c r="AC35" s="3"/>
      <c r="AD35" s="3"/>
    </row>
    <row r="36" spans="1:30" x14ac:dyDescent="0.25">
      <c r="A36" t="s">
        <v>83</v>
      </c>
      <c r="B36" t="s">
        <v>367</v>
      </c>
      <c r="C36" t="s">
        <v>358</v>
      </c>
      <c r="D36" s="2">
        <v>45471</v>
      </c>
      <c r="E36">
        <v>1.1233409999999999</v>
      </c>
      <c r="F36" s="2">
        <v>45716</v>
      </c>
      <c r="G36">
        <v>0.92940909999999999</v>
      </c>
      <c r="H36" s="3">
        <v>-0.1726</v>
      </c>
      <c r="I36">
        <v>-28245.11</v>
      </c>
      <c r="J36" s="3">
        <v>-0.17449999999999999</v>
      </c>
      <c r="K36">
        <v>144119</v>
      </c>
      <c r="L36" s="3"/>
      <c r="P36" s="2"/>
      <c r="R36" s="2"/>
      <c r="T36" s="3"/>
      <c r="V36" s="3"/>
      <c r="AB36" s="3"/>
      <c r="AC36" s="3"/>
      <c r="AD36" s="3"/>
    </row>
    <row r="37" spans="1:30" x14ac:dyDescent="0.25">
      <c r="A37" t="s">
        <v>80</v>
      </c>
      <c r="B37" t="s">
        <v>368</v>
      </c>
      <c r="C37" t="s">
        <v>358</v>
      </c>
      <c r="D37" s="2">
        <v>45429</v>
      </c>
      <c r="E37">
        <v>9.7808050000000009</v>
      </c>
      <c r="F37" s="2">
        <v>45716</v>
      </c>
      <c r="G37">
        <v>10.353429999999999</v>
      </c>
      <c r="H37" s="3">
        <v>5.8500000000000003E-2</v>
      </c>
      <c r="I37">
        <v>8767</v>
      </c>
      <c r="J37" s="3">
        <v>5.6500000000000002E-2</v>
      </c>
      <c r="K37">
        <v>15868</v>
      </c>
      <c r="L37" s="3"/>
      <c r="P37" s="2"/>
      <c r="R37" s="2"/>
      <c r="T37" s="3"/>
      <c r="V37" s="3"/>
      <c r="AB37" s="3"/>
      <c r="AC37" s="3"/>
      <c r="AD37" s="3"/>
    </row>
    <row r="38" spans="1:30" x14ac:dyDescent="0.25">
      <c r="A38" t="s">
        <v>88</v>
      </c>
      <c r="B38" t="s">
        <v>369</v>
      </c>
      <c r="C38" t="s">
        <v>358</v>
      </c>
      <c r="D38" s="2">
        <v>45268</v>
      </c>
      <c r="E38">
        <v>12.95567</v>
      </c>
      <c r="F38" s="2">
        <v>45716</v>
      </c>
      <c r="G38">
        <v>13.58675</v>
      </c>
      <c r="H38" s="3">
        <v>4.87E-2</v>
      </c>
      <c r="I38">
        <v>6573.14</v>
      </c>
      <c r="J38" s="3">
        <v>4.6699999999999998E-2</v>
      </c>
      <c r="K38">
        <v>10873</v>
      </c>
      <c r="L38" s="3"/>
      <c r="P38" s="2"/>
      <c r="R38" s="2"/>
      <c r="T38" s="3"/>
      <c r="V38" s="3"/>
      <c r="AB38" s="3"/>
      <c r="AC38" s="3"/>
      <c r="AD38" s="3"/>
    </row>
    <row r="39" spans="1:30" x14ac:dyDescent="0.25">
      <c r="A39" t="s">
        <v>81</v>
      </c>
      <c r="B39" t="s">
        <v>370</v>
      </c>
      <c r="C39" t="s">
        <v>358</v>
      </c>
      <c r="D39" s="2">
        <v>45527</v>
      </c>
      <c r="E39">
        <v>33.578279999999999</v>
      </c>
      <c r="F39" s="2">
        <v>45709</v>
      </c>
      <c r="G39">
        <v>28.764150000000001</v>
      </c>
      <c r="H39" s="3">
        <v>-0.1434</v>
      </c>
      <c r="I39">
        <v>-24557.919999999998</v>
      </c>
      <c r="J39" s="3">
        <v>-0.1452</v>
      </c>
      <c r="K39">
        <v>5036</v>
      </c>
      <c r="L39" s="3"/>
      <c r="P39" s="2"/>
      <c r="R39" s="2"/>
      <c r="T39" s="3"/>
      <c r="V39" s="3"/>
      <c r="AB39" s="3"/>
      <c r="AC39" s="3"/>
      <c r="AD39" s="3"/>
    </row>
    <row r="40" spans="1:30" x14ac:dyDescent="0.25">
      <c r="A40" t="s">
        <v>90</v>
      </c>
      <c r="B40" t="s">
        <v>371</v>
      </c>
      <c r="C40" t="s">
        <v>358</v>
      </c>
      <c r="D40" s="2">
        <v>45527</v>
      </c>
      <c r="E40">
        <v>2.2000000000000002</v>
      </c>
      <c r="F40" s="2">
        <v>45653</v>
      </c>
      <c r="G40">
        <v>2.89</v>
      </c>
      <c r="H40" s="3">
        <v>0.31359999999999999</v>
      </c>
      <c r="I40">
        <v>52661.36</v>
      </c>
      <c r="J40" s="3">
        <v>0.31130000000000002</v>
      </c>
      <c r="K40">
        <v>76888</v>
      </c>
      <c r="L40" s="3"/>
      <c r="P40" s="2"/>
      <c r="R40" s="2"/>
      <c r="T40" s="3"/>
      <c r="V40" s="3"/>
      <c r="AB40" s="3"/>
      <c r="AC40" s="3"/>
      <c r="AD40" s="3"/>
    </row>
    <row r="41" spans="1:30" x14ac:dyDescent="0.25">
      <c r="A41" t="s">
        <v>79</v>
      </c>
      <c r="B41" t="s">
        <v>372</v>
      </c>
      <c r="C41" t="s">
        <v>358</v>
      </c>
      <c r="D41" s="2">
        <v>45429</v>
      </c>
      <c r="E41">
        <v>15.35</v>
      </c>
      <c r="F41" s="2">
        <v>45653</v>
      </c>
      <c r="G41">
        <v>22.17</v>
      </c>
      <c r="H41" s="3">
        <v>0.44429999999999997</v>
      </c>
      <c r="I41">
        <v>68598</v>
      </c>
      <c r="J41" s="3">
        <v>0.44190000000000002</v>
      </c>
      <c r="K41">
        <v>10114</v>
      </c>
      <c r="L41" s="3"/>
      <c r="P41" s="2"/>
      <c r="R41" s="2"/>
      <c r="T41" s="3"/>
      <c r="V41" s="3"/>
      <c r="AB41" s="3"/>
      <c r="AC41" s="3"/>
      <c r="AD41" s="3"/>
    </row>
    <row r="42" spans="1:30" x14ac:dyDescent="0.25">
      <c r="A42" t="s">
        <v>100</v>
      </c>
      <c r="B42" t="s">
        <v>373</v>
      </c>
      <c r="C42" t="s">
        <v>358</v>
      </c>
      <c r="D42" s="2">
        <v>44659</v>
      </c>
      <c r="E42">
        <v>3.1867529999999999</v>
      </c>
      <c r="F42" s="2">
        <v>45527</v>
      </c>
      <c r="G42">
        <v>3.2509869999999998</v>
      </c>
      <c r="H42" s="3">
        <v>2.0199999999999999E-2</v>
      </c>
      <c r="I42">
        <v>2972.46</v>
      </c>
      <c r="J42" s="3">
        <v>1.8100000000000002E-2</v>
      </c>
      <c r="K42">
        <v>51429</v>
      </c>
      <c r="L42" s="3"/>
      <c r="P42" s="2"/>
      <c r="R42" s="2"/>
      <c r="T42" s="3"/>
      <c r="V42" s="3"/>
      <c r="AB42" s="3"/>
      <c r="AC42" s="3"/>
      <c r="AD42" s="3"/>
    </row>
    <row r="43" spans="1:30" x14ac:dyDescent="0.25">
      <c r="A43" t="s">
        <v>84</v>
      </c>
      <c r="B43" t="s">
        <v>365</v>
      </c>
      <c r="C43" t="s">
        <v>358</v>
      </c>
      <c r="D43" s="2">
        <v>44785</v>
      </c>
      <c r="E43">
        <v>52.913960000000003</v>
      </c>
      <c r="F43" s="2">
        <v>45520</v>
      </c>
      <c r="G43">
        <v>129.11449999999999</v>
      </c>
      <c r="H43" s="3">
        <v>1.4400999999999999</v>
      </c>
      <c r="I43">
        <v>214372.2</v>
      </c>
      <c r="J43" s="3">
        <v>1.4366000000000001</v>
      </c>
      <c r="K43">
        <v>2820</v>
      </c>
      <c r="L43" s="3"/>
      <c r="P43" s="2"/>
      <c r="R43" s="2"/>
      <c r="T43" s="3"/>
      <c r="V43" s="3"/>
      <c r="AB43" s="3"/>
      <c r="AC43" s="3"/>
      <c r="AD43" s="3"/>
    </row>
    <row r="44" spans="1:30" x14ac:dyDescent="0.25">
      <c r="A44" t="s">
        <v>101</v>
      </c>
      <c r="B44" t="s">
        <v>374</v>
      </c>
      <c r="C44" t="s">
        <v>358</v>
      </c>
      <c r="D44" s="2">
        <v>45429</v>
      </c>
      <c r="E44">
        <v>16.25</v>
      </c>
      <c r="F44" s="2">
        <v>45450</v>
      </c>
      <c r="G44">
        <v>16.07</v>
      </c>
      <c r="H44" s="3">
        <v>-1.11E-2</v>
      </c>
      <c r="I44">
        <v>-2028.29</v>
      </c>
      <c r="J44" s="3">
        <v>-1.3100000000000001E-2</v>
      </c>
      <c r="K44">
        <v>9553</v>
      </c>
      <c r="L44" s="3"/>
      <c r="P44" s="2"/>
      <c r="R44" s="2"/>
      <c r="T44" s="3"/>
      <c r="V44" s="3"/>
      <c r="AB44" s="3"/>
      <c r="AC44" s="3"/>
      <c r="AD44" s="3"/>
    </row>
    <row r="45" spans="1:30" x14ac:dyDescent="0.25">
      <c r="A45" t="s">
        <v>102</v>
      </c>
      <c r="B45" t="s">
        <v>375</v>
      </c>
      <c r="C45" t="s">
        <v>358</v>
      </c>
      <c r="D45" s="2">
        <v>44211</v>
      </c>
      <c r="E45">
        <v>3.444477</v>
      </c>
      <c r="F45" s="2">
        <v>45429</v>
      </c>
      <c r="G45">
        <v>3.6187260000000001</v>
      </c>
      <c r="H45" s="3">
        <v>5.0599999999999999E-2</v>
      </c>
      <c r="I45">
        <v>6743.94</v>
      </c>
      <c r="J45" s="3">
        <v>4.8500000000000001E-2</v>
      </c>
      <c r="K45">
        <v>40338</v>
      </c>
      <c r="L45" s="3"/>
      <c r="P45" s="2"/>
      <c r="R45" s="2"/>
      <c r="T45" s="3"/>
      <c r="V45" s="3"/>
      <c r="AB45" s="3"/>
      <c r="AC45" s="3"/>
      <c r="AD45" s="3"/>
    </row>
    <row r="46" spans="1:30" x14ac:dyDescent="0.25">
      <c r="A46" t="s">
        <v>103</v>
      </c>
      <c r="B46" t="s">
        <v>376</v>
      </c>
      <c r="C46" t="s">
        <v>358</v>
      </c>
      <c r="D46" s="2">
        <v>45268</v>
      </c>
      <c r="E46">
        <v>1.83</v>
      </c>
      <c r="F46" s="2">
        <v>45415</v>
      </c>
      <c r="G46">
        <v>1.7649999999999999</v>
      </c>
      <c r="H46" s="3">
        <v>-3.5499999999999997E-2</v>
      </c>
      <c r="I46">
        <v>-5279.21</v>
      </c>
      <c r="J46" s="3">
        <v>-3.7499999999999999E-2</v>
      </c>
      <c r="K46">
        <v>76962</v>
      </c>
      <c r="L46" s="3"/>
      <c r="P46" s="2"/>
      <c r="R46" s="2"/>
      <c r="T46" s="3"/>
      <c r="V46" s="3"/>
      <c r="AB46" s="3"/>
      <c r="AC46" s="3"/>
      <c r="AD46" s="3"/>
    </row>
    <row r="47" spans="1:30" x14ac:dyDescent="0.25">
      <c r="A47" t="s">
        <v>104</v>
      </c>
      <c r="B47" t="s">
        <v>377</v>
      </c>
      <c r="C47" t="s">
        <v>358</v>
      </c>
      <c r="D47" s="2">
        <v>45268</v>
      </c>
      <c r="E47">
        <v>16.3</v>
      </c>
      <c r="F47" s="2">
        <v>45408</v>
      </c>
      <c r="G47">
        <v>19.29</v>
      </c>
      <c r="H47" s="3">
        <v>0.18340000000000001</v>
      </c>
      <c r="I47">
        <v>25523.15</v>
      </c>
      <c r="J47" s="3">
        <v>0.18129999999999999</v>
      </c>
      <c r="K47">
        <v>8639</v>
      </c>
      <c r="L47" s="3"/>
      <c r="P47" s="2"/>
      <c r="R47" s="2"/>
      <c r="T47" s="3"/>
      <c r="V47" s="3"/>
      <c r="AB47" s="3"/>
      <c r="AC47" s="3"/>
      <c r="AD47" s="3"/>
    </row>
    <row r="48" spans="1:30" x14ac:dyDescent="0.25">
      <c r="A48" t="s">
        <v>105</v>
      </c>
      <c r="B48" t="s">
        <v>378</v>
      </c>
      <c r="C48" t="s">
        <v>358</v>
      </c>
      <c r="D48" s="2">
        <v>45037</v>
      </c>
      <c r="E48">
        <v>3.8397920000000001</v>
      </c>
      <c r="F48" s="2">
        <v>45408</v>
      </c>
      <c r="G48">
        <v>5.0820480000000003</v>
      </c>
      <c r="H48" s="3">
        <v>0.32350000000000001</v>
      </c>
      <c r="I48">
        <v>45887.43</v>
      </c>
      <c r="J48" s="3">
        <v>0.32119999999999999</v>
      </c>
      <c r="K48">
        <v>37206</v>
      </c>
      <c r="L48" s="3"/>
      <c r="P48" s="2"/>
      <c r="R48" s="2"/>
      <c r="T48" s="3"/>
      <c r="V48" s="3"/>
      <c r="AB48" s="3"/>
      <c r="AC48" s="3"/>
      <c r="AD48" s="3"/>
    </row>
    <row r="49" spans="1:30" x14ac:dyDescent="0.25">
      <c r="A49" t="s">
        <v>106</v>
      </c>
      <c r="B49" t="s">
        <v>379</v>
      </c>
      <c r="C49" t="s">
        <v>358</v>
      </c>
      <c r="D49" s="2">
        <v>45128</v>
      </c>
      <c r="E49">
        <v>9.56</v>
      </c>
      <c r="F49" s="2">
        <v>45233</v>
      </c>
      <c r="G49">
        <v>9.35</v>
      </c>
      <c r="H49" s="3">
        <v>-2.1999999999999999E-2</v>
      </c>
      <c r="I49">
        <v>-3356.74</v>
      </c>
      <c r="J49" s="3">
        <v>-2.3900000000000001E-2</v>
      </c>
      <c r="K49">
        <v>14664</v>
      </c>
      <c r="L49" s="3"/>
      <c r="P49" s="2"/>
      <c r="R49" s="2"/>
      <c r="T49" s="3"/>
      <c r="V49" s="3"/>
      <c r="AB49" s="3"/>
      <c r="AC49" s="3"/>
      <c r="AD49" s="3"/>
    </row>
    <row r="50" spans="1:30" x14ac:dyDescent="0.25">
      <c r="A50" t="s">
        <v>107</v>
      </c>
      <c r="B50" t="s">
        <v>380</v>
      </c>
      <c r="C50" t="s">
        <v>358</v>
      </c>
      <c r="D50" s="2">
        <v>45037</v>
      </c>
      <c r="E50">
        <v>142.0361</v>
      </c>
      <c r="F50" s="2">
        <v>45233</v>
      </c>
      <c r="G50">
        <v>139.3167</v>
      </c>
      <c r="H50" s="3">
        <v>-1.9099999999999999E-2</v>
      </c>
      <c r="I50">
        <v>-3015.76</v>
      </c>
      <c r="J50" s="3">
        <v>-2.1100000000000001E-2</v>
      </c>
      <c r="K50">
        <v>1005</v>
      </c>
      <c r="L50" s="3"/>
      <c r="P50" s="2"/>
      <c r="R50" s="2"/>
      <c r="T50" s="3"/>
      <c r="V50" s="3"/>
      <c r="AB50" s="3"/>
      <c r="AC50" s="3"/>
      <c r="AD50" s="3"/>
    </row>
    <row r="51" spans="1:30" x14ac:dyDescent="0.25">
      <c r="A51" t="s">
        <v>108</v>
      </c>
      <c r="B51" t="s">
        <v>381</v>
      </c>
      <c r="C51" t="s">
        <v>358</v>
      </c>
      <c r="D51" s="2">
        <v>44799</v>
      </c>
      <c r="E51">
        <v>11.857659999999999</v>
      </c>
      <c r="F51" s="2">
        <v>45233</v>
      </c>
      <c r="G51">
        <v>12.398389999999999</v>
      </c>
      <c r="H51" s="3">
        <v>4.5600000000000002E-2</v>
      </c>
      <c r="I51">
        <v>6416.16</v>
      </c>
      <c r="J51" s="3">
        <v>4.36E-2</v>
      </c>
      <c r="K51">
        <v>12423</v>
      </c>
      <c r="L51" s="3"/>
      <c r="P51" s="2"/>
      <c r="R51" s="2"/>
      <c r="T51" s="3"/>
      <c r="V51" s="3"/>
      <c r="AB51" s="3"/>
      <c r="AC51" s="3"/>
      <c r="AD51" s="3"/>
    </row>
    <row r="52" spans="1:30" x14ac:dyDescent="0.25">
      <c r="A52" t="s">
        <v>109</v>
      </c>
      <c r="B52" t="s">
        <v>382</v>
      </c>
      <c r="C52" t="s">
        <v>358</v>
      </c>
      <c r="D52" s="2">
        <v>45177</v>
      </c>
      <c r="E52">
        <v>2.3905859999999999</v>
      </c>
      <c r="F52" s="2">
        <v>45212</v>
      </c>
      <c r="G52">
        <v>2.4186000000000001</v>
      </c>
      <c r="H52" s="3">
        <v>1.17E-2</v>
      </c>
      <c r="I52">
        <v>1389.88</v>
      </c>
      <c r="J52" s="3">
        <v>9.7000000000000003E-3</v>
      </c>
      <c r="K52">
        <v>59896</v>
      </c>
      <c r="L52" s="3"/>
      <c r="P52" s="2"/>
      <c r="R52" s="2"/>
      <c r="T52" s="3"/>
      <c r="V52" s="3"/>
      <c r="AB52" s="3"/>
      <c r="AC52" s="3"/>
      <c r="AD52" s="3"/>
    </row>
    <row r="53" spans="1:30" x14ac:dyDescent="0.25">
      <c r="A53" t="s">
        <v>110</v>
      </c>
      <c r="B53" t="s">
        <v>383</v>
      </c>
      <c r="C53" t="s">
        <v>358</v>
      </c>
      <c r="D53" s="2">
        <v>45100</v>
      </c>
      <c r="E53">
        <v>79.898009999999999</v>
      </c>
      <c r="F53" s="2">
        <v>45170</v>
      </c>
      <c r="G53">
        <v>71.511799999999994</v>
      </c>
      <c r="H53" s="3">
        <v>-0.105</v>
      </c>
      <c r="I53">
        <v>-15342.08</v>
      </c>
      <c r="J53" s="3">
        <v>-0.1069</v>
      </c>
      <c r="K53">
        <v>1797</v>
      </c>
      <c r="L53" s="3"/>
      <c r="P53" s="2"/>
      <c r="R53" s="2"/>
      <c r="T53" s="3"/>
      <c r="V53" s="3"/>
      <c r="AB53" s="3"/>
      <c r="AC53" s="3"/>
      <c r="AD53" s="3"/>
    </row>
    <row r="54" spans="1:30" x14ac:dyDescent="0.25">
      <c r="A54" t="s">
        <v>111</v>
      </c>
      <c r="B54" t="s">
        <v>384</v>
      </c>
      <c r="C54" t="s">
        <v>358</v>
      </c>
      <c r="D54" s="2">
        <v>45128</v>
      </c>
      <c r="E54">
        <v>13.764010000000001</v>
      </c>
      <c r="F54" s="2">
        <v>45163</v>
      </c>
      <c r="G54">
        <v>10.984400000000001</v>
      </c>
      <c r="H54" s="3">
        <v>-0.2019</v>
      </c>
      <c r="I54">
        <v>-28556.78</v>
      </c>
      <c r="J54" s="3">
        <v>-0.20369999999999999</v>
      </c>
      <c r="K54">
        <v>10183</v>
      </c>
      <c r="L54" s="3"/>
      <c r="P54" s="2"/>
      <c r="R54" s="2"/>
      <c r="T54" s="3"/>
      <c r="V54" s="3"/>
      <c r="AB54" s="3"/>
      <c r="AC54" s="3"/>
      <c r="AD54" s="3"/>
    </row>
    <row r="55" spans="1:30" x14ac:dyDescent="0.25">
      <c r="A55" t="s">
        <v>112</v>
      </c>
      <c r="B55" t="s">
        <v>385</v>
      </c>
      <c r="C55" t="s">
        <v>358</v>
      </c>
      <c r="D55" s="2">
        <v>44876</v>
      </c>
      <c r="E55">
        <v>1.1706319999999999</v>
      </c>
      <c r="F55" s="2">
        <v>45121</v>
      </c>
      <c r="G55">
        <v>0.9455732</v>
      </c>
      <c r="H55" s="3">
        <v>-0.1923</v>
      </c>
      <c r="I55">
        <v>-27844.39</v>
      </c>
      <c r="J55" s="3">
        <v>-0.19409999999999999</v>
      </c>
      <c r="K55">
        <v>122568</v>
      </c>
      <c r="L55" s="3"/>
      <c r="P55" s="2"/>
      <c r="R55" s="2"/>
      <c r="T55" s="3"/>
      <c r="V55" s="3"/>
      <c r="AB55" s="3"/>
      <c r="AC55" s="3"/>
      <c r="AD55" s="3"/>
    </row>
    <row r="56" spans="1:30" x14ac:dyDescent="0.25">
      <c r="A56" t="s">
        <v>113</v>
      </c>
      <c r="B56" t="s">
        <v>386</v>
      </c>
      <c r="C56" t="s">
        <v>358</v>
      </c>
      <c r="D56" s="2">
        <v>45100</v>
      </c>
      <c r="E56">
        <v>3.13</v>
      </c>
      <c r="F56" s="2">
        <v>45107</v>
      </c>
      <c r="G56">
        <v>2.83</v>
      </c>
      <c r="H56" s="3">
        <v>-9.5799999999999996E-2</v>
      </c>
      <c r="I56">
        <v>-14038.06</v>
      </c>
      <c r="J56" s="3">
        <v>-9.7799999999999998E-2</v>
      </c>
      <c r="K56">
        <v>45882</v>
      </c>
      <c r="L56" s="3"/>
      <c r="P56" s="2"/>
      <c r="R56" s="2"/>
      <c r="T56" s="3"/>
      <c r="V56" s="3"/>
      <c r="AB56" s="3"/>
      <c r="AC56" s="3"/>
      <c r="AD56" s="3"/>
    </row>
    <row r="57" spans="1:30" x14ac:dyDescent="0.25">
      <c r="A57" t="s">
        <v>114</v>
      </c>
      <c r="B57" t="s">
        <v>387</v>
      </c>
      <c r="C57" t="s">
        <v>358</v>
      </c>
      <c r="D57" s="2">
        <v>45037</v>
      </c>
      <c r="E57">
        <v>20.966139999999999</v>
      </c>
      <c r="F57" s="2">
        <v>45107</v>
      </c>
      <c r="G57">
        <v>17.263400000000001</v>
      </c>
      <c r="H57" s="3">
        <v>-0.17660000000000001</v>
      </c>
      <c r="I57">
        <v>-25490.97</v>
      </c>
      <c r="J57" s="3">
        <v>-0.1784</v>
      </c>
      <c r="K57">
        <v>6814</v>
      </c>
      <c r="L57" s="3"/>
      <c r="P57" s="2"/>
      <c r="R57" s="2"/>
      <c r="T57" s="3"/>
      <c r="V57" s="3"/>
      <c r="AB57" s="3"/>
      <c r="AC57" s="3"/>
      <c r="AD57" s="3"/>
    </row>
    <row r="58" spans="1:30" x14ac:dyDescent="0.25">
      <c r="A58" t="s">
        <v>113</v>
      </c>
      <c r="B58" t="s">
        <v>386</v>
      </c>
      <c r="C58" t="s">
        <v>358</v>
      </c>
      <c r="D58" s="2">
        <v>45037</v>
      </c>
      <c r="E58">
        <v>2.72</v>
      </c>
      <c r="F58" s="2">
        <v>45079</v>
      </c>
      <c r="G58">
        <v>2.72</v>
      </c>
      <c r="H58" s="3">
        <v>0</v>
      </c>
      <c r="I58">
        <v>-285.62</v>
      </c>
      <c r="J58" s="3">
        <v>-2E-3</v>
      </c>
      <c r="K58">
        <v>52504</v>
      </c>
      <c r="L58" s="3"/>
      <c r="P58" s="2"/>
      <c r="R58" s="2"/>
      <c r="T58" s="3"/>
      <c r="V58" s="3"/>
      <c r="AB58" s="3"/>
      <c r="AC58" s="3"/>
      <c r="AD58" s="3"/>
    </row>
    <row r="59" spans="1:30" x14ac:dyDescent="0.25">
      <c r="A59" t="s">
        <v>115</v>
      </c>
      <c r="B59" t="s">
        <v>388</v>
      </c>
      <c r="C59" t="s">
        <v>358</v>
      </c>
      <c r="D59" s="2">
        <v>44785</v>
      </c>
      <c r="E59">
        <v>11.05894</v>
      </c>
      <c r="F59" s="2">
        <v>45079</v>
      </c>
      <c r="G59">
        <v>11.05359</v>
      </c>
      <c r="H59" s="3">
        <v>-5.0000000000000001E-4</v>
      </c>
      <c r="I59">
        <v>-370.83</v>
      </c>
      <c r="J59" s="3">
        <v>-2.5000000000000001E-3</v>
      </c>
      <c r="K59">
        <v>13503</v>
      </c>
      <c r="L59" s="3"/>
      <c r="P59" s="2"/>
      <c r="R59" s="2"/>
      <c r="T59" s="3"/>
      <c r="V59" s="3"/>
      <c r="AB59" s="3"/>
      <c r="AC59" s="3"/>
      <c r="AD59" s="3"/>
    </row>
    <row r="60" spans="1:30" x14ac:dyDescent="0.25">
      <c r="A60" t="s">
        <v>240</v>
      </c>
      <c r="B60" t="s">
        <v>389</v>
      </c>
      <c r="C60" t="s">
        <v>358</v>
      </c>
      <c r="D60" s="2">
        <v>44883</v>
      </c>
      <c r="E60">
        <v>16.34</v>
      </c>
      <c r="F60" s="2">
        <v>45009</v>
      </c>
      <c r="G60">
        <v>10.44</v>
      </c>
      <c r="H60" s="3">
        <v>-0.36109999999999998</v>
      </c>
      <c r="I60">
        <v>-52612.03</v>
      </c>
      <c r="J60" s="3">
        <v>-0.36270000000000002</v>
      </c>
      <c r="K60">
        <v>8877</v>
      </c>
      <c r="L60" s="3"/>
      <c r="P60" s="2"/>
      <c r="R60" s="2"/>
      <c r="T60" s="3"/>
      <c r="V60" s="3"/>
      <c r="AB60" s="3"/>
      <c r="AC60" s="3"/>
      <c r="AD60" s="3"/>
    </row>
    <row r="61" spans="1:30" x14ac:dyDescent="0.25">
      <c r="A61" t="s">
        <v>116</v>
      </c>
      <c r="B61" t="s">
        <v>390</v>
      </c>
      <c r="C61" t="s">
        <v>358</v>
      </c>
      <c r="D61" s="2">
        <v>44883</v>
      </c>
      <c r="E61">
        <v>80.905879999999996</v>
      </c>
      <c r="F61" s="2">
        <v>45009</v>
      </c>
      <c r="G61">
        <v>78.488519999999994</v>
      </c>
      <c r="H61" s="3">
        <v>-2.9899999999999999E-2</v>
      </c>
      <c r="I61">
        <v>-4620.1899999999996</v>
      </c>
      <c r="J61" s="3">
        <v>-3.1800000000000002E-2</v>
      </c>
      <c r="K61">
        <v>1793</v>
      </c>
      <c r="L61" s="3"/>
      <c r="P61" s="2"/>
      <c r="R61" s="2"/>
      <c r="T61" s="3"/>
      <c r="V61" s="3"/>
      <c r="AB61" s="3"/>
      <c r="AC61" s="3"/>
      <c r="AD61" s="3"/>
    </row>
    <row r="62" spans="1:30" x14ac:dyDescent="0.25">
      <c r="A62" t="s">
        <v>117</v>
      </c>
      <c r="B62" t="s">
        <v>391</v>
      </c>
      <c r="C62" t="s">
        <v>358</v>
      </c>
      <c r="D62" s="2">
        <v>44806</v>
      </c>
      <c r="E62">
        <v>27.906690000000001</v>
      </c>
      <c r="F62" s="2">
        <v>45009</v>
      </c>
      <c r="G62">
        <v>27.20552</v>
      </c>
      <c r="H62" s="3">
        <v>-2.5100000000000001E-2</v>
      </c>
      <c r="I62">
        <v>-3926.62</v>
      </c>
      <c r="J62" s="3">
        <v>-2.7099999999999999E-2</v>
      </c>
      <c r="K62">
        <v>5192</v>
      </c>
      <c r="L62" s="3"/>
      <c r="P62" s="2"/>
      <c r="R62" s="2"/>
      <c r="T62" s="3"/>
      <c r="V62" s="3"/>
      <c r="AB62" s="3"/>
      <c r="AC62" s="3"/>
      <c r="AD62" s="3"/>
    </row>
    <row r="63" spans="1:30" x14ac:dyDescent="0.25">
      <c r="A63" t="s">
        <v>109</v>
      </c>
      <c r="B63" t="s">
        <v>382</v>
      </c>
      <c r="C63" t="s">
        <v>358</v>
      </c>
      <c r="D63" s="2">
        <v>44883</v>
      </c>
      <c r="E63">
        <v>2.1664680000000001</v>
      </c>
      <c r="F63" s="2">
        <v>45002</v>
      </c>
      <c r="G63">
        <v>1.9423509999999999</v>
      </c>
      <c r="H63" s="3">
        <v>-0.10340000000000001</v>
      </c>
      <c r="I63">
        <v>-15279.03</v>
      </c>
      <c r="J63" s="3">
        <v>-0.1053</v>
      </c>
      <c r="K63">
        <v>66947</v>
      </c>
      <c r="L63" s="3"/>
      <c r="P63" s="2"/>
      <c r="R63" s="2"/>
      <c r="T63" s="3"/>
      <c r="V63" s="3"/>
      <c r="AB63" s="3"/>
      <c r="AC63" s="3"/>
      <c r="AD63" s="3"/>
    </row>
    <row r="64" spans="1:30" x14ac:dyDescent="0.25">
      <c r="A64" t="s">
        <v>113</v>
      </c>
      <c r="B64" t="s">
        <v>386</v>
      </c>
      <c r="C64" t="s">
        <v>358</v>
      </c>
      <c r="D64" s="2">
        <v>44883</v>
      </c>
      <c r="E64">
        <v>2.1</v>
      </c>
      <c r="F64" s="2">
        <v>45002</v>
      </c>
      <c r="G64">
        <v>1.52</v>
      </c>
      <c r="H64" s="3">
        <v>-0.2762</v>
      </c>
      <c r="I64">
        <v>-40318.22</v>
      </c>
      <c r="J64" s="3">
        <v>-0.27789999999999998</v>
      </c>
      <c r="K64">
        <v>69083</v>
      </c>
      <c r="L64" s="3"/>
      <c r="P64" s="2"/>
      <c r="R64" s="2"/>
      <c r="T64" s="3"/>
      <c r="V64" s="3"/>
      <c r="AB64" s="3"/>
      <c r="AC64" s="3"/>
      <c r="AD64" s="3"/>
    </row>
    <row r="65" spans="1:30" x14ac:dyDescent="0.25">
      <c r="A65" t="s">
        <v>118</v>
      </c>
      <c r="B65" t="s">
        <v>392</v>
      </c>
      <c r="C65" t="s">
        <v>358</v>
      </c>
      <c r="D65" s="2">
        <v>44876</v>
      </c>
      <c r="E65">
        <v>1.8972009999999999</v>
      </c>
      <c r="F65" s="2">
        <v>44995</v>
      </c>
      <c r="G65">
        <v>1.882422</v>
      </c>
      <c r="H65" s="3">
        <v>-7.7999999999999996E-3</v>
      </c>
      <c r="I65">
        <v>-1403.74</v>
      </c>
      <c r="J65" s="3">
        <v>-9.7999999999999997E-3</v>
      </c>
      <c r="K65">
        <v>75638</v>
      </c>
      <c r="P65" s="2"/>
      <c r="R65" s="2"/>
      <c r="T65" s="3"/>
      <c r="V65" s="3"/>
      <c r="AB65" s="3"/>
      <c r="AC65" s="3"/>
      <c r="AD65" s="3"/>
    </row>
    <row r="66" spans="1:30" x14ac:dyDescent="0.25">
      <c r="A66" t="s">
        <v>26</v>
      </c>
      <c r="B66" t="s">
        <v>25</v>
      </c>
      <c r="C66" t="s">
        <v>358</v>
      </c>
      <c r="D66" s="2">
        <v>44799</v>
      </c>
      <c r="E66">
        <v>3.2320039999999999</v>
      </c>
      <c r="F66" s="2">
        <v>44869</v>
      </c>
      <c r="G66">
        <v>2.5233150000000002</v>
      </c>
      <c r="H66" s="3">
        <v>-0.21929999999999999</v>
      </c>
      <c r="I66">
        <v>-32560.09</v>
      </c>
      <c r="J66" s="3">
        <v>-0.22109999999999999</v>
      </c>
      <c r="K66">
        <v>45574</v>
      </c>
      <c r="P66" s="2"/>
      <c r="R66" s="2"/>
      <c r="T66" s="3"/>
      <c r="V66" s="3"/>
      <c r="AB66" s="3"/>
      <c r="AC66" s="3"/>
      <c r="AD66" s="3"/>
    </row>
    <row r="67" spans="1:30" x14ac:dyDescent="0.25">
      <c r="A67" t="s">
        <v>119</v>
      </c>
      <c r="B67" t="s">
        <v>393</v>
      </c>
      <c r="C67" t="s">
        <v>358</v>
      </c>
      <c r="D67" s="2">
        <v>44799</v>
      </c>
      <c r="E67">
        <v>3.5457719999999999</v>
      </c>
      <c r="F67" s="2">
        <v>44869</v>
      </c>
      <c r="G67">
        <v>4.3987660000000002</v>
      </c>
      <c r="H67" s="3">
        <v>0.24060000000000001</v>
      </c>
      <c r="I67">
        <v>35113.5</v>
      </c>
      <c r="J67" s="3">
        <v>0.23830000000000001</v>
      </c>
      <c r="K67">
        <v>41552</v>
      </c>
      <c r="P67" s="2"/>
      <c r="R67" s="2"/>
      <c r="T67" s="3"/>
      <c r="V67" s="3"/>
      <c r="AB67" s="3"/>
      <c r="AC67" s="3"/>
      <c r="AD67" s="3"/>
    </row>
    <row r="68" spans="1:30" x14ac:dyDescent="0.25">
      <c r="A68" t="s">
        <v>120</v>
      </c>
      <c r="B68" t="s">
        <v>394</v>
      </c>
      <c r="C68" t="s">
        <v>358</v>
      </c>
      <c r="D68" s="2">
        <v>44792</v>
      </c>
      <c r="E68">
        <v>5.4787090000000003</v>
      </c>
      <c r="F68" s="2">
        <v>44869</v>
      </c>
      <c r="G68">
        <v>8.0143090000000008</v>
      </c>
      <c r="H68" s="3">
        <v>0.46279999999999999</v>
      </c>
      <c r="I68">
        <v>68828.33</v>
      </c>
      <c r="J68" s="3">
        <v>0.46029999999999999</v>
      </c>
      <c r="K68">
        <v>27290</v>
      </c>
      <c r="P68" s="2"/>
      <c r="R68" s="2"/>
      <c r="T68" s="3"/>
      <c r="V68" s="3"/>
      <c r="AB68" s="3"/>
      <c r="AC68" s="3"/>
      <c r="AD68" s="3"/>
    </row>
    <row r="69" spans="1:30" x14ac:dyDescent="0.25">
      <c r="A69" t="s">
        <v>121</v>
      </c>
      <c r="B69" t="s">
        <v>395</v>
      </c>
      <c r="C69" t="s">
        <v>358</v>
      </c>
      <c r="D69" s="2">
        <v>44820</v>
      </c>
      <c r="E69">
        <v>21.270800000000001</v>
      </c>
      <c r="F69" s="2">
        <v>44834</v>
      </c>
      <c r="G69">
        <v>17.483799999999999</v>
      </c>
      <c r="H69" s="3">
        <v>-0.17799999999999999</v>
      </c>
      <c r="I69">
        <v>-26994.52</v>
      </c>
      <c r="J69" s="3">
        <v>-0.1799</v>
      </c>
      <c r="K69">
        <v>7056</v>
      </c>
      <c r="P69" s="2"/>
      <c r="R69" s="2"/>
      <c r="T69" s="3"/>
      <c r="V69" s="3"/>
      <c r="AB69" s="3"/>
      <c r="AC69" s="3"/>
      <c r="AD69" s="3"/>
    </row>
    <row r="70" spans="1:30" x14ac:dyDescent="0.25">
      <c r="A70" t="s">
        <v>122</v>
      </c>
      <c r="B70" t="s">
        <v>396</v>
      </c>
      <c r="C70" t="s">
        <v>358</v>
      </c>
      <c r="D70" s="2">
        <v>44785</v>
      </c>
      <c r="E70">
        <v>19.684360000000002</v>
      </c>
      <c r="F70" s="2">
        <v>44834</v>
      </c>
      <c r="G70">
        <v>18.137219999999999</v>
      </c>
      <c r="H70" s="3">
        <v>-7.8600000000000003E-2</v>
      </c>
      <c r="I70">
        <v>-12018.76</v>
      </c>
      <c r="J70" s="3">
        <v>-8.0500000000000002E-2</v>
      </c>
      <c r="K70">
        <v>7583</v>
      </c>
      <c r="P70" s="2"/>
      <c r="R70" s="2"/>
      <c r="T70" s="3"/>
      <c r="V70" s="3"/>
      <c r="AB70" s="3"/>
      <c r="AC70" s="3"/>
      <c r="AD70" s="3"/>
    </row>
    <row r="71" spans="1:30" x14ac:dyDescent="0.25">
      <c r="A71" t="s">
        <v>85</v>
      </c>
      <c r="B71" t="s">
        <v>366</v>
      </c>
      <c r="C71" t="s">
        <v>358</v>
      </c>
      <c r="D71" s="2">
        <v>44785</v>
      </c>
      <c r="E71">
        <v>9.8919119999999996</v>
      </c>
      <c r="F71" s="2">
        <v>44834</v>
      </c>
      <c r="G71">
        <v>7.8203860000000001</v>
      </c>
      <c r="H71" s="3">
        <v>-0.2094</v>
      </c>
      <c r="I71">
        <v>-31530.75</v>
      </c>
      <c r="J71" s="3">
        <v>-0.2112</v>
      </c>
      <c r="K71">
        <v>15092</v>
      </c>
      <c r="P71" s="2"/>
      <c r="R71" s="2"/>
      <c r="T71" s="3"/>
      <c r="V71" s="3"/>
      <c r="AB71" s="3"/>
      <c r="AC71" s="3"/>
      <c r="AD71" s="3"/>
    </row>
    <row r="72" spans="1:30" x14ac:dyDescent="0.25">
      <c r="A72" t="s">
        <v>123</v>
      </c>
      <c r="B72" t="s">
        <v>397</v>
      </c>
      <c r="C72" t="s">
        <v>358</v>
      </c>
      <c r="D72" s="2">
        <v>44785</v>
      </c>
      <c r="E72">
        <v>11.843260000000001</v>
      </c>
      <c r="F72" s="2">
        <v>44834</v>
      </c>
      <c r="G72">
        <v>10.23312</v>
      </c>
      <c r="H72" s="3">
        <v>-0.13600000000000001</v>
      </c>
      <c r="I72">
        <v>-20582.25</v>
      </c>
      <c r="J72" s="3">
        <v>-0.13780000000000001</v>
      </c>
      <c r="K72">
        <v>12610</v>
      </c>
      <c r="P72" s="2"/>
      <c r="R72" s="2"/>
      <c r="T72" s="3"/>
      <c r="V72" s="3"/>
      <c r="AB72" s="3"/>
      <c r="AC72" s="3"/>
      <c r="AD72" s="3"/>
    </row>
    <row r="73" spans="1:30" x14ac:dyDescent="0.25">
      <c r="A73" t="s">
        <v>110</v>
      </c>
      <c r="B73" t="s">
        <v>383</v>
      </c>
      <c r="C73" t="s">
        <v>358</v>
      </c>
      <c r="D73" s="2">
        <v>44806</v>
      </c>
      <c r="E73">
        <v>56.393250000000002</v>
      </c>
      <c r="F73" s="2">
        <v>44827</v>
      </c>
      <c r="G73">
        <v>54.842640000000003</v>
      </c>
      <c r="H73" s="3">
        <v>-2.75E-2</v>
      </c>
      <c r="I73">
        <v>-4269.28</v>
      </c>
      <c r="J73" s="3">
        <v>-2.9499999999999998E-2</v>
      </c>
      <c r="K73">
        <v>2569</v>
      </c>
      <c r="P73" s="2"/>
      <c r="R73" s="2"/>
      <c r="T73" s="3"/>
      <c r="V73" s="3"/>
      <c r="AB73" s="3"/>
      <c r="AC73" s="3"/>
      <c r="AD73" s="3"/>
    </row>
    <row r="74" spans="1:30" x14ac:dyDescent="0.25">
      <c r="A74" t="s">
        <v>124</v>
      </c>
      <c r="B74" t="s">
        <v>398</v>
      </c>
      <c r="C74" t="s">
        <v>358</v>
      </c>
      <c r="D74" s="2">
        <v>44785</v>
      </c>
      <c r="E74">
        <v>7.97</v>
      </c>
      <c r="F74" s="2">
        <v>44813</v>
      </c>
      <c r="G74">
        <v>5.88</v>
      </c>
      <c r="H74" s="3">
        <v>-0.26219999999999999</v>
      </c>
      <c r="I74">
        <v>-39432.46</v>
      </c>
      <c r="J74" s="3">
        <v>-0.26400000000000001</v>
      </c>
      <c r="K74">
        <v>18743</v>
      </c>
      <c r="P74" s="2"/>
      <c r="R74" s="2"/>
      <c r="T74" s="3"/>
      <c r="V74" s="3"/>
      <c r="AB74" s="3"/>
      <c r="AC74" s="3"/>
      <c r="AD74" s="3"/>
    </row>
    <row r="75" spans="1:30" x14ac:dyDescent="0.25">
      <c r="A75" t="s">
        <v>43</v>
      </c>
      <c r="B75" t="s">
        <v>399</v>
      </c>
      <c r="C75" t="s">
        <v>358</v>
      </c>
      <c r="D75" s="2">
        <v>44785</v>
      </c>
      <c r="E75">
        <v>5.8027800000000003</v>
      </c>
      <c r="F75" s="2">
        <v>44806</v>
      </c>
      <c r="G75">
        <v>4.7013259999999999</v>
      </c>
      <c r="H75" s="3">
        <v>-0.1898</v>
      </c>
      <c r="I75">
        <v>-28611.79</v>
      </c>
      <c r="J75" s="3">
        <v>-0.19159999999999999</v>
      </c>
      <c r="K75">
        <v>25731</v>
      </c>
      <c r="P75" s="2"/>
      <c r="R75" s="2"/>
      <c r="T75" s="3"/>
      <c r="V75" s="3"/>
      <c r="AB75" s="3"/>
      <c r="AC75" s="3"/>
      <c r="AD75" s="3"/>
    </row>
    <row r="76" spans="1:30" x14ac:dyDescent="0.25">
      <c r="A76" t="s">
        <v>241</v>
      </c>
      <c r="B76" t="s">
        <v>400</v>
      </c>
      <c r="C76" t="s">
        <v>358</v>
      </c>
      <c r="D76" s="2">
        <v>44652</v>
      </c>
      <c r="E76">
        <v>4.75</v>
      </c>
      <c r="F76" s="2">
        <v>44763</v>
      </c>
      <c r="G76">
        <v>4.99</v>
      </c>
      <c r="H76" s="3">
        <v>5.0500000000000003E-2</v>
      </c>
      <c r="I76">
        <v>7874.43</v>
      </c>
      <c r="J76" s="3">
        <v>4.8500000000000001E-2</v>
      </c>
      <c r="K76">
        <v>34198</v>
      </c>
      <c r="P76" s="2"/>
      <c r="R76" s="2"/>
      <c r="T76" s="3"/>
      <c r="V76" s="3"/>
      <c r="AB76" s="3"/>
      <c r="AC76" s="3"/>
      <c r="AD76" s="3"/>
    </row>
    <row r="77" spans="1:30" x14ac:dyDescent="0.25">
      <c r="A77" t="s">
        <v>120</v>
      </c>
      <c r="B77" t="s">
        <v>394</v>
      </c>
      <c r="C77" t="s">
        <v>358</v>
      </c>
      <c r="D77" s="2">
        <v>44652</v>
      </c>
      <c r="E77">
        <v>3.6633270000000002</v>
      </c>
      <c r="F77" s="2">
        <v>44743</v>
      </c>
      <c r="G77">
        <v>3.7935789999999998</v>
      </c>
      <c r="H77" s="3">
        <v>3.56E-2</v>
      </c>
      <c r="I77">
        <v>5449.16</v>
      </c>
      <c r="J77" s="3">
        <v>3.3500000000000002E-2</v>
      </c>
      <c r="K77">
        <v>44376</v>
      </c>
      <c r="P77" s="2"/>
      <c r="R77" s="2"/>
      <c r="T77" s="3"/>
      <c r="V77" s="3"/>
      <c r="AB77" s="3"/>
      <c r="AC77" s="3"/>
      <c r="AD77" s="3"/>
    </row>
    <row r="78" spans="1:30" x14ac:dyDescent="0.25">
      <c r="A78" t="s">
        <v>112</v>
      </c>
      <c r="B78" t="s">
        <v>385</v>
      </c>
      <c r="C78" t="s">
        <v>358</v>
      </c>
      <c r="D78" s="2">
        <v>44687</v>
      </c>
      <c r="E78">
        <v>1.042092</v>
      </c>
      <c r="F78" s="2">
        <v>44736</v>
      </c>
      <c r="G78">
        <v>0.89977969999999996</v>
      </c>
      <c r="H78" s="3">
        <v>-0.1366</v>
      </c>
      <c r="I78">
        <v>-22139.26</v>
      </c>
      <c r="J78" s="3">
        <v>-0.1384</v>
      </c>
      <c r="K78">
        <v>153474</v>
      </c>
      <c r="P78" s="2"/>
      <c r="R78" s="2"/>
      <c r="T78" s="3"/>
      <c r="V78" s="3"/>
      <c r="AB78" s="3"/>
      <c r="AC78" s="3"/>
      <c r="AD78" s="3"/>
    </row>
    <row r="79" spans="1:30" x14ac:dyDescent="0.25">
      <c r="A79" t="s">
        <v>125</v>
      </c>
      <c r="B79" t="s">
        <v>401</v>
      </c>
      <c r="C79" t="s">
        <v>358</v>
      </c>
      <c r="D79" s="2">
        <v>44652</v>
      </c>
      <c r="E79">
        <v>45.204439999999998</v>
      </c>
      <c r="F79" s="2">
        <v>44729</v>
      </c>
      <c r="G79">
        <v>32.829250000000002</v>
      </c>
      <c r="H79" s="3">
        <v>-0.27379999999999999</v>
      </c>
      <c r="I79">
        <v>-44744.43</v>
      </c>
      <c r="J79" s="3">
        <v>-0.27550000000000002</v>
      </c>
      <c r="K79">
        <v>3593</v>
      </c>
      <c r="P79" s="2"/>
      <c r="R79" s="2"/>
      <c r="T79" s="3"/>
      <c r="V79" s="3"/>
      <c r="AB79" s="3"/>
      <c r="AC79" s="3"/>
      <c r="AD79" s="3"/>
    </row>
    <row r="80" spans="1:30" x14ac:dyDescent="0.25">
      <c r="A80" t="s">
        <v>242</v>
      </c>
      <c r="B80" t="s">
        <v>402</v>
      </c>
      <c r="C80" t="s">
        <v>358</v>
      </c>
      <c r="D80" s="2">
        <v>44561</v>
      </c>
      <c r="E80">
        <v>11.86</v>
      </c>
      <c r="F80" s="2">
        <v>44727</v>
      </c>
      <c r="G80">
        <v>13.05</v>
      </c>
      <c r="H80" s="3">
        <v>0.1003</v>
      </c>
      <c r="I80">
        <v>16363.69</v>
      </c>
      <c r="J80" s="3">
        <v>9.8199999999999996E-2</v>
      </c>
      <c r="K80">
        <v>14045</v>
      </c>
      <c r="P80" s="2"/>
      <c r="R80" s="2"/>
      <c r="T80" s="3"/>
      <c r="V80" s="3"/>
      <c r="AB80" s="3"/>
      <c r="AC80" s="3"/>
      <c r="AD80" s="3"/>
    </row>
    <row r="81" spans="1:30" x14ac:dyDescent="0.25">
      <c r="A81" t="s">
        <v>126</v>
      </c>
      <c r="B81" t="s">
        <v>403</v>
      </c>
      <c r="C81" t="s">
        <v>358</v>
      </c>
      <c r="D81" s="2">
        <v>44652</v>
      </c>
      <c r="E81">
        <v>5.4688379999999999</v>
      </c>
      <c r="F81" s="2">
        <v>44722</v>
      </c>
      <c r="G81">
        <v>5.2043549999999996</v>
      </c>
      <c r="H81" s="3">
        <v>-4.8399999999999999E-2</v>
      </c>
      <c r="I81">
        <v>-8175.99</v>
      </c>
      <c r="J81" s="3">
        <v>-5.0299999999999997E-2</v>
      </c>
      <c r="K81">
        <v>29714</v>
      </c>
      <c r="P81" s="2"/>
      <c r="R81" s="2"/>
      <c r="T81" s="3"/>
      <c r="V81" s="3"/>
      <c r="AB81" s="3"/>
      <c r="AC81" s="3"/>
      <c r="AD81" s="3"/>
    </row>
    <row r="82" spans="1:30" x14ac:dyDescent="0.25">
      <c r="A82" t="s">
        <v>127</v>
      </c>
      <c r="B82" t="s">
        <v>404</v>
      </c>
      <c r="C82" t="s">
        <v>358</v>
      </c>
      <c r="D82" s="2">
        <v>44652</v>
      </c>
      <c r="E82">
        <v>3.122525</v>
      </c>
      <c r="F82" s="2">
        <v>44715</v>
      </c>
      <c r="G82">
        <v>2.7496870000000002</v>
      </c>
      <c r="H82" s="3">
        <v>-0.11940000000000001</v>
      </c>
      <c r="I82">
        <v>-19706.560000000001</v>
      </c>
      <c r="J82" s="3">
        <v>-0.12130000000000001</v>
      </c>
      <c r="K82">
        <v>52036</v>
      </c>
      <c r="P82" s="2"/>
      <c r="R82" s="2"/>
      <c r="T82" s="3"/>
      <c r="V82" s="3"/>
      <c r="AB82" s="3"/>
      <c r="AC82" s="3"/>
      <c r="AD82" s="3"/>
    </row>
    <row r="83" spans="1:30" x14ac:dyDescent="0.25">
      <c r="A83" t="s">
        <v>128</v>
      </c>
      <c r="B83" t="s">
        <v>405</v>
      </c>
      <c r="C83" t="s">
        <v>358</v>
      </c>
      <c r="D83" s="2">
        <v>44645</v>
      </c>
      <c r="E83">
        <v>5.7282039999999999</v>
      </c>
      <c r="F83" s="2">
        <v>44708</v>
      </c>
      <c r="G83">
        <v>5.5372640000000004</v>
      </c>
      <c r="H83" s="3">
        <v>-3.3300000000000003E-2</v>
      </c>
      <c r="I83">
        <v>-5707.65</v>
      </c>
      <c r="J83" s="3">
        <v>-3.5299999999999998E-2</v>
      </c>
      <c r="K83">
        <v>28227</v>
      </c>
      <c r="P83" s="2"/>
      <c r="R83" s="2"/>
      <c r="T83" s="3"/>
      <c r="V83" s="3"/>
      <c r="AB83" s="3"/>
      <c r="AC83" s="3"/>
      <c r="AD83" s="3"/>
    </row>
    <row r="84" spans="1:30" x14ac:dyDescent="0.25">
      <c r="A84" t="s">
        <v>129</v>
      </c>
      <c r="B84" t="s">
        <v>406</v>
      </c>
      <c r="C84" t="s">
        <v>358</v>
      </c>
      <c r="D84" s="2">
        <v>44652</v>
      </c>
      <c r="E84">
        <v>6.6561620000000001</v>
      </c>
      <c r="F84" s="2">
        <v>44701</v>
      </c>
      <c r="G84">
        <v>6.1337570000000001</v>
      </c>
      <c r="H84" s="3">
        <v>-7.85E-2</v>
      </c>
      <c r="I84">
        <v>-13072.67</v>
      </c>
      <c r="J84" s="3">
        <v>-8.0399999999999999E-2</v>
      </c>
      <c r="K84">
        <v>24426</v>
      </c>
      <c r="P84" s="2"/>
      <c r="R84" s="2"/>
      <c r="T84" s="3"/>
      <c r="V84" s="3"/>
      <c r="AB84" s="3"/>
      <c r="AC84" s="3"/>
      <c r="AD84" s="3"/>
    </row>
    <row r="85" spans="1:30" x14ac:dyDescent="0.25">
      <c r="A85" t="s">
        <v>130</v>
      </c>
      <c r="B85" t="s">
        <v>407</v>
      </c>
      <c r="C85" t="s">
        <v>358</v>
      </c>
      <c r="D85" s="2">
        <v>44120</v>
      </c>
      <c r="E85">
        <v>1.5386979999999999</v>
      </c>
      <c r="F85" s="2">
        <v>44694</v>
      </c>
      <c r="G85">
        <v>2.0372150000000002</v>
      </c>
      <c r="H85" s="3">
        <v>0.32400000000000001</v>
      </c>
      <c r="I85">
        <v>42798.55</v>
      </c>
      <c r="J85" s="3">
        <v>0.32169999999999999</v>
      </c>
      <c r="K85">
        <v>86472</v>
      </c>
      <c r="P85" s="2"/>
      <c r="R85" s="2"/>
      <c r="T85" s="3"/>
      <c r="V85" s="3"/>
      <c r="AB85" s="3"/>
      <c r="AC85" s="3"/>
      <c r="AD85" s="3"/>
    </row>
    <row r="86" spans="1:30" x14ac:dyDescent="0.25">
      <c r="A86" t="s">
        <v>111</v>
      </c>
      <c r="B86" t="s">
        <v>384</v>
      </c>
      <c r="C86" t="s">
        <v>358</v>
      </c>
      <c r="D86" s="2">
        <v>44659</v>
      </c>
      <c r="E86">
        <v>12.89307</v>
      </c>
      <c r="F86" s="2">
        <v>44694</v>
      </c>
      <c r="G86">
        <v>10.418369999999999</v>
      </c>
      <c r="H86" s="3">
        <v>-0.19189999999999999</v>
      </c>
      <c r="I86">
        <v>-31757.22</v>
      </c>
      <c r="J86" s="3">
        <v>-0.19370000000000001</v>
      </c>
      <c r="K86">
        <v>12713</v>
      </c>
      <c r="P86" s="2"/>
      <c r="R86" s="2"/>
      <c r="T86" s="3"/>
      <c r="V86" s="3"/>
      <c r="AB86" s="3"/>
      <c r="AC86" s="3"/>
      <c r="AD86" s="3"/>
    </row>
    <row r="87" spans="1:30" x14ac:dyDescent="0.25">
      <c r="A87" t="s">
        <v>131</v>
      </c>
      <c r="B87" t="s">
        <v>408</v>
      </c>
      <c r="C87" t="s">
        <v>358</v>
      </c>
      <c r="D87" s="2">
        <v>44652</v>
      </c>
      <c r="E87">
        <v>19.843309999999999</v>
      </c>
      <c r="F87" s="2">
        <v>44694</v>
      </c>
      <c r="G87">
        <v>17.299289999999999</v>
      </c>
      <c r="H87" s="3">
        <v>-0.12820000000000001</v>
      </c>
      <c r="I87">
        <v>-21139.72</v>
      </c>
      <c r="J87" s="3">
        <v>-0.13009999999999999</v>
      </c>
      <c r="K87">
        <v>8190</v>
      </c>
      <c r="P87" s="2"/>
      <c r="R87" s="2"/>
      <c r="T87" s="3"/>
      <c r="V87" s="3"/>
      <c r="AB87" s="3"/>
      <c r="AC87" s="3"/>
      <c r="AD87" s="3"/>
    </row>
    <row r="88" spans="1:30" x14ac:dyDescent="0.25">
      <c r="A88" t="s">
        <v>243</v>
      </c>
      <c r="B88" t="s">
        <v>409</v>
      </c>
      <c r="C88" t="s">
        <v>358</v>
      </c>
      <c r="D88" s="2">
        <v>44645</v>
      </c>
      <c r="E88">
        <v>2.2000000000000002</v>
      </c>
      <c r="F88" s="2">
        <v>44694</v>
      </c>
      <c r="G88">
        <v>1.59</v>
      </c>
      <c r="H88" s="3">
        <v>-0.27729999999999999</v>
      </c>
      <c r="I88">
        <v>-45106.2</v>
      </c>
      <c r="J88" s="3">
        <v>-0.27900000000000003</v>
      </c>
      <c r="K88">
        <v>73488</v>
      </c>
      <c r="P88" s="2"/>
      <c r="R88" s="2"/>
      <c r="T88" s="3"/>
      <c r="V88" s="3"/>
      <c r="AB88" s="3"/>
      <c r="AC88" s="3"/>
      <c r="AD88" s="3"/>
    </row>
    <row r="89" spans="1:30" x14ac:dyDescent="0.25">
      <c r="A89" t="s">
        <v>244</v>
      </c>
      <c r="B89" t="s">
        <v>410</v>
      </c>
      <c r="C89" t="s">
        <v>358</v>
      </c>
      <c r="D89" s="2">
        <v>44652</v>
      </c>
      <c r="E89">
        <v>1.145</v>
      </c>
      <c r="F89" s="2">
        <v>44687</v>
      </c>
      <c r="G89">
        <v>1.1499999999999999</v>
      </c>
      <c r="H89" s="3">
        <v>4.4000000000000003E-3</v>
      </c>
      <c r="I89">
        <v>384</v>
      </c>
      <c r="J89" s="3">
        <v>2.3999999999999998E-3</v>
      </c>
      <c r="K89">
        <v>141960</v>
      </c>
      <c r="P89" s="2"/>
      <c r="R89" s="2"/>
      <c r="T89" s="3"/>
      <c r="V89" s="3"/>
      <c r="AB89" s="3"/>
      <c r="AC89" s="3"/>
      <c r="AD89" s="3"/>
    </row>
    <row r="90" spans="1:30" x14ac:dyDescent="0.25">
      <c r="A90" t="s">
        <v>31</v>
      </c>
      <c r="B90" t="s">
        <v>411</v>
      </c>
      <c r="C90" t="s">
        <v>358</v>
      </c>
      <c r="D90" s="2">
        <v>44274</v>
      </c>
      <c r="E90">
        <v>12.137</v>
      </c>
      <c r="F90" s="2">
        <v>44638</v>
      </c>
      <c r="G90">
        <v>10.31175</v>
      </c>
      <c r="H90" s="3">
        <v>-0.15040000000000001</v>
      </c>
      <c r="I90">
        <v>-21551.56</v>
      </c>
      <c r="J90" s="3">
        <v>-0.1522</v>
      </c>
      <c r="K90">
        <v>11664</v>
      </c>
      <c r="P90" s="2"/>
      <c r="R90" s="2"/>
      <c r="T90" s="3"/>
      <c r="V90" s="3"/>
      <c r="AB90" s="3"/>
      <c r="AC90" s="3"/>
      <c r="AD90" s="3"/>
    </row>
    <row r="91" spans="1:30" x14ac:dyDescent="0.25">
      <c r="A91" t="s">
        <v>132</v>
      </c>
      <c r="B91" t="s">
        <v>412</v>
      </c>
      <c r="C91" t="s">
        <v>358</v>
      </c>
      <c r="D91" s="2">
        <v>44498</v>
      </c>
      <c r="E91">
        <v>25.641950000000001</v>
      </c>
      <c r="F91" s="2">
        <v>44624</v>
      </c>
      <c r="G91">
        <v>23.871549999999999</v>
      </c>
      <c r="H91" s="3">
        <v>-6.9000000000000006E-2</v>
      </c>
      <c r="I91">
        <v>-11805.78</v>
      </c>
      <c r="J91" s="3">
        <v>-7.0999999999999994E-2</v>
      </c>
      <c r="K91">
        <v>6487</v>
      </c>
      <c r="P91" s="2"/>
      <c r="R91" s="2"/>
      <c r="T91" s="3"/>
      <c r="V91" s="3"/>
      <c r="AB91" s="3"/>
      <c r="AC91" s="3"/>
      <c r="AD91" s="3"/>
    </row>
    <row r="92" spans="1:30" x14ac:dyDescent="0.25">
      <c r="A92" t="s">
        <v>81</v>
      </c>
      <c r="B92" t="s">
        <v>370</v>
      </c>
      <c r="C92" t="s">
        <v>358</v>
      </c>
      <c r="D92" s="2">
        <v>44120</v>
      </c>
      <c r="E92">
        <v>15.53369</v>
      </c>
      <c r="F92" s="2">
        <v>44624</v>
      </c>
      <c r="G92">
        <v>19.691130000000001</v>
      </c>
      <c r="H92" s="3">
        <v>0.2676</v>
      </c>
      <c r="I92">
        <v>35294.410000000003</v>
      </c>
      <c r="J92" s="3">
        <v>0.26540000000000002</v>
      </c>
      <c r="K92">
        <v>8562</v>
      </c>
      <c r="P92" s="2"/>
      <c r="R92" s="2"/>
      <c r="T92" s="3"/>
      <c r="V92" s="3"/>
      <c r="AB92" s="3"/>
      <c r="AC92" s="3"/>
      <c r="AD92" s="3"/>
    </row>
    <row r="93" spans="1:30" x14ac:dyDescent="0.25">
      <c r="A93" t="s">
        <v>126</v>
      </c>
      <c r="B93" t="s">
        <v>403</v>
      </c>
      <c r="C93" t="s">
        <v>358</v>
      </c>
      <c r="D93" s="2">
        <v>44498</v>
      </c>
      <c r="E93">
        <v>4.3725860000000001</v>
      </c>
      <c r="F93" s="2">
        <v>44617</v>
      </c>
      <c r="G93">
        <v>4.6479590000000002</v>
      </c>
      <c r="H93" s="3">
        <v>6.3E-2</v>
      </c>
      <c r="I93">
        <v>10133.65</v>
      </c>
      <c r="J93" s="3">
        <v>6.0900000000000003E-2</v>
      </c>
      <c r="K93">
        <v>38046</v>
      </c>
      <c r="P93" s="2"/>
      <c r="R93" s="2"/>
      <c r="T93" s="3"/>
      <c r="V93" s="3"/>
      <c r="AB93" s="3"/>
      <c r="AC93" s="3"/>
      <c r="AD93" s="3"/>
    </row>
    <row r="94" spans="1:30" x14ac:dyDescent="0.25">
      <c r="A94" t="s">
        <v>245</v>
      </c>
      <c r="B94" t="s">
        <v>413</v>
      </c>
      <c r="C94" t="s">
        <v>358</v>
      </c>
      <c r="D94" s="2">
        <v>44120</v>
      </c>
      <c r="E94">
        <v>2.779515</v>
      </c>
      <c r="F94" s="2">
        <v>44617</v>
      </c>
      <c r="G94">
        <v>3.520267</v>
      </c>
      <c r="H94" s="3">
        <v>0.26650000000000001</v>
      </c>
      <c r="I94">
        <v>35161.9</v>
      </c>
      <c r="J94" s="3">
        <v>0.26419999999999999</v>
      </c>
      <c r="K94">
        <v>47875</v>
      </c>
      <c r="P94" s="2"/>
      <c r="R94" s="2"/>
      <c r="T94" s="3"/>
      <c r="V94" s="3"/>
      <c r="AB94" s="3"/>
      <c r="AC94" s="3"/>
      <c r="AD94" s="3"/>
    </row>
    <row r="95" spans="1:30" x14ac:dyDescent="0.25">
      <c r="A95" t="s">
        <v>133</v>
      </c>
      <c r="B95" t="s">
        <v>414</v>
      </c>
      <c r="C95" t="s">
        <v>358</v>
      </c>
      <c r="D95" s="2">
        <v>44561</v>
      </c>
      <c r="E95">
        <v>2.8736769999999998</v>
      </c>
      <c r="F95" s="2">
        <v>44596</v>
      </c>
      <c r="G95">
        <v>3.1194519999999999</v>
      </c>
      <c r="H95" s="3">
        <v>8.5500000000000007E-2</v>
      </c>
      <c r="I95">
        <v>13897.52</v>
      </c>
      <c r="J95" s="3">
        <v>8.3400000000000002E-2</v>
      </c>
      <c r="K95">
        <v>57959</v>
      </c>
      <c r="P95" s="2"/>
      <c r="R95" s="2"/>
      <c r="T95" s="3"/>
      <c r="V95" s="3"/>
      <c r="AB95" s="3"/>
      <c r="AC95" s="3"/>
      <c r="AD95" s="3"/>
    </row>
    <row r="96" spans="1:30" x14ac:dyDescent="0.25">
      <c r="A96" t="s">
        <v>134</v>
      </c>
      <c r="B96" t="s">
        <v>415</v>
      </c>
      <c r="C96" t="s">
        <v>358</v>
      </c>
      <c r="D96" s="2">
        <v>44561</v>
      </c>
      <c r="E96">
        <v>1.2353259999999999</v>
      </c>
      <c r="F96" s="2">
        <v>44596</v>
      </c>
      <c r="G96">
        <v>1.1886300000000001</v>
      </c>
      <c r="H96" s="3">
        <v>-3.78E-2</v>
      </c>
      <c r="I96">
        <v>-6624.37</v>
      </c>
      <c r="J96" s="3">
        <v>-3.9800000000000002E-2</v>
      </c>
      <c r="K96">
        <v>134861</v>
      </c>
      <c r="P96" s="2"/>
      <c r="R96" s="2"/>
      <c r="T96" s="3"/>
      <c r="V96" s="3"/>
      <c r="AB96" s="3"/>
      <c r="AC96" s="3"/>
      <c r="AD96" s="3"/>
    </row>
    <row r="97" spans="1:30" x14ac:dyDescent="0.25">
      <c r="A97" t="s">
        <v>125</v>
      </c>
      <c r="B97" t="s">
        <v>401</v>
      </c>
      <c r="C97" t="s">
        <v>358</v>
      </c>
      <c r="D97" s="2">
        <v>44287</v>
      </c>
      <c r="E97">
        <v>43.181980000000003</v>
      </c>
      <c r="F97" s="2">
        <v>44596</v>
      </c>
      <c r="G97">
        <v>36.847549999999998</v>
      </c>
      <c r="H97" s="3">
        <v>-0.1467</v>
      </c>
      <c r="I97">
        <v>-21174.13</v>
      </c>
      <c r="J97" s="3">
        <v>-0.14849999999999999</v>
      </c>
      <c r="K97">
        <v>3301</v>
      </c>
      <c r="P97" s="2"/>
      <c r="R97" s="2"/>
      <c r="T97" s="3"/>
      <c r="V97" s="3"/>
      <c r="AB97" s="3"/>
      <c r="AC97" s="3"/>
      <c r="AD97" s="3"/>
    </row>
    <row r="98" spans="1:30" x14ac:dyDescent="0.25">
      <c r="A98" t="s">
        <v>246</v>
      </c>
      <c r="B98" t="s">
        <v>416</v>
      </c>
      <c r="C98" t="s">
        <v>358</v>
      </c>
      <c r="D98" s="2">
        <v>44120</v>
      </c>
      <c r="E98">
        <v>1.8375509999999999</v>
      </c>
      <c r="F98" s="2">
        <v>44596</v>
      </c>
      <c r="G98">
        <v>2.59</v>
      </c>
      <c r="H98" s="3">
        <v>0.40949999999999998</v>
      </c>
      <c r="I98">
        <v>54129.08</v>
      </c>
      <c r="J98" s="3">
        <v>0.40710000000000002</v>
      </c>
      <c r="K98">
        <v>72363</v>
      </c>
      <c r="P98" s="2"/>
      <c r="R98" s="2"/>
      <c r="T98" s="3"/>
      <c r="V98" s="3"/>
      <c r="AB98" s="3"/>
      <c r="AC98" s="3"/>
      <c r="AD98" s="3"/>
    </row>
    <row r="99" spans="1:30" x14ac:dyDescent="0.25">
      <c r="A99" t="s">
        <v>135</v>
      </c>
      <c r="B99" t="s">
        <v>417</v>
      </c>
      <c r="C99" t="s">
        <v>358</v>
      </c>
      <c r="D99" s="2">
        <v>44015</v>
      </c>
      <c r="E99">
        <v>26.296530000000001</v>
      </c>
      <c r="F99" s="2">
        <v>44596</v>
      </c>
      <c r="G99">
        <v>31.774640000000002</v>
      </c>
      <c r="H99" s="3">
        <v>0.20830000000000001</v>
      </c>
      <c r="I99">
        <v>23533.81</v>
      </c>
      <c r="J99" s="3">
        <v>0.20610000000000001</v>
      </c>
      <c r="K99">
        <v>4342</v>
      </c>
      <c r="P99" s="2"/>
      <c r="R99" s="2"/>
      <c r="T99" s="3"/>
      <c r="V99" s="3"/>
      <c r="AB99" s="3"/>
      <c r="AC99" s="3"/>
      <c r="AD99" s="3"/>
    </row>
    <row r="100" spans="1:30" x14ac:dyDescent="0.25">
      <c r="A100" t="s">
        <v>247</v>
      </c>
      <c r="B100" t="s">
        <v>418</v>
      </c>
      <c r="C100" t="s">
        <v>358</v>
      </c>
      <c r="D100" s="2">
        <v>44015</v>
      </c>
      <c r="E100">
        <v>9.8177210000000006</v>
      </c>
      <c r="F100" s="2">
        <v>44596</v>
      </c>
      <c r="G100">
        <v>22.837060000000001</v>
      </c>
      <c r="H100" s="3">
        <v>1.3261000000000001</v>
      </c>
      <c r="I100">
        <v>151074.10999999999</v>
      </c>
      <c r="J100" s="3">
        <v>1.3228</v>
      </c>
      <c r="K100">
        <v>11633</v>
      </c>
      <c r="P100" s="2"/>
      <c r="R100" s="2"/>
      <c r="T100" s="3"/>
      <c r="V100" s="3"/>
      <c r="AB100" s="3"/>
      <c r="AC100" s="3"/>
      <c r="AD100" s="3"/>
    </row>
    <row r="101" spans="1:30" x14ac:dyDescent="0.25">
      <c r="A101" t="s">
        <v>136</v>
      </c>
      <c r="B101" t="s">
        <v>419</v>
      </c>
      <c r="C101" t="s">
        <v>358</v>
      </c>
      <c r="D101" s="2">
        <v>44287</v>
      </c>
      <c r="E101">
        <v>4.1887749999999997</v>
      </c>
      <c r="F101" s="2">
        <v>44589</v>
      </c>
      <c r="G101">
        <v>6.0785689999999999</v>
      </c>
      <c r="H101" s="3">
        <v>0.45119999999999999</v>
      </c>
      <c r="I101">
        <v>63960.29</v>
      </c>
      <c r="J101" s="3">
        <v>0.44869999999999999</v>
      </c>
      <c r="K101">
        <v>34030</v>
      </c>
      <c r="P101" s="2"/>
      <c r="R101" s="2"/>
      <c r="T101" s="3"/>
      <c r="V101" s="3"/>
      <c r="AB101" s="3"/>
      <c r="AC101" s="3"/>
      <c r="AD101" s="3"/>
    </row>
    <row r="102" spans="1:30" x14ac:dyDescent="0.25">
      <c r="A102" t="s">
        <v>137</v>
      </c>
      <c r="B102" t="s">
        <v>420</v>
      </c>
      <c r="C102" t="s">
        <v>358</v>
      </c>
      <c r="D102" s="2">
        <v>44498</v>
      </c>
      <c r="E102">
        <v>16.646270000000001</v>
      </c>
      <c r="F102" s="2">
        <v>44540</v>
      </c>
      <c r="G102">
        <v>14.440709999999999</v>
      </c>
      <c r="H102" s="3">
        <v>-0.13250000000000001</v>
      </c>
      <c r="I102">
        <v>-22346.34</v>
      </c>
      <c r="J102" s="3">
        <v>-0.13439999999999999</v>
      </c>
      <c r="K102">
        <v>9991</v>
      </c>
      <c r="P102" s="2"/>
      <c r="R102" s="2"/>
      <c r="T102" s="3"/>
      <c r="V102" s="3"/>
      <c r="AB102" s="3"/>
      <c r="AC102" s="3"/>
      <c r="AD102" s="3"/>
    </row>
    <row r="103" spans="1:30" x14ac:dyDescent="0.25">
      <c r="A103" t="s">
        <v>123</v>
      </c>
      <c r="B103" t="s">
        <v>397</v>
      </c>
      <c r="C103" t="s">
        <v>358</v>
      </c>
      <c r="D103" s="2">
        <v>44287</v>
      </c>
      <c r="E103">
        <v>9.1676199999999994</v>
      </c>
      <c r="F103" s="2">
        <v>44533</v>
      </c>
      <c r="G103">
        <v>10.96053</v>
      </c>
      <c r="H103" s="3">
        <v>0.1956</v>
      </c>
      <c r="I103">
        <v>27559.67</v>
      </c>
      <c r="J103" s="3">
        <v>0.19339999999999999</v>
      </c>
      <c r="K103">
        <v>15546</v>
      </c>
      <c r="P103" s="2"/>
      <c r="R103" s="2"/>
      <c r="T103" s="3"/>
      <c r="V103" s="3"/>
      <c r="AB103" s="3"/>
      <c r="AC103" s="3"/>
      <c r="AD103" s="3"/>
    </row>
    <row r="104" spans="1:30" x14ac:dyDescent="0.25">
      <c r="A104" t="s">
        <v>121</v>
      </c>
      <c r="B104" t="s">
        <v>395</v>
      </c>
      <c r="C104" t="s">
        <v>358</v>
      </c>
      <c r="D104" s="2">
        <v>44274</v>
      </c>
      <c r="E104">
        <v>25.326740000000001</v>
      </c>
      <c r="F104" s="2">
        <v>44526</v>
      </c>
      <c r="G104">
        <v>31.256070000000001</v>
      </c>
      <c r="H104" s="3">
        <v>0.2341</v>
      </c>
      <c r="I104">
        <v>32822.78</v>
      </c>
      <c r="J104" s="3">
        <v>0.2319</v>
      </c>
      <c r="K104">
        <v>5589</v>
      </c>
      <c r="P104" s="2"/>
      <c r="R104" s="2"/>
      <c r="T104" s="3"/>
      <c r="V104" s="3"/>
      <c r="AB104" s="3"/>
      <c r="AC104" s="3"/>
      <c r="AD104" s="3"/>
    </row>
    <row r="105" spans="1:30" x14ac:dyDescent="0.25">
      <c r="A105" t="s">
        <v>87</v>
      </c>
      <c r="B105" t="s">
        <v>223</v>
      </c>
      <c r="C105" t="s">
        <v>358</v>
      </c>
      <c r="D105" s="2">
        <v>44120</v>
      </c>
      <c r="E105">
        <v>22.648009999999999</v>
      </c>
      <c r="F105" s="2">
        <v>44484</v>
      </c>
      <c r="G105">
        <v>32.307510000000001</v>
      </c>
      <c r="H105" s="3">
        <v>0.42649999999999999</v>
      </c>
      <c r="I105">
        <v>56407.49</v>
      </c>
      <c r="J105" s="3">
        <v>0.42409999999999998</v>
      </c>
      <c r="K105">
        <v>5873</v>
      </c>
      <c r="P105" s="2"/>
      <c r="R105" s="2"/>
      <c r="T105" s="3"/>
      <c r="V105" s="3"/>
      <c r="AB105" s="3"/>
      <c r="AC105" s="3"/>
      <c r="AD105" s="3"/>
    </row>
    <row r="106" spans="1:30" x14ac:dyDescent="0.25">
      <c r="A106" t="s">
        <v>116</v>
      </c>
      <c r="B106" t="s">
        <v>390</v>
      </c>
      <c r="C106" t="s">
        <v>358</v>
      </c>
      <c r="D106" s="2">
        <v>44169</v>
      </c>
      <c r="E106">
        <v>29.23884</v>
      </c>
      <c r="F106" s="2">
        <v>44463</v>
      </c>
      <c r="G106">
        <v>45.026119999999999</v>
      </c>
      <c r="H106" s="3">
        <v>0.53990000000000005</v>
      </c>
      <c r="I106">
        <v>72405.570000000007</v>
      </c>
      <c r="J106" s="3">
        <v>0.53739999999999999</v>
      </c>
      <c r="K106">
        <v>4608</v>
      </c>
      <c r="P106" s="2"/>
      <c r="R106" s="2"/>
      <c r="T106" s="3"/>
      <c r="V106" s="3"/>
      <c r="AB106" s="3"/>
      <c r="AC106" s="3"/>
      <c r="AD106" s="3"/>
    </row>
    <row r="107" spans="1:30" x14ac:dyDescent="0.25">
      <c r="A107" t="s">
        <v>31</v>
      </c>
      <c r="B107" t="s">
        <v>411</v>
      </c>
      <c r="C107" t="s">
        <v>358</v>
      </c>
      <c r="D107" s="2">
        <v>44148</v>
      </c>
      <c r="E107">
        <v>10.29007</v>
      </c>
      <c r="F107" s="2">
        <v>44260</v>
      </c>
      <c r="G107">
        <v>10.67385</v>
      </c>
      <c r="H107" s="3">
        <v>3.73E-2</v>
      </c>
      <c r="I107">
        <v>4879.1499999999996</v>
      </c>
      <c r="J107" s="3">
        <v>3.5299999999999998E-2</v>
      </c>
      <c r="K107">
        <v>13448</v>
      </c>
      <c r="P107" s="2"/>
      <c r="R107" s="2"/>
      <c r="T107" s="3"/>
      <c r="V107" s="3"/>
      <c r="AB107" s="3"/>
      <c r="AC107" s="3"/>
      <c r="AD107" s="3"/>
    </row>
    <row r="108" spans="1:30" x14ac:dyDescent="0.25">
      <c r="A108" t="s">
        <v>138</v>
      </c>
      <c r="B108" t="s">
        <v>421</v>
      </c>
      <c r="C108" t="s">
        <v>358</v>
      </c>
      <c r="D108" s="2">
        <v>44120</v>
      </c>
      <c r="E108">
        <v>114</v>
      </c>
      <c r="F108" s="2">
        <v>44260</v>
      </c>
      <c r="G108">
        <v>120.75</v>
      </c>
      <c r="H108" s="3">
        <v>5.9200000000000003E-2</v>
      </c>
      <c r="I108">
        <v>7596.78</v>
      </c>
      <c r="J108" s="3">
        <v>5.7200000000000001E-2</v>
      </c>
      <c r="K108">
        <v>1166</v>
      </c>
      <c r="P108" s="2"/>
      <c r="R108" s="2"/>
      <c r="T108" s="3"/>
      <c r="V108" s="3"/>
      <c r="AB108" s="3"/>
      <c r="AC108" s="3"/>
      <c r="AD108" s="3"/>
    </row>
    <row r="109" spans="1:30" x14ac:dyDescent="0.25">
      <c r="A109" t="s">
        <v>139</v>
      </c>
      <c r="B109" t="s">
        <v>422</v>
      </c>
      <c r="C109" t="s">
        <v>358</v>
      </c>
      <c r="D109" s="2">
        <v>44120</v>
      </c>
      <c r="E109">
        <v>3.7130909999999999</v>
      </c>
      <c r="F109" s="2">
        <v>44260</v>
      </c>
      <c r="G109">
        <v>4.1970029999999996</v>
      </c>
      <c r="H109" s="3">
        <v>0.1303</v>
      </c>
      <c r="I109">
        <v>17054.669999999998</v>
      </c>
      <c r="J109" s="3">
        <v>0.12820000000000001</v>
      </c>
      <c r="K109">
        <v>35829</v>
      </c>
      <c r="P109" s="2"/>
      <c r="R109" s="2"/>
      <c r="T109" s="3"/>
      <c r="V109" s="3"/>
      <c r="AB109" s="3"/>
      <c r="AC109" s="3"/>
      <c r="AD109" s="3"/>
    </row>
    <row r="110" spans="1:30" x14ac:dyDescent="0.25">
      <c r="A110" t="s">
        <v>140</v>
      </c>
      <c r="B110" t="s">
        <v>423</v>
      </c>
      <c r="C110" t="s">
        <v>358</v>
      </c>
      <c r="D110" s="2">
        <v>44120</v>
      </c>
      <c r="E110">
        <v>12.65776</v>
      </c>
      <c r="F110" s="2">
        <v>44260</v>
      </c>
      <c r="G110">
        <v>10.933490000000001</v>
      </c>
      <c r="H110" s="3">
        <v>-0.13619999999999999</v>
      </c>
      <c r="I110">
        <v>-18377.009999999998</v>
      </c>
      <c r="J110" s="3">
        <v>-0.1381</v>
      </c>
      <c r="K110">
        <v>10514</v>
      </c>
      <c r="P110" s="2"/>
      <c r="R110" s="2"/>
      <c r="T110" s="3"/>
      <c r="V110" s="3"/>
      <c r="AB110" s="3"/>
      <c r="AC110" s="3"/>
      <c r="AD110" s="3"/>
    </row>
    <row r="111" spans="1:30" x14ac:dyDescent="0.25">
      <c r="A111" t="s">
        <v>137</v>
      </c>
      <c r="B111" t="s">
        <v>420</v>
      </c>
      <c r="C111" t="s">
        <v>358</v>
      </c>
      <c r="D111" s="2">
        <v>44008</v>
      </c>
      <c r="E111">
        <v>8.585172</v>
      </c>
      <c r="F111" s="2">
        <v>44260</v>
      </c>
      <c r="G111">
        <v>13.173730000000001</v>
      </c>
      <c r="H111" s="3">
        <v>0.53449999999999998</v>
      </c>
      <c r="I111">
        <v>60756.72</v>
      </c>
      <c r="J111" s="3">
        <v>0.53190000000000004</v>
      </c>
      <c r="K111">
        <v>13304</v>
      </c>
      <c r="P111" s="2"/>
      <c r="R111" s="2"/>
      <c r="T111" s="3"/>
      <c r="V111" s="3"/>
      <c r="AB111" s="3"/>
      <c r="AC111" s="3"/>
      <c r="AD111" s="3"/>
    </row>
    <row r="112" spans="1:30" x14ac:dyDescent="0.25">
      <c r="A112" t="s">
        <v>248</v>
      </c>
      <c r="B112" t="s">
        <v>424</v>
      </c>
      <c r="C112" t="s">
        <v>358</v>
      </c>
      <c r="D112" s="2">
        <v>44022</v>
      </c>
      <c r="E112">
        <v>5.7847879999999998</v>
      </c>
      <c r="F112" s="2">
        <v>44230</v>
      </c>
      <c r="G112">
        <v>4.7925430000000002</v>
      </c>
      <c r="H112" s="3">
        <v>-0.17150000000000001</v>
      </c>
      <c r="I112">
        <v>-20645.099999999999</v>
      </c>
      <c r="J112" s="3">
        <v>-0.1734</v>
      </c>
      <c r="K112">
        <v>20587</v>
      </c>
      <c r="P112" s="2"/>
      <c r="R112" s="2"/>
      <c r="T112" s="3"/>
      <c r="V112" s="3"/>
      <c r="AB112" s="3"/>
      <c r="AC112" s="3"/>
      <c r="AD112" s="3"/>
    </row>
    <row r="113" spans="1:30" x14ac:dyDescent="0.25">
      <c r="A113" t="s">
        <v>249</v>
      </c>
      <c r="B113" t="s">
        <v>425</v>
      </c>
      <c r="C113" t="s">
        <v>358</v>
      </c>
      <c r="D113" s="2">
        <v>44022</v>
      </c>
      <c r="E113">
        <v>27.71538</v>
      </c>
      <c r="F113" s="2">
        <v>44204</v>
      </c>
      <c r="G113">
        <v>22.478680000000001</v>
      </c>
      <c r="H113" s="3">
        <v>-0.18890000000000001</v>
      </c>
      <c r="I113">
        <v>-22712.5</v>
      </c>
      <c r="J113" s="3">
        <v>-0.1908</v>
      </c>
      <c r="K113">
        <v>4296</v>
      </c>
      <c r="P113" s="2"/>
      <c r="R113" s="2"/>
      <c r="T113" s="3"/>
      <c r="V113" s="3"/>
      <c r="AB113" s="3"/>
      <c r="AC113" s="3"/>
      <c r="AD113" s="3"/>
    </row>
    <row r="114" spans="1:30" x14ac:dyDescent="0.25">
      <c r="A114" t="s">
        <v>141</v>
      </c>
      <c r="B114" t="s">
        <v>426</v>
      </c>
      <c r="C114" t="s">
        <v>358</v>
      </c>
      <c r="D114" s="2">
        <v>43987</v>
      </c>
      <c r="E114">
        <v>74.735309999999998</v>
      </c>
      <c r="F114" s="2">
        <v>44169</v>
      </c>
      <c r="G114">
        <v>66.854730000000004</v>
      </c>
      <c r="H114" s="3">
        <v>-0.10539999999999999</v>
      </c>
      <c r="I114">
        <v>-12249.88</v>
      </c>
      <c r="J114" s="3">
        <v>-0.10730000000000001</v>
      </c>
      <c r="K114">
        <v>1527</v>
      </c>
      <c r="P114" s="2"/>
      <c r="R114" s="2"/>
      <c r="T114" s="3"/>
      <c r="V114" s="3"/>
      <c r="AB114" s="3"/>
      <c r="AC114" s="3"/>
      <c r="AD114" s="3"/>
    </row>
    <row r="115" spans="1:30" x14ac:dyDescent="0.25">
      <c r="A115" t="s">
        <v>142</v>
      </c>
      <c r="B115" t="s">
        <v>427</v>
      </c>
      <c r="C115" t="s">
        <v>358</v>
      </c>
      <c r="D115" s="2">
        <v>44008</v>
      </c>
      <c r="E115">
        <v>60.591099999999997</v>
      </c>
      <c r="F115" s="2">
        <v>44141</v>
      </c>
      <c r="G115">
        <v>75.80659</v>
      </c>
      <c r="H115" s="3">
        <v>0.25109999999999999</v>
      </c>
      <c r="I115">
        <v>28424.11</v>
      </c>
      <c r="J115" s="3">
        <v>0.24890000000000001</v>
      </c>
      <c r="K115">
        <v>1885</v>
      </c>
      <c r="P115" s="2"/>
      <c r="R115" s="2"/>
      <c r="T115" s="3"/>
      <c r="V115" s="3"/>
      <c r="AB115" s="3"/>
      <c r="AC115" s="3"/>
      <c r="AD115" s="3"/>
    </row>
    <row r="116" spans="1:30" x14ac:dyDescent="0.25">
      <c r="A116" t="s">
        <v>143</v>
      </c>
      <c r="B116" t="s">
        <v>428</v>
      </c>
      <c r="C116" t="s">
        <v>358</v>
      </c>
      <c r="D116" s="2">
        <v>43994</v>
      </c>
      <c r="E116">
        <v>6.0105130000000004</v>
      </c>
      <c r="F116" s="2">
        <v>44106</v>
      </c>
      <c r="G116">
        <v>6.3928450000000003</v>
      </c>
      <c r="H116" s="3">
        <v>6.3600000000000004E-2</v>
      </c>
      <c r="I116">
        <v>7078.21</v>
      </c>
      <c r="J116" s="3">
        <v>6.1499999999999999E-2</v>
      </c>
      <c r="K116">
        <v>19134</v>
      </c>
      <c r="P116" s="2"/>
      <c r="R116" s="2"/>
      <c r="T116" s="3"/>
      <c r="V116" s="3"/>
      <c r="AB116" s="3"/>
      <c r="AC116" s="3"/>
      <c r="AD116" s="3"/>
    </row>
    <row r="117" spans="1:30" x14ac:dyDescent="0.25">
      <c r="A117" t="s">
        <v>144</v>
      </c>
      <c r="B117" t="s">
        <v>429</v>
      </c>
      <c r="C117" t="s">
        <v>358</v>
      </c>
      <c r="D117" s="2">
        <v>43994</v>
      </c>
      <c r="E117">
        <v>8.7523750000000007</v>
      </c>
      <c r="F117" s="2">
        <v>44099</v>
      </c>
      <c r="G117">
        <v>9.9681060000000006</v>
      </c>
      <c r="H117" s="3">
        <v>0.1389</v>
      </c>
      <c r="I117">
        <v>15731.23</v>
      </c>
      <c r="J117" s="3">
        <v>0.1368</v>
      </c>
      <c r="K117">
        <v>13142</v>
      </c>
      <c r="P117" s="2"/>
      <c r="R117" s="2"/>
      <c r="T117" s="3"/>
      <c r="V117" s="3"/>
      <c r="AB117" s="3"/>
      <c r="AC117" s="3"/>
      <c r="AD117" s="3"/>
    </row>
    <row r="118" spans="1:30" x14ac:dyDescent="0.25">
      <c r="A118" t="s">
        <v>116</v>
      </c>
      <c r="B118" t="s">
        <v>390</v>
      </c>
      <c r="C118" t="s">
        <v>358</v>
      </c>
      <c r="D118" s="2">
        <v>44001</v>
      </c>
      <c r="E118">
        <v>17.74579</v>
      </c>
      <c r="F118" s="2">
        <v>44092</v>
      </c>
      <c r="G118">
        <v>24.75797</v>
      </c>
      <c r="H118" s="3">
        <v>0.39510000000000001</v>
      </c>
      <c r="I118">
        <v>44717.440000000002</v>
      </c>
      <c r="J118" s="3">
        <v>0.39279999999999998</v>
      </c>
      <c r="K118">
        <v>6416</v>
      </c>
      <c r="P118" s="2"/>
      <c r="R118" s="2"/>
      <c r="T118" s="3"/>
      <c r="V118" s="3"/>
      <c r="AB118" s="3"/>
      <c r="AC118" s="3"/>
      <c r="AD118" s="3"/>
    </row>
    <row r="119" spans="1:30" x14ac:dyDescent="0.25">
      <c r="A119" t="s">
        <v>250</v>
      </c>
      <c r="B119" t="s">
        <v>430</v>
      </c>
      <c r="C119" t="s">
        <v>358</v>
      </c>
      <c r="D119" s="2">
        <v>44022</v>
      </c>
      <c r="E119">
        <v>2.48</v>
      </c>
      <c r="F119" s="2">
        <v>44092</v>
      </c>
      <c r="G119">
        <v>2.52</v>
      </c>
      <c r="H119" s="3">
        <v>1.61E-2</v>
      </c>
      <c r="I119">
        <v>1680.98</v>
      </c>
      <c r="J119" s="3">
        <v>1.41E-2</v>
      </c>
      <c r="K119">
        <v>48028</v>
      </c>
      <c r="P119" s="2"/>
      <c r="R119" s="2"/>
      <c r="T119" s="3"/>
      <c r="V119" s="3"/>
      <c r="AB119" s="3"/>
      <c r="AC119" s="3"/>
      <c r="AD119" s="3"/>
    </row>
    <row r="120" spans="1:30" x14ac:dyDescent="0.25">
      <c r="A120" t="s">
        <v>145</v>
      </c>
      <c r="B120" t="s">
        <v>431</v>
      </c>
      <c r="C120" t="s">
        <v>358</v>
      </c>
      <c r="D120" s="2">
        <v>43987</v>
      </c>
      <c r="E120">
        <v>30.628319999999999</v>
      </c>
      <c r="F120" s="2">
        <v>44085</v>
      </c>
      <c r="G120">
        <v>32.45008</v>
      </c>
      <c r="H120" s="3">
        <v>5.9499999999999997E-2</v>
      </c>
      <c r="I120">
        <v>6551.09</v>
      </c>
      <c r="J120" s="3">
        <v>5.74E-2</v>
      </c>
      <c r="K120">
        <v>3725</v>
      </c>
      <c r="P120" s="2"/>
      <c r="R120" s="2"/>
      <c r="T120" s="3"/>
      <c r="V120" s="3"/>
      <c r="AB120" s="3"/>
      <c r="AC120" s="3"/>
      <c r="AD120" s="3"/>
    </row>
    <row r="121" spans="1:30" x14ac:dyDescent="0.25">
      <c r="A121" t="s">
        <v>140</v>
      </c>
      <c r="B121" t="s">
        <v>423</v>
      </c>
      <c r="C121" t="s">
        <v>358</v>
      </c>
      <c r="D121" s="2">
        <v>44022</v>
      </c>
      <c r="E121">
        <v>10.894299999999999</v>
      </c>
      <c r="F121" s="2">
        <v>44085</v>
      </c>
      <c r="G121">
        <v>10.91389</v>
      </c>
      <c r="H121" s="3">
        <v>1.8E-3</v>
      </c>
      <c r="I121">
        <v>-24.24</v>
      </c>
      <c r="J121" s="3">
        <v>-2.0000000000000001E-4</v>
      </c>
      <c r="K121">
        <v>10930</v>
      </c>
      <c r="P121" s="2"/>
      <c r="R121" s="2"/>
      <c r="T121" s="3"/>
      <c r="V121" s="3"/>
      <c r="AB121" s="3"/>
      <c r="AC121" s="3"/>
      <c r="AD121" s="3"/>
    </row>
    <row r="122" spans="1:30" x14ac:dyDescent="0.25">
      <c r="A122" t="s">
        <v>146</v>
      </c>
      <c r="B122" t="s">
        <v>432</v>
      </c>
      <c r="C122" t="s">
        <v>358</v>
      </c>
      <c r="D122" s="2">
        <v>44008</v>
      </c>
      <c r="E122">
        <v>29.472919999999998</v>
      </c>
      <c r="F122" s="2">
        <v>44085</v>
      </c>
      <c r="G122">
        <v>27.718399999999999</v>
      </c>
      <c r="H122" s="3">
        <v>-5.9499999999999997E-2</v>
      </c>
      <c r="I122">
        <v>-7022.19</v>
      </c>
      <c r="J122" s="3">
        <v>-6.1499999999999999E-2</v>
      </c>
      <c r="K122">
        <v>3876</v>
      </c>
      <c r="P122" s="2"/>
      <c r="R122" s="2"/>
      <c r="T122" s="3"/>
      <c r="V122" s="3"/>
      <c r="AB122" s="3"/>
      <c r="AC122" s="3"/>
      <c r="AD122" s="3"/>
    </row>
    <row r="123" spans="1:30" x14ac:dyDescent="0.25">
      <c r="A123" t="s">
        <v>251</v>
      </c>
      <c r="B123" t="s">
        <v>433</v>
      </c>
      <c r="C123" t="s">
        <v>358</v>
      </c>
      <c r="D123" s="2">
        <v>43987</v>
      </c>
      <c r="E123">
        <v>46.53</v>
      </c>
      <c r="F123" s="2">
        <v>44085</v>
      </c>
      <c r="G123">
        <v>76.55</v>
      </c>
      <c r="H123" s="3">
        <v>0.6452</v>
      </c>
      <c r="I123">
        <v>73307.25</v>
      </c>
      <c r="J123" s="3">
        <v>0.64249999999999996</v>
      </c>
      <c r="K123">
        <v>2452</v>
      </c>
      <c r="P123" s="2"/>
      <c r="R123" s="2"/>
      <c r="T123" s="3"/>
      <c r="V123" s="3"/>
      <c r="AB123" s="3"/>
      <c r="AC123" s="3"/>
      <c r="AD123" s="3"/>
    </row>
    <row r="124" spans="1:30" x14ac:dyDescent="0.25">
      <c r="A124" t="s">
        <v>252</v>
      </c>
      <c r="B124" t="s">
        <v>399</v>
      </c>
      <c r="C124" t="s">
        <v>358</v>
      </c>
      <c r="D124" s="2">
        <v>44008</v>
      </c>
      <c r="E124">
        <v>8.4611099999999997</v>
      </c>
      <c r="F124" s="2">
        <v>44011</v>
      </c>
      <c r="G124">
        <v>8.2915120000000009</v>
      </c>
      <c r="H124" s="3">
        <v>-0.02</v>
      </c>
      <c r="I124">
        <v>-2515.1999999999998</v>
      </c>
      <c r="J124" s="3">
        <v>-2.1999999999999999E-2</v>
      </c>
      <c r="K124">
        <v>13497</v>
      </c>
      <c r="P124" s="2"/>
      <c r="R124" s="2"/>
      <c r="T124" s="3"/>
      <c r="V124" s="3"/>
      <c r="AB124" s="3"/>
      <c r="AC124" s="3"/>
      <c r="AD124" s="3"/>
    </row>
    <row r="125" spans="1:30" x14ac:dyDescent="0.25">
      <c r="A125" t="s">
        <v>102</v>
      </c>
      <c r="B125" t="s">
        <v>375</v>
      </c>
      <c r="C125" t="s">
        <v>358</v>
      </c>
      <c r="D125" s="2">
        <v>42307</v>
      </c>
      <c r="E125">
        <v>1.7258309999999999</v>
      </c>
      <c r="F125" s="2">
        <v>43917</v>
      </c>
      <c r="G125">
        <v>2.4826760000000001</v>
      </c>
      <c r="H125" s="3">
        <v>0.4385</v>
      </c>
      <c r="I125">
        <v>28893.71</v>
      </c>
      <c r="J125" s="3">
        <v>0.43609999999999999</v>
      </c>
      <c r="K125">
        <v>38390</v>
      </c>
      <c r="P125" s="2"/>
      <c r="R125" s="2"/>
      <c r="T125" s="3"/>
      <c r="V125" s="3"/>
      <c r="AB125" s="3"/>
      <c r="AC125" s="3"/>
      <c r="AD125" s="3"/>
    </row>
    <row r="126" spans="1:30" x14ac:dyDescent="0.25">
      <c r="A126" t="s">
        <v>140</v>
      </c>
      <c r="B126" t="s">
        <v>423</v>
      </c>
      <c r="C126" t="s">
        <v>358</v>
      </c>
      <c r="D126" s="2">
        <v>43504</v>
      </c>
      <c r="E126">
        <v>6.6619809999999999</v>
      </c>
      <c r="F126" s="2">
        <v>43910</v>
      </c>
      <c r="G126">
        <v>6.6619809999999999</v>
      </c>
      <c r="H126" s="3">
        <v>0</v>
      </c>
      <c r="I126">
        <v>-224.99</v>
      </c>
      <c r="J126" s="3">
        <v>-2E-3</v>
      </c>
      <c r="K126">
        <v>16886</v>
      </c>
      <c r="P126" s="2"/>
      <c r="R126" s="2"/>
      <c r="T126" s="3"/>
      <c r="V126" s="3"/>
      <c r="AB126" s="3"/>
      <c r="AC126" s="3"/>
      <c r="AD126" s="3"/>
    </row>
    <row r="127" spans="1:30" x14ac:dyDescent="0.25">
      <c r="A127" t="s">
        <v>147</v>
      </c>
      <c r="B127" t="s">
        <v>434</v>
      </c>
      <c r="C127" t="s">
        <v>358</v>
      </c>
      <c r="D127" s="2">
        <v>42650</v>
      </c>
      <c r="E127">
        <v>1.993241</v>
      </c>
      <c r="F127" s="2">
        <v>43910</v>
      </c>
      <c r="G127">
        <v>2.485484</v>
      </c>
      <c r="H127" s="3">
        <v>0.247</v>
      </c>
      <c r="I127">
        <v>18898.91</v>
      </c>
      <c r="J127" s="3">
        <v>0.2447</v>
      </c>
      <c r="K127">
        <v>38746</v>
      </c>
      <c r="P127" s="2"/>
      <c r="R127" s="2"/>
      <c r="T127" s="3"/>
      <c r="V127" s="3"/>
      <c r="AB127" s="3"/>
      <c r="AC127" s="3"/>
      <c r="AD127" s="3"/>
    </row>
    <row r="128" spans="1:30" x14ac:dyDescent="0.25">
      <c r="A128" t="s">
        <v>253</v>
      </c>
      <c r="B128" t="s">
        <v>435</v>
      </c>
      <c r="C128" t="s">
        <v>358</v>
      </c>
      <c r="D128" s="2">
        <v>43819</v>
      </c>
      <c r="E128">
        <v>3.7046269999999999</v>
      </c>
      <c r="F128" s="2">
        <v>43896</v>
      </c>
      <c r="G128">
        <v>2.6525850000000002</v>
      </c>
      <c r="H128" s="3">
        <v>-0.28399999999999997</v>
      </c>
      <c r="I128">
        <v>-36908.5</v>
      </c>
      <c r="J128" s="3">
        <v>-0.28570000000000001</v>
      </c>
      <c r="K128">
        <v>34872</v>
      </c>
      <c r="P128" s="2"/>
      <c r="R128" s="2"/>
      <c r="T128" s="3"/>
      <c r="V128" s="3"/>
      <c r="AB128" s="3"/>
      <c r="AC128" s="3"/>
      <c r="AD128" s="3"/>
    </row>
    <row r="129" spans="1:30" x14ac:dyDescent="0.25">
      <c r="A129" t="s">
        <v>105</v>
      </c>
      <c r="B129" t="s">
        <v>378</v>
      </c>
      <c r="C129" t="s">
        <v>358</v>
      </c>
      <c r="D129" s="2">
        <v>43763</v>
      </c>
      <c r="E129">
        <v>3.5694270000000001</v>
      </c>
      <c r="F129" s="2">
        <v>43896</v>
      </c>
      <c r="G129">
        <v>2.9283160000000001</v>
      </c>
      <c r="H129" s="3">
        <v>-0.17960000000000001</v>
      </c>
      <c r="I129">
        <v>-22943.48</v>
      </c>
      <c r="J129" s="3">
        <v>-0.18140000000000001</v>
      </c>
      <c r="K129">
        <v>35428</v>
      </c>
      <c r="P129" s="2"/>
      <c r="R129" s="2"/>
      <c r="T129" s="3"/>
      <c r="V129" s="3"/>
      <c r="AB129" s="3"/>
      <c r="AC129" s="3"/>
      <c r="AD129" s="3"/>
    </row>
    <row r="130" spans="1:30" x14ac:dyDescent="0.25">
      <c r="A130" t="s">
        <v>148</v>
      </c>
      <c r="B130" t="s">
        <v>436</v>
      </c>
      <c r="C130" t="s">
        <v>358</v>
      </c>
      <c r="D130" s="2">
        <v>43721</v>
      </c>
      <c r="E130">
        <v>5.7800770000000004</v>
      </c>
      <c r="F130" s="2">
        <v>43896</v>
      </c>
      <c r="G130">
        <v>4.919689</v>
      </c>
      <c r="H130" s="3">
        <v>-0.1489</v>
      </c>
      <c r="I130">
        <v>-19919.16</v>
      </c>
      <c r="J130" s="3">
        <v>-0.1507</v>
      </c>
      <c r="K130">
        <v>22867</v>
      </c>
      <c r="P130" s="2"/>
      <c r="R130" s="2"/>
      <c r="T130" s="3"/>
      <c r="V130" s="3"/>
      <c r="AB130" s="3"/>
      <c r="AC130" s="3"/>
      <c r="AD130" s="3"/>
    </row>
    <row r="131" spans="1:30" x14ac:dyDescent="0.25">
      <c r="A131" t="s">
        <v>111</v>
      </c>
      <c r="B131" t="s">
        <v>384</v>
      </c>
      <c r="C131" t="s">
        <v>358</v>
      </c>
      <c r="D131" s="2">
        <v>43721</v>
      </c>
      <c r="E131">
        <v>5.0647339999999996</v>
      </c>
      <c r="F131" s="2">
        <v>43896</v>
      </c>
      <c r="G131">
        <v>4.3824249999999996</v>
      </c>
      <c r="H131" s="3">
        <v>-0.13469999999999999</v>
      </c>
      <c r="I131">
        <v>-18054.84</v>
      </c>
      <c r="J131" s="3">
        <v>-0.1366</v>
      </c>
      <c r="K131">
        <v>26100</v>
      </c>
      <c r="P131" s="2"/>
      <c r="R131" s="2"/>
      <c r="T131" s="3"/>
      <c r="V131" s="3"/>
      <c r="AB131" s="3"/>
      <c r="AC131" s="3"/>
      <c r="AD131" s="3"/>
    </row>
    <row r="132" spans="1:30" x14ac:dyDescent="0.25">
      <c r="A132" t="s">
        <v>99</v>
      </c>
      <c r="B132" t="s">
        <v>361</v>
      </c>
      <c r="C132" t="s">
        <v>358</v>
      </c>
      <c r="D132" s="2">
        <v>43714</v>
      </c>
      <c r="E132">
        <v>2.1375989999999998</v>
      </c>
      <c r="F132" s="2">
        <v>43896</v>
      </c>
      <c r="G132">
        <v>1.5131479999999999</v>
      </c>
      <c r="H132" s="3">
        <v>-0.29210000000000003</v>
      </c>
      <c r="I132">
        <v>-38152.78</v>
      </c>
      <c r="J132" s="3">
        <v>-0.29380000000000001</v>
      </c>
      <c r="K132">
        <v>60743</v>
      </c>
      <c r="P132" s="2"/>
      <c r="R132" s="2"/>
      <c r="T132" s="3"/>
      <c r="V132" s="3"/>
      <c r="AB132" s="3"/>
      <c r="AC132" s="3"/>
      <c r="AD132" s="3"/>
    </row>
    <row r="133" spans="1:30" x14ac:dyDescent="0.25">
      <c r="A133" t="s">
        <v>251</v>
      </c>
      <c r="B133" t="s">
        <v>433</v>
      </c>
      <c r="C133" t="s">
        <v>358</v>
      </c>
      <c r="D133" s="2">
        <v>43714</v>
      </c>
      <c r="E133">
        <v>30.9</v>
      </c>
      <c r="F133" s="2">
        <v>43896</v>
      </c>
      <c r="G133">
        <v>32.18</v>
      </c>
      <c r="H133" s="3">
        <v>4.1399999999999999E-2</v>
      </c>
      <c r="I133">
        <v>5113.5</v>
      </c>
      <c r="J133" s="3">
        <v>3.9399999999999998E-2</v>
      </c>
      <c r="K133">
        <v>4202</v>
      </c>
      <c r="P133" s="2"/>
      <c r="R133" s="2"/>
      <c r="T133" s="3"/>
      <c r="V133" s="3"/>
      <c r="AB133" s="3"/>
      <c r="AC133" s="3"/>
      <c r="AD133" s="3"/>
    </row>
    <row r="134" spans="1:30" x14ac:dyDescent="0.25">
      <c r="A134" t="s">
        <v>149</v>
      </c>
      <c r="B134" t="s">
        <v>437</v>
      </c>
      <c r="C134" t="s">
        <v>358</v>
      </c>
      <c r="D134" s="2">
        <v>43714</v>
      </c>
      <c r="E134">
        <v>6.69</v>
      </c>
      <c r="F134" s="2">
        <v>43896</v>
      </c>
      <c r="G134">
        <v>6.65</v>
      </c>
      <c r="H134" s="3">
        <v>-6.0000000000000001E-3</v>
      </c>
      <c r="I134">
        <v>-1035.49</v>
      </c>
      <c r="J134" s="3">
        <v>-8.0000000000000002E-3</v>
      </c>
      <c r="K134">
        <v>19413</v>
      </c>
      <c r="P134" s="2"/>
      <c r="R134" s="2"/>
      <c r="T134" s="3"/>
      <c r="V134" s="3"/>
      <c r="AB134" s="3"/>
      <c r="AC134" s="3"/>
      <c r="AD134" s="3"/>
    </row>
    <row r="135" spans="1:30" x14ac:dyDescent="0.25">
      <c r="A135" t="s">
        <v>84</v>
      </c>
      <c r="B135" t="s">
        <v>365</v>
      </c>
      <c r="C135" t="s">
        <v>358</v>
      </c>
      <c r="D135" s="2">
        <v>43714</v>
      </c>
      <c r="E135">
        <v>36.003810000000001</v>
      </c>
      <c r="F135" s="2">
        <v>43896</v>
      </c>
      <c r="G135">
        <v>19.306149999999999</v>
      </c>
      <c r="H135" s="3">
        <v>-0.46379999999999999</v>
      </c>
      <c r="I135">
        <v>-60444.72</v>
      </c>
      <c r="J135" s="3">
        <v>-0.46529999999999999</v>
      </c>
      <c r="K135">
        <v>3608</v>
      </c>
      <c r="P135" s="2"/>
      <c r="R135" s="2"/>
      <c r="T135" s="3"/>
      <c r="V135" s="3"/>
      <c r="AB135" s="3"/>
      <c r="AC135" s="3"/>
      <c r="AD135" s="3"/>
    </row>
    <row r="136" spans="1:30" x14ac:dyDescent="0.25">
      <c r="A136" t="s">
        <v>150</v>
      </c>
      <c r="B136" t="s">
        <v>438</v>
      </c>
      <c r="C136" t="s">
        <v>358</v>
      </c>
      <c r="D136" s="2">
        <v>43609</v>
      </c>
      <c r="E136">
        <v>25.521619999999999</v>
      </c>
      <c r="F136" s="2">
        <v>43896</v>
      </c>
      <c r="G136">
        <v>30.32648</v>
      </c>
      <c r="H136" s="3">
        <v>0.1883</v>
      </c>
      <c r="I136">
        <v>24215.21</v>
      </c>
      <c r="J136" s="3">
        <v>0.18609999999999999</v>
      </c>
      <c r="K136">
        <v>5099</v>
      </c>
      <c r="P136" s="2"/>
      <c r="R136" s="2"/>
      <c r="T136" s="3"/>
      <c r="V136" s="3"/>
      <c r="AB136" s="3"/>
      <c r="AC136" s="3"/>
      <c r="AD136" s="3"/>
    </row>
    <row r="137" spans="1:30" x14ac:dyDescent="0.25">
      <c r="A137" t="s">
        <v>151</v>
      </c>
      <c r="B137" t="s">
        <v>439</v>
      </c>
      <c r="C137" t="s">
        <v>358</v>
      </c>
      <c r="D137" s="2">
        <v>43497</v>
      </c>
      <c r="E137">
        <v>2.340436</v>
      </c>
      <c r="F137" s="2">
        <v>43896</v>
      </c>
      <c r="G137">
        <v>2.5969250000000001</v>
      </c>
      <c r="H137" s="3">
        <v>0.1096</v>
      </c>
      <c r="I137">
        <v>11877.51</v>
      </c>
      <c r="J137" s="3">
        <v>0.1075</v>
      </c>
      <c r="K137">
        <v>47217</v>
      </c>
      <c r="P137" s="2"/>
      <c r="R137" s="2"/>
      <c r="T137" s="3"/>
      <c r="V137" s="3"/>
      <c r="AB137" s="3"/>
      <c r="AC137" s="3"/>
      <c r="AD137" s="3"/>
    </row>
    <row r="138" spans="1:30" x14ac:dyDescent="0.25">
      <c r="A138" t="s">
        <v>144</v>
      </c>
      <c r="B138" t="s">
        <v>429</v>
      </c>
      <c r="C138" t="s">
        <v>358</v>
      </c>
      <c r="D138" s="2">
        <v>43483</v>
      </c>
      <c r="E138">
        <v>2.1108579999999999</v>
      </c>
      <c r="F138" s="2">
        <v>43896</v>
      </c>
      <c r="G138">
        <v>5.2456480000000001</v>
      </c>
      <c r="H138" s="3">
        <v>1.4851000000000001</v>
      </c>
      <c r="I138">
        <v>161791.47</v>
      </c>
      <c r="J138" s="3">
        <v>1.4816</v>
      </c>
      <c r="K138">
        <v>51733</v>
      </c>
      <c r="P138" s="2"/>
      <c r="R138" s="2"/>
      <c r="T138" s="3"/>
      <c r="V138" s="3"/>
      <c r="AB138" s="3"/>
      <c r="AC138" s="3"/>
      <c r="AD138" s="3"/>
    </row>
    <row r="139" spans="1:30" x14ac:dyDescent="0.25">
      <c r="A139" t="s">
        <v>249</v>
      </c>
      <c r="B139" t="s">
        <v>425</v>
      </c>
      <c r="C139" t="s">
        <v>358</v>
      </c>
      <c r="D139" s="2">
        <v>43483</v>
      </c>
      <c r="E139">
        <v>20.13663</v>
      </c>
      <c r="F139" s="2">
        <v>43896</v>
      </c>
      <c r="G139">
        <v>21.460650000000001</v>
      </c>
      <c r="H139" s="3">
        <v>6.5799999999999997E-2</v>
      </c>
      <c r="I139">
        <v>6954.58</v>
      </c>
      <c r="J139" s="3">
        <v>6.3700000000000007E-2</v>
      </c>
      <c r="K139">
        <v>5423</v>
      </c>
      <c r="P139" s="2"/>
      <c r="R139" s="2"/>
      <c r="T139" s="3"/>
      <c r="V139" s="3"/>
      <c r="AB139" s="3"/>
      <c r="AC139" s="3"/>
      <c r="AD139" s="3"/>
    </row>
    <row r="140" spans="1:30" x14ac:dyDescent="0.25">
      <c r="A140" t="s">
        <v>246</v>
      </c>
      <c r="B140" t="s">
        <v>416</v>
      </c>
      <c r="C140" t="s">
        <v>358</v>
      </c>
      <c r="D140" s="2">
        <v>41250</v>
      </c>
      <c r="E140">
        <v>0.63561590000000001</v>
      </c>
      <c r="F140" s="2">
        <v>43812</v>
      </c>
      <c r="G140">
        <v>1.5162359999999999</v>
      </c>
      <c r="H140" s="3">
        <v>1.3855</v>
      </c>
      <c r="I140">
        <v>67347.77</v>
      </c>
      <c r="J140" s="3">
        <v>1.3821000000000001</v>
      </c>
      <c r="K140">
        <v>76665</v>
      </c>
      <c r="P140" s="2"/>
      <c r="R140" s="2"/>
      <c r="T140" s="3"/>
      <c r="V140" s="3"/>
      <c r="AB140" s="3"/>
      <c r="AC140" s="3"/>
      <c r="AD140" s="3"/>
    </row>
    <row r="141" spans="1:30" x14ac:dyDescent="0.25">
      <c r="A141" t="s">
        <v>110</v>
      </c>
      <c r="B141" t="s">
        <v>383</v>
      </c>
      <c r="C141" t="s">
        <v>358</v>
      </c>
      <c r="D141" s="2">
        <v>43714</v>
      </c>
      <c r="E141">
        <v>36.295810000000003</v>
      </c>
      <c r="F141" s="2">
        <v>43763</v>
      </c>
      <c r="G141">
        <v>26.518519999999999</v>
      </c>
      <c r="H141" s="3">
        <v>-0.26939999999999997</v>
      </c>
      <c r="I141">
        <v>-35207.89</v>
      </c>
      <c r="J141" s="3">
        <v>-0.27110000000000001</v>
      </c>
      <c r="K141">
        <v>3578</v>
      </c>
      <c r="P141" s="2"/>
      <c r="R141" s="2"/>
      <c r="T141" s="3"/>
      <c r="V141" s="3"/>
      <c r="AB141" s="3"/>
      <c r="AC141" s="3"/>
      <c r="AD141" s="3"/>
    </row>
    <row r="142" spans="1:30" x14ac:dyDescent="0.25">
      <c r="A142" t="s">
        <v>46</v>
      </c>
      <c r="B142" t="s">
        <v>45</v>
      </c>
      <c r="C142" t="s">
        <v>358</v>
      </c>
      <c r="D142" s="2">
        <v>43497</v>
      </c>
      <c r="E142">
        <v>3.40184</v>
      </c>
      <c r="F142" s="2">
        <v>43714</v>
      </c>
      <c r="G142">
        <v>2.4009290000000001</v>
      </c>
      <c r="H142" s="3">
        <v>-0.29420000000000002</v>
      </c>
      <c r="I142">
        <v>-32711.15</v>
      </c>
      <c r="J142" s="3">
        <v>-0.2959</v>
      </c>
      <c r="K142">
        <v>32493</v>
      </c>
      <c r="P142" s="2"/>
      <c r="R142" s="2"/>
      <c r="T142" s="3"/>
      <c r="V142" s="3"/>
      <c r="AB142" s="3"/>
      <c r="AC142" s="3"/>
      <c r="AD142" s="3"/>
    </row>
    <row r="143" spans="1:30" x14ac:dyDescent="0.25">
      <c r="A143" t="s">
        <v>152</v>
      </c>
      <c r="B143" t="s">
        <v>440</v>
      </c>
      <c r="C143" t="s">
        <v>358</v>
      </c>
      <c r="D143" s="2">
        <v>43497</v>
      </c>
      <c r="E143">
        <v>2.2401270000000002</v>
      </c>
      <c r="F143" s="2">
        <v>43714</v>
      </c>
      <c r="G143">
        <v>1.938933</v>
      </c>
      <c r="H143" s="3">
        <v>-0.13450000000000001</v>
      </c>
      <c r="I143">
        <v>-15069.86</v>
      </c>
      <c r="J143" s="3">
        <v>-0.1363</v>
      </c>
      <c r="K143">
        <v>49349</v>
      </c>
      <c r="P143" s="2"/>
      <c r="R143" s="2"/>
      <c r="T143" s="3"/>
      <c r="V143" s="3"/>
      <c r="AB143" s="3"/>
      <c r="AC143" s="3"/>
      <c r="AD143" s="3"/>
    </row>
    <row r="144" spans="1:30" x14ac:dyDescent="0.25">
      <c r="A144" t="s">
        <v>254</v>
      </c>
      <c r="B144" t="s">
        <v>441</v>
      </c>
      <c r="C144" t="s">
        <v>358</v>
      </c>
      <c r="D144" s="2">
        <v>43644</v>
      </c>
      <c r="E144">
        <v>2.2082809999999999</v>
      </c>
      <c r="F144" s="2">
        <v>43707</v>
      </c>
      <c r="G144">
        <v>2.1425019999999999</v>
      </c>
      <c r="H144" s="3">
        <v>-2.98E-2</v>
      </c>
      <c r="I144">
        <v>-4281.5600000000004</v>
      </c>
      <c r="J144" s="3">
        <v>-3.1800000000000002E-2</v>
      </c>
      <c r="K144">
        <v>61052</v>
      </c>
      <c r="P144" s="2"/>
      <c r="R144" s="2"/>
      <c r="T144" s="3"/>
      <c r="V144" s="3"/>
      <c r="AB144" s="3"/>
      <c r="AC144" s="3"/>
      <c r="AD144" s="3"/>
    </row>
    <row r="145" spans="1:30" x14ac:dyDescent="0.25">
      <c r="A145" t="s">
        <v>153</v>
      </c>
      <c r="B145" t="s">
        <v>442</v>
      </c>
      <c r="C145" t="s">
        <v>358</v>
      </c>
      <c r="D145" s="2">
        <v>43504</v>
      </c>
      <c r="E145">
        <v>4.5866699999999998</v>
      </c>
      <c r="F145" s="2">
        <v>43707</v>
      </c>
      <c r="G145">
        <v>4.7588210000000002</v>
      </c>
      <c r="H145" s="3">
        <v>3.7499999999999999E-2</v>
      </c>
      <c r="I145">
        <v>3994.11</v>
      </c>
      <c r="J145" s="3">
        <v>3.5499999999999997E-2</v>
      </c>
      <c r="K145">
        <v>24533</v>
      </c>
      <c r="P145" s="2"/>
      <c r="R145" s="2"/>
      <c r="T145" s="3"/>
      <c r="V145" s="3"/>
      <c r="AB145" s="3"/>
      <c r="AC145" s="3"/>
      <c r="AD145" s="3"/>
    </row>
    <row r="146" spans="1:30" x14ac:dyDescent="0.25">
      <c r="A146" t="s">
        <v>154</v>
      </c>
      <c r="B146" t="s">
        <v>443</v>
      </c>
      <c r="C146" t="s">
        <v>358</v>
      </c>
      <c r="D146" s="2">
        <v>43252</v>
      </c>
      <c r="E146">
        <v>8.1705070000000006</v>
      </c>
      <c r="F146" s="2">
        <v>43707</v>
      </c>
      <c r="G146">
        <v>14.82586</v>
      </c>
      <c r="H146" s="3">
        <v>0.81459999999999999</v>
      </c>
      <c r="I146">
        <v>84012.15</v>
      </c>
      <c r="J146" s="3">
        <v>0.81169999999999998</v>
      </c>
      <c r="K146">
        <v>12667</v>
      </c>
      <c r="P146" s="2"/>
      <c r="R146" s="2"/>
      <c r="T146" s="3"/>
      <c r="V146" s="3"/>
      <c r="AB146" s="3"/>
      <c r="AC146" s="3"/>
      <c r="AD146" s="3"/>
    </row>
    <row r="147" spans="1:30" x14ac:dyDescent="0.25">
      <c r="A147" t="s">
        <v>155</v>
      </c>
      <c r="B147" t="s">
        <v>444</v>
      </c>
      <c r="C147" t="s">
        <v>358</v>
      </c>
      <c r="D147" s="2">
        <v>43504</v>
      </c>
      <c r="E147">
        <v>12.09375</v>
      </c>
      <c r="F147" s="2">
        <v>43700</v>
      </c>
      <c r="G147">
        <v>14.931179999999999</v>
      </c>
      <c r="H147" s="3">
        <v>0.2346</v>
      </c>
      <c r="I147">
        <v>26145.11</v>
      </c>
      <c r="J147" s="3">
        <v>0.2324</v>
      </c>
      <c r="K147">
        <v>9303</v>
      </c>
      <c r="P147" s="2"/>
      <c r="R147" s="2"/>
      <c r="T147" s="3"/>
      <c r="V147" s="3"/>
      <c r="AB147" s="3"/>
      <c r="AC147" s="3"/>
      <c r="AD147" s="3"/>
    </row>
    <row r="148" spans="1:30" x14ac:dyDescent="0.25">
      <c r="A148" t="s">
        <v>146</v>
      </c>
      <c r="B148" t="s">
        <v>432</v>
      </c>
      <c r="C148" t="s">
        <v>358</v>
      </c>
      <c r="D148" s="2">
        <v>43497</v>
      </c>
      <c r="E148">
        <v>14.00183</v>
      </c>
      <c r="F148" s="2">
        <v>43700</v>
      </c>
      <c r="G148">
        <v>20.112310000000001</v>
      </c>
      <c r="H148" s="3">
        <v>0.43640000000000001</v>
      </c>
      <c r="I148">
        <v>47960.76</v>
      </c>
      <c r="J148" s="3">
        <v>0.434</v>
      </c>
      <c r="K148">
        <v>7893</v>
      </c>
      <c r="P148" s="2"/>
      <c r="R148" s="2"/>
      <c r="T148" s="3"/>
      <c r="V148" s="3"/>
      <c r="AB148" s="3"/>
      <c r="AC148" s="3"/>
      <c r="AD148" s="3"/>
    </row>
    <row r="149" spans="1:30" x14ac:dyDescent="0.25">
      <c r="A149" t="s">
        <v>255</v>
      </c>
      <c r="B149" t="s">
        <v>445</v>
      </c>
      <c r="C149" t="s">
        <v>358</v>
      </c>
      <c r="D149" s="2">
        <v>43490</v>
      </c>
      <c r="E149">
        <v>5.66</v>
      </c>
      <c r="F149" s="2">
        <v>43640</v>
      </c>
      <c r="G149">
        <v>5.82</v>
      </c>
      <c r="H149" s="3">
        <v>2.8299999999999999E-2</v>
      </c>
      <c r="I149">
        <v>2880.4</v>
      </c>
      <c r="J149" s="3">
        <v>2.6200000000000001E-2</v>
      </c>
      <c r="K149">
        <v>19394</v>
      </c>
      <c r="P149" s="2"/>
      <c r="R149" s="2"/>
      <c r="T149" s="3"/>
      <c r="V149" s="3"/>
      <c r="AB149" s="3"/>
      <c r="AC149" s="3"/>
      <c r="AD149" s="3"/>
    </row>
    <row r="150" spans="1:30" x14ac:dyDescent="0.25">
      <c r="A150" t="s">
        <v>256</v>
      </c>
      <c r="B150" t="s">
        <v>446</v>
      </c>
      <c r="C150" t="s">
        <v>358</v>
      </c>
      <c r="D150" s="2">
        <v>43490</v>
      </c>
      <c r="E150">
        <v>2.3464109999999998</v>
      </c>
      <c r="F150" s="2">
        <v>43609</v>
      </c>
      <c r="G150">
        <v>2.46</v>
      </c>
      <c r="H150" s="3">
        <v>4.8399999999999999E-2</v>
      </c>
      <c r="I150">
        <v>5088.5200000000004</v>
      </c>
      <c r="J150" s="3">
        <v>4.6399999999999997E-2</v>
      </c>
      <c r="K150">
        <v>46777</v>
      </c>
      <c r="P150" s="2"/>
      <c r="R150" s="2"/>
      <c r="T150" s="3"/>
      <c r="V150" s="3"/>
      <c r="AB150" s="3"/>
      <c r="AC150" s="3"/>
      <c r="AD150" s="3"/>
    </row>
    <row r="151" spans="1:30" x14ac:dyDescent="0.25">
      <c r="A151" t="s">
        <v>156</v>
      </c>
      <c r="B151" t="s">
        <v>447</v>
      </c>
      <c r="C151" t="s">
        <v>358</v>
      </c>
      <c r="D151" s="2">
        <v>43224</v>
      </c>
      <c r="E151">
        <v>6.4912210000000004</v>
      </c>
      <c r="F151" s="2">
        <v>43434</v>
      </c>
      <c r="G151">
        <v>6.0554680000000003</v>
      </c>
      <c r="H151" s="3">
        <v>-6.7100000000000007E-2</v>
      </c>
      <c r="I151">
        <v>-7218.97</v>
      </c>
      <c r="J151" s="3">
        <v>-6.9099999999999995E-2</v>
      </c>
      <c r="K151">
        <v>16103</v>
      </c>
      <c r="P151" s="2"/>
      <c r="R151" s="2"/>
      <c r="T151" s="3"/>
      <c r="V151" s="3"/>
      <c r="AB151" s="3"/>
      <c r="AC151" s="3"/>
      <c r="AD151" s="3"/>
    </row>
    <row r="152" spans="1:30" x14ac:dyDescent="0.25">
      <c r="A152" t="s">
        <v>157</v>
      </c>
      <c r="B152" t="s">
        <v>448</v>
      </c>
      <c r="C152" t="s">
        <v>358</v>
      </c>
      <c r="D152" s="2">
        <v>43224</v>
      </c>
      <c r="E152">
        <v>4.8751049999999996</v>
      </c>
      <c r="F152" s="2">
        <v>43413</v>
      </c>
      <c r="G152">
        <v>5.052276</v>
      </c>
      <c r="H152" s="3">
        <v>3.6299999999999999E-2</v>
      </c>
      <c r="I152">
        <v>3585.03</v>
      </c>
      <c r="J152" s="3">
        <v>3.4299999999999997E-2</v>
      </c>
      <c r="K152">
        <v>21436</v>
      </c>
      <c r="P152" s="2"/>
      <c r="R152" s="2"/>
      <c r="T152" s="3"/>
      <c r="V152" s="3"/>
      <c r="AB152" s="3"/>
      <c r="AC152" s="3"/>
      <c r="AD152" s="3"/>
    </row>
    <row r="153" spans="1:30" x14ac:dyDescent="0.25">
      <c r="A153" t="s">
        <v>88</v>
      </c>
      <c r="B153" t="s">
        <v>369</v>
      </c>
      <c r="C153" t="s">
        <v>358</v>
      </c>
      <c r="D153" s="2">
        <v>43315</v>
      </c>
      <c r="E153">
        <v>6.0085639999999998</v>
      </c>
      <c r="F153" s="2">
        <v>43406</v>
      </c>
      <c r="G153">
        <v>5.0217169999999998</v>
      </c>
      <c r="H153" s="3">
        <v>-0.16420000000000001</v>
      </c>
      <c r="I153">
        <v>-18292.09</v>
      </c>
      <c r="J153" s="3">
        <v>-0.1661</v>
      </c>
      <c r="K153">
        <v>18331</v>
      </c>
      <c r="P153" s="2"/>
      <c r="R153" s="2"/>
      <c r="T153" s="3"/>
      <c r="V153" s="3"/>
      <c r="AB153" s="3"/>
      <c r="AC153" s="3"/>
      <c r="AD153" s="3"/>
    </row>
    <row r="154" spans="1:30" x14ac:dyDescent="0.25">
      <c r="A154" t="s">
        <v>87</v>
      </c>
      <c r="B154" t="s">
        <v>223</v>
      </c>
      <c r="C154" t="s">
        <v>358</v>
      </c>
      <c r="D154" s="2">
        <v>43224</v>
      </c>
      <c r="E154">
        <v>16.213159999999998</v>
      </c>
      <c r="F154" s="2">
        <v>43406</v>
      </c>
      <c r="G154">
        <v>22.11646</v>
      </c>
      <c r="H154" s="3">
        <v>0.36409999999999998</v>
      </c>
      <c r="I154">
        <v>37805.599999999999</v>
      </c>
      <c r="J154" s="3">
        <v>0.36170000000000002</v>
      </c>
      <c r="K154">
        <v>6446</v>
      </c>
      <c r="P154" s="2"/>
      <c r="R154" s="2"/>
      <c r="T154" s="3"/>
      <c r="V154" s="3"/>
      <c r="AB154" s="3"/>
      <c r="AC154" s="3"/>
      <c r="AD154" s="3"/>
    </row>
    <row r="155" spans="1:30" x14ac:dyDescent="0.25">
      <c r="A155" t="s">
        <v>115</v>
      </c>
      <c r="B155" t="s">
        <v>388</v>
      </c>
      <c r="C155" t="s">
        <v>358</v>
      </c>
      <c r="D155" s="2">
        <v>42307</v>
      </c>
      <c r="E155">
        <v>5.6274470000000001</v>
      </c>
      <c r="F155" s="2">
        <v>43406</v>
      </c>
      <c r="G155">
        <v>12.46698</v>
      </c>
      <c r="H155" s="3">
        <v>1.2154</v>
      </c>
      <c r="I155">
        <v>80329.259999999995</v>
      </c>
      <c r="J155" s="3">
        <v>1.2121999999999999</v>
      </c>
      <c r="K155">
        <v>11776</v>
      </c>
      <c r="P155" s="2"/>
      <c r="R155" s="2"/>
      <c r="T155" s="3"/>
      <c r="V155" s="3"/>
      <c r="AB155" s="3"/>
      <c r="AC155" s="3"/>
      <c r="AD155" s="3"/>
    </row>
    <row r="156" spans="1:30" x14ac:dyDescent="0.25">
      <c r="A156" t="s">
        <v>99</v>
      </c>
      <c r="B156" t="s">
        <v>361</v>
      </c>
      <c r="C156" t="s">
        <v>358</v>
      </c>
      <c r="D156" s="2">
        <v>43224</v>
      </c>
      <c r="E156">
        <v>1.3868100000000001</v>
      </c>
      <c r="F156" s="2">
        <v>43392</v>
      </c>
      <c r="G156">
        <v>1.5884039999999999</v>
      </c>
      <c r="H156" s="3">
        <v>0.1454</v>
      </c>
      <c r="I156">
        <v>14972.48</v>
      </c>
      <c r="J156" s="3">
        <v>0.14319999999999999</v>
      </c>
      <c r="K156">
        <v>75383</v>
      </c>
      <c r="P156" s="2"/>
      <c r="R156" s="2"/>
      <c r="T156" s="3"/>
      <c r="V156" s="3"/>
      <c r="AB156" s="3"/>
      <c r="AC156" s="3"/>
      <c r="AD156" s="3"/>
    </row>
    <row r="157" spans="1:30" x14ac:dyDescent="0.25">
      <c r="A157" t="s">
        <v>257</v>
      </c>
      <c r="B157" t="s">
        <v>449</v>
      </c>
      <c r="C157" t="s">
        <v>358</v>
      </c>
      <c r="D157" s="2">
        <v>42706</v>
      </c>
      <c r="E157">
        <v>1.1531750000000001</v>
      </c>
      <c r="F157" s="2">
        <v>43392</v>
      </c>
      <c r="G157">
        <v>1.998278</v>
      </c>
      <c r="H157" s="3">
        <v>0.73280000000000001</v>
      </c>
      <c r="I157">
        <v>53762.82</v>
      </c>
      <c r="J157" s="3">
        <v>0.73009999999999997</v>
      </c>
      <c r="K157">
        <v>63855</v>
      </c>
      <c r="P157" s="2"/>
      <c r="R157" s="2"/>
      <c r="T157" s="3"/>
      <c r="V157" s="3"/>
      <c r="AB157" s="3"/>
      <c r="AC157" s="3"/>
      <c r="AD157" s="3"/>
    </row>
    <row r="158" spans="1:30" x14ac:dyDescent="0.25">
      <c r="A158" t="s">
        <v>258</v>
      </c>
      <c r="B158" t="s">
        <v>450</v>
      </c>
      <c r="C158" t="s">
        <v>358</v>
      </c>
      <c r="D158" s="2">
        <v>43224</v>
      </c>
      <c r="E158">
        <v>5.1229440000000004</v>
      </c>
      <c r="F158" s="2">
        <v>43391</v>
      </c>
      <c r="G158">
        <v>6.39</v>
      </c>
      <c r="H158" s="3">
        <v>0.24729999999999999</v>
      </c>
      <c r="I158">
        <v>25608.06</v>
      </c>
      <c r="J158" s="3">
        <v>0.24510000000000001</v>
      </c>
      <c r="K158">
        <v>20396</v>
      </c>
      <c r="P158" s="2"/>
      <c r="R158" s="2"/>
      <c r="T158" s="3"/>
      <c r="V158" s="3"/>
      <c r="AB158" s="3"/>
      <c r="AC158" s="3"/>
      <c r="AD158" s="3"/>
    </row>
    <row r="159" spans="1:30" x14ac:dyDescent="0.25">
      <c r="A159" t="s">
        <v>105</v>
      </c>
      <c r="B159" t="s">
        <v>378</v>
      </c>
      <c r="C159" t="s">
        <v>358</v>
      </c>
      <c r="D159" s="2">
        <v>43224</v>
      </c>
      <c r="E159">
        <v>3.8920309999999998</v>
      </c>
      <c r="F159" s="2">
        <v>43357</v>
      </c>
      <c r="G159">
        <v>4.4941940000000002</v>
      </c>
      <c r="H159" s="3">
        <v>0.1547</v>
      </c>
      <c r="I159">
        <v>15951.22</v>
      </c>
      <c r="J159" s="3">
        <v>0.15260000000000001</v>
      </c>
      <c r="K159">
        <v>26864</v>
      </c>
      <c r="P159" s="2"/>
      <c r="R159" s="2"/>
      <c r="T159" s="3"/>
      <c r="V159" s="3"/>
      <c r="AB159" s="3"/>
      <c r="AC159" s="3"/>
      <c r="AD159" s="3"/>
    </row>
    <row r="160" spans="1:30" x14ac:dyDescent="0.25">
      <c r="A160" t="s">
        <v>138</v>
      </c>
      <c r="B160" t="s">
        <v>421</v>
      </c>
      <c r="C160" t="s">
        <v>358</v>
      </c>
      <c r="D160" s="2">
        <v>43224</v>
      </c>
      <c r="E160">
        <v>38.5</v>
      </c>
      <c r="F160" s="2">
        <v>43357</v>
      </c>
      <c r="G160">
        <v>47.3</v>
      </c>
      <c r="H160" s="3">
        <v>0.2286</v>
      </c>
      <c r="I160">
        <v>23667.77</v>
      </c>
      <c r="J160" s="3">
        <v>0.2263</v>
      </c>
      <c r="K160">
        <v>2716</v>
      </c>
      <c r="P160" s="2"/>
      <c r="R160" s="2"/>
      <c r="T160" s="3"/>
      <c r="V160" s="3"/>
      <c r="AB160" s="3"/>
      <c r="AC160" s="3"/>
      <c r="AD160" s="3"/>
    </row>
    <row r="161" spans="1:30" x14ac:dyDescent="0.25">
      <c r="A161" t="s">
        <v>158</v>
      </c>
      <c r="B161" t="s">
        <v>451</v>
      </c>
      <c r="C161" t="s">
        <v>358</v>
      </c>
      <c r="D161" s="2">
        <v>43224</v>
      </c>
      <c r="E161">
        <v>16.624189999999999</v>
      </c>
      <c r="F161" s="2">
        <v>43329</v>
      </c>
      <c r="G161">
        <v>14.449310000000001</v>
      </c>
      <c r="H161" s="3">
        <v>-0.1308</v>
      </c>
      <c r="I161">
        <v>-13860.01</v>
      </c>
      <c r="J161" s="3">
        <v>-0.13270000000000001</v>
      </c>
      <c r="K161">
        <v>6283</v>
      </c>
      <c r="P161" s="2"/>
      <c r="R161" s="2"/>
      <c r="T161" s="3"/>
      <c r="V161" s="3"/>
      <c r="AB161" s="3"/>
      <c r="AC161" s="3"/>
      <c r="AD161" s="3"/>
    </row>
    <row r="162" spans="1:30" x14ac:dyDescent="0.25">
      <c r="A162" t="s">
        <v>128</v>
      </c>
      <c r="B162" t="s">
        <v>405</v>
      </c>
      <c r="C162" t="s">
        <v>358</v>
      </c>
      <c r="D162" s="2">
        <v>43224</v>
      </c>
      <c r="E162">
        <v>8.5028279999999992</v>
      </c>
      <c r="F162" s="2">
        <v>43315</v>
      </c>
      <c r="G162">
        <v>6.7045070000000004</v>
      </c>
      <c r="H162" s="3">
        <v>-0.21149999999999999</v>
      </c>
      <c r="I162">
        <v>-22282.85</v>
      </c>
      <c r="J162" s="3">
        <v>-0.21329999999999999</v>
      </c>
      <c r="K162">
        <v>12287</v>
      </c>
      <c r="P162" s="2"/>
      <c r="R162" s="2"/>
      <c r="T162" s="3"/>
      <c r="V162" s="3"/>
      <c r="AB162" s="3"/>
      <c r="AC162" s="3"/>
      <c r="AD162" s="3"/>
    </row>
    <row r="163" spans="1:30" x14ac:dyDescent="0.25">
      <c r="A163" t="s">
        <v>159</v>
      </c>
      <c r="B163" t="s">
        <v>452</v>
      </c>
      <c r="C163" t="s">
        <v>358</v>
      </c>
      <c r="D163" s="2">
        <v>42706</v>
      </c>
      <c r="E163">
        <v>18.39866</v>
      </c>
      <c r="F163" s="2">
        <v>43252</v>
      </c>
      <c r="G163">
        <v>18.808540000000001</v>
      </c>
      <c r="H163" s="3">
        <v>2.23E-2</v>
      </c>
      <c r="I163">
        <v>1491.06</v>
      </c>
      <c r="J163" s="3">
        <v>2.0299999999999999E-2</v>
      </c>
      <c r="K163">
        <v>4001</v>
      </c>
      <c r="P163" s="2"/>
      <c r="R163" s="2"/>
      <c r="T163" s="3"/>
      <c r="V163" s="3"/>
      <c r="AB163" s="3"/>
      <c r="AC163" s="3"/>
      <c r="AD163" s="3"/>
    </row>
    <row r="164" spans="1:30" x14ac:dyDescent="0.25">
      <c r="A164" t="s">
        <v>116</v>
      </c>
      <c r="B164" t="s">
        <v>390</v>
      </c>
      <c r="C164" t="s">
        <v>358</v>
      </c>
      <c r="D164" s="2">
        <v>42972</v>
      </c>
      <c r="E164">
        <v>11.664820000000001</v>
      </c>
      <c r="F164" s="2">
        <v>43168</v>
      </c>
      <c r="G164">
        <v>14.444979999999999</v>
      </c>
      <c r="H164" s="3">
        <v>0.23830000000000001</v>
      </c>
      <c r="I164">
        <v>19267.34</v>
      </c>
      <c r="J164" s="3">
        <v>0.2361</v>
      </c>
      <c r="K164">
        <v>6996</v>
      </c>
      <c r="P164" s="2"/>
      <c r="R164" s="2"/>
      <c r="T164" s="3"/>
      <c r="V164" s="3"/>
      <c r="AB164" s="3"/>
      <c r="AC164" s="3"/>
      <c r="AD164" s="3"/>
    </row>
    <row r="165" spans="1:30" x14ac:dyDescent="0.25">
      <c r="A165" t="s">
        <v>155</v>
      </c>
      <c r="B165" t="s">
        <v>444</v>
      </c>
      <c r="C165" t="s">
        <v>358</v>
      </c>
      <c r="D165" s="2">
        <v>42706</v>
      </c>
      <c r="E165">
        <v>2.271919</v>
      </c>
      <c r="F165" s="2">
        <v>43161</v>
      </c>
      <c r="G165">
        <v>11.65723</v>
      </c>
      <c r="H165" s="3">
        <v>4.1310000000000002</v>
      </c>
      <c r="I165">
        <v>303623.40000000002</v>
      </c>
      <c r="J165" s="3">
        <v>4.1249000000000002</v>
      </c>
      <c r="K165">
        <v>32399</v>
      </c>
      <c r="P165" s="2"/>
      <c r="R165" s="2"/>
      <c r="T165" s="3"/>
      <c r="V165" s="3"/>
      <c r="AB165" s="3"/>
      <c r="AC165" s="3"/>
      <c r="AD165" s="3"/>
    </row>
    <row r="166" spans="1:30" x14ac:dyDescent="0.25">
      <c r="A166" t="s">
        <v>97</v>
      </c>
      <c r="B166" t="s">
        <v>218</v>
      </c>
      <c r="C166" t="s">
        <v>358</v>
      </c>
      <c r="D166" s="2">
        <v>42804</v>
      </c>
      <c r="E166">
        <v>9.0109670000000008</v>
      </c>
      <c r="F166" s="2">
        <v>43154</v>
      </c>
      <c r="G166">
        <v>9.4549489999999992</v>
      </c>
      <c r="H166" s="3">
        <v>4.9299999999999997E-2</v>
      </c>
      <c r="I166">
        <v>3556.87</v>
      </c>
      <c r="J166" s="3">
        <v>4.7199999999999999E-2</v>
      </c>
      <c r="K166">
        <v>8359</v>
      </c>
      <c r="P166" s="2"/>
      <c r="R166" s="2"/>
      <c r="T166" s="3"/>
      <c r="V166" s="3"/>
      <c r="AB166" s="3"/>
      <c r="AC166" s="3"/>
      <c r="AD166" s="3"/>
    </row>
    <row r="167" spans="1:30" x14ac:dyDescent="0.25">
      <c r="A167" t="s">
        <v>259</v>
      </c>
      <c r="B167" t="s">
        <v>453</v>
      </c>
      <c r="C167" t="s">
        <v>358</v>
      </c>
      <c r="D167" s="2">
        <v>43028</v>
      </c>
      <c r="E167">
        <v>10.73649</v>
      </c>
      <c r="F167" s="2">
        <v>43147</v>
      </c>
      <c r="G167">
        <v>13.05039</v>
      </c>
      <c r="H167" s="3">
        <v>0.2155</v>
      </c>
      <c r="I167">
        <v>19438.48</v>
      </c>
      <c r="J167" s="3">
        <v>0.21329999999999999</v>
      </c>
      <c r="K167">
        <v>8488</v>
      </c>
      <c r="P167" s="2"/>
      <c r="R167" s="2"/>
      <c r="T167" s="3"/>
      <c r="V167" s="3"/>
      <c r="AB167" s="3"/>
      <c r="AC167" s="3"/>
      <c r="AD167" s="3"/>
    </row>
    <row r="168" spans="1:30" x14ac:dyDescent="0.25">
      <c r="A168" t="s">
        <v>260</v>
      </c>
      <c r="B168" t="s">
        <v>454</v>
      </c>
      <c r="C168" t="s">
        <v>358</v>
      </c>
      <c r="D168" s="2">
        <v>43028</v>
      </c>
      <c r="E168">
        <v>3.3165</v>
      </c>
      <c r="F168" s="2">
        <v>43147</v>
      </c>
      <c r="G168">
        <v>3.0987</v>
      </c>
      <c r="H168" s="3">
        <v>-6.5699999999999995E-2</v>
      </c>
      <c r="I168">
        <v>-6162.33</v>
      </c>
      <c r="J168" s="3">
        <v>-6.7599999999999993E-2</v>
      </c>
      <c r="K168">
        <v>27484</v>
      </c>
      <c r="P168" s="2"/>
      <c r="R168" s="2"/>
      <c r="T168" s="3"/>
      <c r="V168" s="3"/>
      <c r="AB168" s="3"/>
      <c r="AC168" s="3"/>
      <c r="AD168" s="3"/>
    </row>
    <row r="169" spans="1:30" x14ac:dyDescent="0.25">
      <c r="A169" t="s">
        <v>160</v>
      </c>
      <c r="B169" t="s">
        <v>455</v>
      </c>
      <c r="C169" t="s">
        <v>358</v>
      </c>
      <c r="D169" s="2">
        <v>42979</v>
      </c>
      <c r="E169">
        <v>2.658633</v>
      </c>
      <c r="F169" s="2">
        <v>43147</v>
      </c>
      <c r="G169">
        <v>3.4412569999999998</v>
      </c>
      <c r="H169" s="3">
        <v>0.2944</v>
      </c>
      <c r="I169">
        <v>24435.66</v>
      </c>
      <c r="J169" s="3">
        <v>0.29210000000000003</v>
      </c>
      <c r="K169">
        <v>31468</v>
      </c>
      <c r="P169" s="2"/>
      <c r="R169" s="2"/>
      <c r="T169" s="3"/>
      <c r="V169" s="3"/>
      <c r="AB169" s="3"/>
      <c r="AC169" s="3"/>
      <c r="AD169" s="3"/>
    </row>
    <row r="170" spans="1:30" x14ac:dyDescent="0.25">
      <c r="A170" t="s">
        <v>26</v>
      </c>
      <c r="B170" t="s">
        <v>25</v>
      </c>
      <c r="C170" t="s">
        <v>358</v>
      </c>
      <c r="D170" s="2">
        <v>42440</v>
      </c>
      <c r="E170">
        <v>1.892495</v>
      </c>
      <c r="F170" s="2">
        <v>43147</v>
      </c>
      <c r="G170">
        <v>2.1834370000000001</v>
      </c>
      <c r="H170" s="3">
        <v>0.1537</v>
      </c>
      <c r="I170">
        <v>10371.64</v>
      </c>
      <c r="J170" s="3">
        <v>0.15160000000000001</v>
      </c>
      <c r="K170">
        <v>36155</v>
      </c>
      <c r="P170" s="2"/>
      <c r="R170" s="2"/>
      <c r="T170" s="3"/>
      <c r="V170" s="3"/>
      <c r="AB170" s="3"/>
      <c r="AC170" s="3"/>
      <c r="AD170" s="3"/>
    </row>
    <row r="171" spans="1:30" x14ac:dyDescent="0.25">
      <c r="A171" t="s">
        <v>161</v>
      </c>
      <c r="B171" t="s">
        <v>456</v>
      </c>
      <c r="C171" t="s">
        <v>358</v>
      </c>
      <c r="D171" s="2">
        <v>42979</v>
      </c>
      <c r="E171">
        <v>5.3266960000000001</v>
      </c>
      <c r="F171" s="2">
        <v>43112</v>
      </c>
      <c r="G171">
        <v>4.4598509999999996</v>
      </c>
      <c r="H171" s="3">
        <v>-0.16270000000000001</v>
      </c>
      <c r="I171">
        <v>-13770.13</v>
      </c>
      <c r="J171" s="3">
        <v>-0.1646</v>
      </c>
      <c r="K171">
        <v>15708</v>
      </c>
      <c r="P171" s="2"/>
      <c r="R171" s="2"/>
      <c r="T171" s="3"/>
      <c r="V171" s="3"/>
      <c r="AB171" s="3"/>
      <c r="AC171" s="3"/>
      <c r="AD171" s="3"/>
    </row>
    <row r="172" spans="1:30" x14ac:dyDescent="0.25">
      <c r="A172" t="s">
        <v>128</v>
      </c>
      <c r="B172" t="s">
        <v>405</v>
      </c>
      <c r="C172" t="s">
        <v>358</v>
      </c>
      <c r="D172" s="2">
        <v>42643</v>
      </c>
      <c r="E172">
        <v>7.8874810000000002</v>
      </c>
      <c r="F172" s="2">
        <v>43014</v>
      </c>
      <c r="G172">
        <v>7.4318090000000003</v>
      </c>
      <c r="H172" s="3">
        <v>-5.7799999999999997E-2</v>
      </c>
      <c r="I172">
        <v>-4533.76</v>
      </c>
      <c r="J172" s="3">
        <v>-5.9700000000000003E-2</v>
      </c>
      <c r="K172">
        <v>9626</v>
      </c>
      <c r="P172" s="2"/>
      <c r="R172" s="2"/>
      <c r="T172" s="3"/>
      <c r="V172" s="3"/>
      <c r="AB172" s="3"/>
      <c r="AC172" s="3"/>
      <c r="AD172" s="3"/>
    </row>
    <row r="173" spans="1:30" x14ac:dyDescent="0.25">
      <c r="A173" t="s">
        <v>162</v>
      </c>
      <c r="B173" t="s">
        <v>457</v>
      </c>
      <c r="C173" t="s">
        <v>358</v>
      </c>
      <c r="D173" s="2">
        <v>42706</v>
      </c>
      <c r="E173">
        <v>8.1141939999999995</v>
      </c>
      <c r="F173" s="2">
        <v>42986</v>
      </c>
      <c r="G173">
        <v>9.4241229999999998</v>
      </c>
      <c r="H173" s="3">
        <v>0.16139999999999999</v>
      </c>
      <c r="I173">
        <v>11721.99</v>
      </c>
      <c r="J173" s="3">
        <v>0.1593</v>
      </c>
      <c r="K173">
        <v>9070</v>
      </c>
      <c r="P173" s="2"/>
      <c r="R173" s="2"/>
      <c r="T173" s="3"/>
      <c r="V173" s="3"/>
      <c r="AB173" s="3"/>
      <c r="AC173" s="3"/>
      <c r="AD173" s="3"/>
    </row>
    <row r="174" spans="1:30" x14ac:dyDescent="0.25">
      <c r="A174" t="s">
        <v>261</v>
      </c>
      <c r="B174" t="s">
        <v>458</v>
      </c>
      <c r="C174" t="s">
        <v>358</v>
      </c>
      <c r="D174" s="2">
        <v>42566</v>
      </c>
      <c r="E174">
        <v>3.3918710000000001</v>
      </c>
      <c r="F174" s="2">
        <v>42909</v>
      </c>
      <c r="G174">
        <v>3.2311969999999999</v>
      </c>
      <c r="H174" s="3">
        <v>-4.7399999999999998E-2</v>
      </c>
      <c r="I174">
        <v>-3612.11</v>
      </c>
      <c r="J174" s="3">
        <v>-4.9299999999999997E-2</v>
      </c>
      <c r="K174">
        <v>21591</v>
      </c>
      <c r="P174" s="2"/>
      <c r="R174" s="2"/>
      <c r="T174" s="3"/>
      <c r="V174" s="3"/>
      <c r="AB174" s="3"/>
      <c r="AC174" s="3"/>
      <c r="AD174" s="3"/>
    </row>
    <row r="175" spans="1:30" x14ac:dyDescent="0.25">
      <c r="A175" t="s">
        <v>163</v>
      </c>
      <c r="B175" t="s">
        <v>459</v>
      </c>
      <c r="C175" t="s">
        <v>358</v>
      </c>
      <c r="D175" s="2">
        <v>42482</v>
      </c>
      <c r="E175">
        <v>16.76388</v>
      </c>
      <c r="F175" s="2">
        <v>42881</v>
      </c>
      <c r="G175">
        <v>18.471920000000001</v>
      </c>
      <c r="H175" s="3">
        <v>0.1019</v>
      </c>
      <c r="I175">
        <v>6855.15</v>
      </c>
      <c r="J175" s="3">
        <v>9.98E-2</v>
      </c>
      <c r="K175">
        <v>4098</v>
      </c>
      <c r="P175" s="2"/>
      <c r="R175" s="2"/>
      <c r="T175" s="3"/>
      <c r="V175" s="3"/>
      <c r="AB175" s="3"/>
      <c r="AC175" s="3"/>
      <c r="AD175" s="3"/>
    </row>
    <row r="176" spans="1:30" x14ac:dyDescent="0.25">
      <c r="A176" t="s">
        <v>156</v>
      </c>
      <c r="B176" t="s">
        <v>447</v>
      </c>
      <c r="C176" t="s">
        <v>358</v>
      </c>
      <c r="D176" s="2">
        <v>42706</v>
      </c>
      <c r="E176">
        <v>5.2669170000000003</v>
      </c>
      <c r="F176" s="2">
        <v>42881</v>
      </c>
      <c r="G176">
        <v>4.7531860000000004</v>
      </c>
      <c r="H176" s="3">
        <v>-9.7500000000000003E-2</v>
      </c>
      <c r="I176">
        <v>-7321.52</v>
      </c>
      <c r="J176" s="3">
        <v>-9.9400000000000002E-2</v>
      </c>
      <c r="K176">
        <v>13979</v>
      </c>
      <c r="P176" s="2"/>
      <c r="R176" s="2"/>
      <c r="T176" s="3"/>
      <c r="V176" s="3"/>
      <c r="AB176" s="3"/>
      <c r="AC176" s="3"/>
      <c r="AD176" s="3"/>
    </row>
    <row r="177" spans="1:30" x14ac:dyDescent="0.25">
      <c r="A177" t="s">
        <v>99</v>
      </c>
      <c r="B177" t="s">
        <v>361</v>
      </c>
      <c r="C177" t="s">
        <v>358</v>
      </c>
      <c r="D177" s="2">
        <v>42706</v>
      </c>
      <c r="E177">
        <v>0.72441549999999999</v>
      </c>
      <c r="F177" s="2">
        <v>42881</v>
      </c>
      <c r="G177">
        <v>0.55746379999999995</v>
      </c>
      <c r="H177" s="3">
        <v>-0.23050000000000001</v>
      </c>
      <c r="I177">
        <v>-17102.79</v>
      </c>
      <c r="J177" s="3">
        <v>-0.23219999999999999</v>
      </c>
      <c r="K177">
        <v>101661</v>
      </c>
      <c r="P177" s="2"/>
      <c r="R177" s="2"/>
      <c r="T177" s="3"/>
      <c r="V177" s="3"/>
      <c r="AB177" s="3"/>
      <c r="AC177" s="3"/>
      <c r="AD177" s="3"/>
    </row>
    <row r="178" spans="1:30" x14ac:dyDescent="0.25">
      <c r="A178" t="s">
        <v>240</v>
      </c>
      <c r="B178" t="s">
        <v>389</v>
      </c>
      <c r="C178" t="s">
        <v>358</v>
      </c>
      <c r="D178" s="2">
        <v>42769</v>
      </c>
      <c r="E178">
        <v>4.5711810000000002</v>
      </c>
      <c r="F178" s="2">
        <v>42804</v>
      </c>
      <c r="G178">
        <v>3.027536</v>
      </c>
      <c r="H178" s="3">
        <v>-0.3377</v>
      </c>
      <c r="I178">
        <v>-25818.9</v>
      </c>
      <c r="J178" s="3">
        <v>-0.33939999999999998</v>
      </c>
      <c r="K178">
        <v>16644</v>
      </c>
      <c r="P178" s="2"/>
      <c r="R178" s="2"/>
      <c r="T178" s="3"/>
      <c r="V178" s="3"/>
      <c r="AB178" s="3"/>
      <c r="AC178" s="3"/>
      <c r="AD178" s="3"/>
    </row>
    <row r="179" spans="1:30" x14ac:dyDescent="0.25">
      <c r="A179" t="s">
        <v>108</v>
      </c>
      <c r="B179" t="s">
        <v>381</v>
      </c>
      <c r="C179" t="s">
        <v>358</v>
      </c>
      <c r="D179" s="2">
        <v>42440</v>
      </c>
      <c r="E179">
        <v>9.2908220000000004</v>
      </c>
      <c r="F179" s="2">
        <v>42769</v>
      </c>
      <c r="G179">
        <v>8.1881400000000006</v>
      </c>
      <c r="H179" s="3">
        <v>-0.1187</v>
      </c>
      <c r="I179">
        <v>-8251.09</v>
      </c>
      <c r="J179" s="3">
        <v>-0.1206</v>
      </c>
      <c r="K179">
        <v>7366</v>
      </c>
      <c r="P179" s="2"/>
      <c r="R179" s="2"/>
      <c r="T179" s="3"/>
      <c r="V179" s="3"/>
      <c r="AB179" s="3"/>
      <c r="AC179" s="3"/>
      <c r="AD179" s="3"/>
    </row>
    <row r="180" spans="1:30" x14ac:dyDescent="0.25">
      <c r="A180" t="s">
        <v>120</v>
      </c>
      <c r="B180" t="s">
        <v>394</v>
      </c>
      <c r="C180" t="s">
        <v>358</v>
      </c>
      <c r="D180" s="2">
        <v>42524</v>
      </c>
      <c r="E180">
        <v>0.50909910000000003</v>
      </c>
      <c r="F180" s="2">
        <v>42699</v>
      </c>
      <c r="G180">
        <v>1.4941610000000001</v>
      </c>
      <c r="H180" s="3">
        <v>1.9349000000000001</v>
      </c>
      <c r="I180">
        <v>137541.70000000001</v>
      </c>
      <c r="J180" s="3">
        <v>1.931</v>
      </c>
      <c r="K180">
        <v>139912</v>
      </c>
      <c r="P180" s="2"/>
      <c r="R180" s="2"/>
      <c r="T180" s="3"/>
      <c r="V180" s="3"/>
      <c r="AB180" s="3"/>
      <c r="AC180" s="3"/>
      <c r="AD180" s="3"/>
    </row>
    <row r="181" spans="1:30" x14ac:dyDescent="0.25">
      <c r="A181" t="s">
        <v>164</v>
      </c>
      <c r="B181" t="s">
        <v>460</v>
      </c>
      <c r="C181" t="s">
        <v>358</v>
      </c>
      <c r="D181" s="2">
        <v>42643</v>
      </c>
      <c r="E181">
        <v>6.3770499999999997</v>
      </c>
      <c r="F181" s="2">
        <v>42685</v>
      </c>
      <c r="G181">
        <v>5.3625189999999998</v>
      </c>
      <c r="H181" s="3">
        <v>-0.15909999999999999</v>
      </c>
      <c r="I181">
        <v>-12220.83</v>
      </c>
      <c r="J181" s="3">
        <v>-0.16089999999999999</v>
      </c>
      <c r="K181">
        <v>11908</v>
      </c>
      <c r="P181" s="2"/>
      <c r="R181" s="2"/>
      <c r="T181" s="3"/>
      <c r="V181" s="3"/>
      <c r="AB181" s="3"/>
      <c r="AC181" s="3"/>
      <c r="AD181" s="3"/>
    </row>
    <row r="182" spans="1:30" x14ac:dyDescent="0.25">
      <c r="A182" t="s">
        <v>165</v>
      </c>
      <c r="B182" t="s">
        <v>461</v>
      </c>
      <c r="C182" t="s">
        <v>358</v>
      </c>
      <c r="D182" s="2">
        <v>42643</v>
      </c>
      <c r="E182">
        <v>3.7175769999999999</v>
      </c>
      <c r="F182" s="2">
        <v>42678</v>
      </c>
      <c r="G182">
        <v>3.4137369999999998</v>
      </c>
      <c r="H182" s="3">
        <v>-8.1699999999999995E-2</v>
      </c>
      <c r="I182">
        <v>-6350.66</v>
      </c>
      <c r="J182" s="3">
        <v>-8.3599999999999994E-2</v>
      </c>
      <c r="K182">
        <v>20422</v>
      </c>
      <c r="P182" s="2"/>
      <c r="R182" s="2"/>
      <c r="T182" s="3"/>
      <c r="V182" s="3"/>
      <c r="AB182" s="3"/>
      <c r="AC182" s="3"/>
      <c r="AD182" s="3"/>
    </row>
    <row r="183" spans="1:30" x14ac:dyDescent="0.25">
      <c r="A183" t="s">
        <v>166</v>
      </c>
      <c r="B183" t="s">
        <v>462</v>
      </c>
      <c r="C183" t="s">
        <v>358</v>
      </c>
      <c r="D183" s="2">
        <v>40249</v>
      </c>
      <c r="E183">
        <v>11.348549999999999</v>
      </c>
      <c r="F183" s="2">
        <v>42678</v>
      </c>
      <c r="G183">
        <v>19.553070000000002</v>
      </c>
      <c r="H183" s="3">
        <v>0.72299999999999998</v>
      </c>
      <c r="I183">
        <v>32898.81</v>
      </c>
      <c r="J183" s="3">
        <v>0.72019999999999995</v>
      </c>
      <c r="K183">
        <v>4025</v>
      </c>
      <c r="P183" s="2"/>
      <c r="R183" s="2"/>
      <c r="T183" s="3"/>
      <c r="V183" s="3"/>
      <c r="AB183" s="3"/>
      <c r="AC183" s="3"/>
      <c r="AD183" s="3"/>
    </row>
    <row r="184" spans="1:30" x14ac:dyDescent="0.25">
      <c r="A184" t="s">
        <v>262</v>
      </c>
      <c r="B184" t="s">
        <v>463</v>
      </c>
      <c r="C184" t="s">
        <v>358</v>
      </c>
      <c r="D184" s="2">
        <v>42006</v>
      </c>
      <c r="E184">
        <v>6.0070759999999996</v>
      </c>
      <c r="F184" s="2">
        <v>42643</v>
      </c>
      <c r="G184">
        <v>6.3801379999999996</v>
      </c>
      <c r="H184" s="3">
        <v>6.2100000000000002E-2</v>
      </c>
      <c r="I184">
        <v>3739.85</v>
      </c>
      <c r="J184" s="3">
        <v>0.06</v>
      </c>
      <c r="K184">
        <v>10369</v>
      </c>
      <c r="P184" s="2"/>
      <c r="R184" s="2"/>
      <c r="T184" s="3"/>
      <c r="V184" s="3"/>
      <c r="AB184" s="3"/>
      <c r="AC184" s="3"/>
      <c r="AD184" s="3"/>
    </row>
    <row r="185" spans="1:30" x14ac:dyDescent="0.25">
      <c r="A185" t="s">
        <v>162</v>
      </c>
      <c r="B185" t="s">
        <v>457</v>
      </c>
      <c r="C185" t="s">
        <v>358</v>
      </c>
      <c r="D185" s="2">
        <v>42440</v>
      </c>
      <c r="E185">
        <v>5.1252360000000001</v>
      </c>
      <c r="F185" s="2">
        <v>42636</v>
      </c>
      <c r="G185">
        <v>6.3110400000000002</v>
      </c>
      <c r="H185" s="3">
        <v>0.23139999999999999</v>
      </c>
      <c r="I185">
        <v>15689.55</v>
      </c>
      <c r="J185" s="3">
        <v>0.2291</v>
      </c>
      <c r="K185">
        <v>13360</v>
      </c>
      <c r="P185" s="2"/>
      <c r="R185" s="2"/>
      <c r="T185" s="3"/>
      <c r="V185" s="3"/>
      <c r="AB185" s="3"/>
      <c r="AC185" s="3"/>
      <c r="AD185" s="3"/>
    </row>
    <row r="186" spans="1:30" x14ac:dyDescent="0.25">
      <c r="A186" t="s">
        <v>98</v>
      </c>
      <c r="B186" t="s">
        <v>220</v>
      </c>
      <c r="C186" t="s">
        <v>358</v>
      </c>
      <c r="D186" s="2">
        <v>40928</v>
      </c>
      <c r="E186">
        <v>0.87261219999999995</v>
      </c>
      <c r="F186" s="2">
        <v>42622</v>
      </c>
      <c r="G186">
        <v>2.1009039999999999</v>
      </c>
      <c r="H186" s="3">
        <v>1.4076</v>
      </c>
      <c r="I186">
        <v>57352.25</v>
      </c>
      <c r="J186" s="3">
        <v>1.4041999999999999</v>
      </c>
      <c r="K186">
        <v>46806</v>
      </c>
      <c r="P186" s="2"/>
      <c r="R186" s="2"/>
      <c r="T186" s="3"/>
      <c r="V186" s="3"/>
      <c r="AB186" s="3"/>
      <c r="AC186" s="3"/>
      <c r="AD186" s="3"/>
    </row>
    <row r="187" spans="1:30" x14ac:dyDescent="0.25">
      <c r="A187" t="s">
        <v>167</v>
      </c>
      <c r="B187" t="s">
        <v>464</v>
      </c>
      <c r="C187" t="s">
        <v>358</v>
      </c>
      <c r="D187" s="2">
        <v>42566</v>
      </c>
      <c r="E187">
        <v>1.345143</v>
      </c>
      <c r="F187" s="2">
        <v>42622</v>
      </c>
      <c r="G187">
        <v>1.1055969999999999</v>
      </c>
      <c r="H187" s="3">
        <v>-0.17810000000000001</v>
      </c>
      <c r="I187">
        <v>-13176.72</v>
      </c>
      <c r="J187" s="3">
        <v>-0.1799</v>
      </c>
      <c r="K187">
        <v>54450</v>
      </c>
      <c r="P187" s="2"/>
      <c r="R187" s="2"/>
      <c r="T187" s="3"/>
      <c r="V187" s="3"/>
      <c r="AB187" s="3"/>
      <c r="AC187" s="3"/>
      <c r="AD187" s="3"/>
    </row>
    <row r="188" spans="1:30" x14ac:dyDescent="0.25">
      <c r="A188" t="s">
        <v>263</v>
      </c>
      <c r="B188" t="s">
        <v>465</v>
      </c>
      <c r="C188" t="s">
        <v>358</v>
      </c>
      <c r="D188" s="2">
        <v>42440</v>
      </c>
      <c r="E188">
        <v>0.91331450000000003</v>
      </c>
      <c r="F188" s="2">
        <v>42549</v>
      </c>
      <c r="G188">
        <v>1.05559</v>
      </c>
      <c r="H188" s="3">
        <v>0.15579999999999999</v>
      </c>
      <c r="I188">
        <v>10518.08</v>
      </c>
      <c r="J188" s="3">
        <v>0.15359999999999999</v>
      </c>
      <c r="K188">
        <v>74965</v>
      </c>
      <c r="P188" s="2"/>
      <c r="R188" s="2"/>
      <c r="T188" s="3"/>
      <c r="V188" s="3"/>
      <c r="AB188" s="3"/>
      <c r="AC188" s="3"/>
      <c r="AD188" s="3"/>
    </row>
    <row r="189" spans="1:30" x14ac:dyDescent="0.25">
      <c r="A189" t="s">
        <v>264</v>
      </c>
      <c r="B189" t="s">
        <v>466</v>
      </c>
      <c r="C189" t="s">
        <v>358</v>
      </c>
      <c r="D189" s="2">
        <v>42440</v>
      </c>
      <c r="E189">
        <v>6.8634890000000004</v>
      </c>
      <c r="F189" s="2">
        <v>42545</v>
      </c>
      <c r="G189">
        <v>6.36172</v>
      </c>
      <c r="H189" s="3">
        <v>-7.3099999999999998E-2</v>
      </c>
      <c r="I189">
        <v>-5136.55</v>
      </c>
      <c r="J189" s="3">
        <v>-7.4999999999999997E-2</v>
      </c>
      <c r="K189">
        <v>9974</v>
      </c>
      <c r="P189" s="2"/>
      <c r="R189" s="2"/>
      <c r="T189" s="3"/>
      <c r="V189" s="3"/>
      <c r="AB189" s="3"/>
      <c r="AC189" s="3"/>
      <c r="AD189" s="3"/>
    </row>
    <row r="190" spans="1:30" x14ac:dyDescent="0.25">
      <c r="A190" t="s">
        <v>131</v>
      </c>
      <c r="B190" t="s">
        <v>408</v>
      </c>
      <c r="C190" t="s">
        <v>358</v>
      </c>
      <c r="D190" s="2">
        <v>42482</v>
      </c>
      <c r="E190">
        <v>6.9566239999999997</v>
      </c>
      <c r="F190" s="2">
        <v>42545</v>
      </c>
      <c r="G190">
        <v>5.901662</v>
      </c>
      <c r="H190" s="3">
        <v>-0.15160000000000001</v>
      </c>
      <c r="I190">
        <v>-10546.86</v>
      </c>
      <c r="J190" s="3">
        <v>-0.1535</v>
      </c>
      <c r="K190">
        <v>9877</v>
      </c>
      <c r="P190" s="2"/>
      <c r="R190" s="2"/>
      <c r="T190" s="3"/>
      <c r="V190" s="3"/>
      <c r="AB190" s="3"/>
      <c r="AC190" s="3"/>
      <c r="AD190" s="3"/>
    </row>
    <row r="191" spans="1:30" x14ac:dyDescent="0.25">
      <c r="A191" t="s">
        <v>168</v>
      </c>
      <c r="B191" t="s">
        <v>467</v>
      </c>
      <c r="C191" t="s">
        <v>358</v>
      </c>
      <c r="D191" s="2">
        <v>42440</v>
      </c>
      <c r="E191">
        <v>32.1252</v>
      </c>
      <c r="F191" s="2">
        <v>42524</v>
      </c>
      <c r="G191">
        <v>24.4588</v>
      </c>
      <c r="H191" s="3">
        <v>-0.23860000000000001</v>
      </c>
      <c r="I191">
        <v>-16449.96</v>
      </c>
      <c r="J191" s="3">
        <v>-0.2404</v>
      </c>
      <c r="K191">
        <v>2130</v>
      </c>
      <c r="P191" s="2"/>
      <c r="R191" s="2"/>
      <c r="T191" s="3"/>
      <c r="V191" s="3"/>
      <c r="AB191" s="3"/>
      <c r="AC191" s="3"/>
      <c r="AD191" s="3"/>
    </row>
    <row r="192" spans="1:30" x14ac:dyDescent="0.25">
      <c r="A192" t="s">
        <v>169</v>
      </c>
      <c r="B192" t="s">
        <v>468</v>
      </c>
      <c r="C192" t="s">
        <v>358</v>
      </c>
      <c r="D192" s="2">
        <v>42440</v>
      </c>
      <c r="E192">
        <v>4.1604900000000002</v>
      </c>
      <c r="F192" s="2">
        <v>42475</v>
      </c>
      <c r="G192">
        <v>3.3896850000000001</v>
      </c>
      <c r="H192" s="3">
        <v>-0.18529999999999999</v>
      </c>
      <c r="I192">
        <v>-12811.73</v>
      </c>
      <c r="J192" s="3">
        <v>-0.18709999999999999</v>
      </c>
      <c r="K192">
        <v>16460</v>
      </c>
      <c r="P192" s="2"/>
      <c r="R192" s="2"/>
      <c r="T192" s="3"/>
      <c r="V192" s="3"/>
      <c r="AB192" s="3"/>
      <c r="AC192" s="3"/>
      <c r="AD192" s="3"/>
    </row>
    <row r="193" spans="1:30" x14ac:dyDescent="0.25">
      <c r="A193" t="s">
        <v>99</v>
      </c>
      <c r="B193" t="s">
        <v>361</v>
      </c>
      <c r="C193" t="s">
        <v>358</v>
      </c>
      <c r="D193" s="2">
        <v>42440</v>
      </c>
      <c r="E193">
        <v>0.6064425</v>
      </c>
      <c r="F193" s="2">
        <v>42468</v>
      </c>
      <c r="G193">
        <v>0.51980780000000004</v>
      </c>
      <c r="H193" s="3">
        <v>-0.1429</v>
      </c>
      <c r="I193">
        <v>-9903.1200000000008</v>
      </c>
      <c r="J193" s="3">
        <v>-0.1447</v>
      </c>
      <c r="K193">
        <v>112842</v>
      </c>
      <c r="P193" s="2"/>
      <c r="R193" s="2"/>
      <c r="T193" s="3"/>
      <c r="V193" s="3"/>
      <c r="AB193" s="3"/>
      <c r="AC193" s="3"/>
      <c r="AD193" s="3"/>
    </row>
    <row r="194" spans="1:30" x14ac:dyDescent="0.25">
      <c r="A194" t="s">
        <v>153</v>
      </c>
      <c r="B194" t="s">
        <v>442</v>
      </c>
      <c r="C194" t="s">
        <v>358</v>
      </c>
      <c r="D194" s="2">
        <v>42369</v>
      </c>
      <c r="E194">
        <v>1.8349569999999999</v>
      </c>
      <c r="F194" s="2">
        <v>42426</v>
      </c>
      <c r="G194">
        <v>1.9824520000000001</v>
      </c>
      <c r="H194" s="3">
        <v>8.0399999999999999E-2</v>
      </c>
      <c r="I194">
        <v>5470.09</v>
      </c>
      <c r="J194" s="3">
        <v>7.8299999999999995E-2</v>
      </c>
      <c r="K194">
        <v>38072</v>
      </c>
      <c r="P194" s="2"/>
      <c r="R194" s="2"/>
      <c r="T194" s="3"/>
      <c r="V194" s="3"/>
      <c r="AB194" s="3"/>
      <c r="AC194" s="3"/>
      <c r="AD194" s="3"/>
    </row>
    <row r="195" spans="1:30" x14ac:dyDescent="0.25">
      <c r="A195" t="s">
        <v>170</v>
      </c>
      <c r="B195" t="s">
        <v>469</v>
      </c>
      <c r="C195" t="s">
        <v>358</v>
      </c>
      <c r="D195" s="2">
        <v>40886</v>
      </c>
      <c r="E195">
        <v>3.825688</v>
      </c>
      <c r="F195" s="2">
        <v>42419</v>
      </c>
      <c r="G195">
        <v>8.5842200000000002</v>
      </c>
      <c r="H195" s="3">
        <v>1.2438</v>
      </c>
      <c r="I195">
        <v>50949.62</v>
      </c>
      <c r="J195" s="3">
        <v>1.2405999999999999</v>
      </c>
      <c r="K195">
        <v>10735</v>
      </c>
      <c r="P195" s="2"/>
      <c r="R195" s="2"/>
      <c r="T195" s="3"/>
      <c r="V195" s="3"/>
      <c r="AB195" s="3"/>
      <c r="AC195" s="3"/>
      <c r="AD195" s="3"/>
    </row>
    <row r="196" spans="1:30" x14ac:dyDescent="0.25">
      <c r="A196" t="s">
        <v>261</v>
      </c>
      <c r="B196" t="s">
        <v>458</v>
      </c>
      <c r="C196" t="s">
        <v>358</v>
      </c>
      <c r="D196" s="2">
        <v>42223</v>
      </c>
      <c r="E196">
        <v>2.8304019999999999</v>
      </c>
      <c r="F196" s="2">
        <v>42412</v>
      </c>
      <c r="G196">
        <v>3.3121700000000001</v>
      </c>
      <c r="H196" s="3">
        <v>0.17019999999999999</v>
      </c>
      <c r="I196">
        <v>11456.87</v>
      </c>
      <c r="J196" s="3">
        <v>0.16800000000000001</v>
      </c>
      <c r="K196">
        <v>24088</v>
      </c>
      <c r="P196" s="2"/>
      <c r="R196" s="2"/>
      <c r="T196" s="3"/>
      <c r="V196" s="3"/>
      <c r="AB196" s="3"/>
      <c r="AC196" s="3"/>
      <c r="AD196" s="3"/>
    </row>
    <row r="197" spans="1:30" x14ac:dyDescent="0.25">
      <c r="A197" t="s">
        <v>265</v>
      </c>
      <c r="B197" t="s">
        <v>470</v>
      </c>
      <c r="C197" t="s">
        <v>358</v>
      </c>
      <c r="D197" s="2">
        <v>42034</v>
      </c>
      <c r="E197">
        <v>28.126670000000001</v>
      </c>
      <c r="F197" s="2">
        <v>42391</v>
      </c>
      <c r="G197">
        <v>35.604759999999999</v>
      </c>
      <c r="H197" s="3">
        <v>0.26590000000000003</v>
      </c>
      <c r="I197">
        <v>16749.04</v>
      </c>
      <c r="J197" s="3">
        <v>0.2636</v>
      </c>
      <c r="K197">
        <v>2259</v>
      </c>
      <c r="P197" s="2"/>
      <c r="R197" s="2"/>
      <c r="T197" s="3"/>
      <c r="V197" s="3"/>
      <c r="AB197" s="3"/>
      <c r="AC197" s="3"/>
      <c r="AD197" s="3"/>
    </row>
    <row r="198" spans="1:30" x14ac:dyDescent="0.25">
      <c r="A198" t="s">
        <v>86</v>
      </c>
      <c r="B198" t="s">
        <v>362</v>
      </c>
      <c r="C198" t="s">
        <v>358</v>
      </c>
      <c r="D198" s="2">
        <v>42369</v>
      </c>
      <c r="E198">
        <v>4.2490550000000002</v>
      </c>
      <c r="F198" s="2">
        <v>42391</v>
      </c>
      <c r="G198">
        <v>3.8388550000000001</v>
      </c>
      <c r="H198" s="3">
        <v>-9.6500000000000002E-2</v>
      </c>
      <c r="I198">
        <v>-6876.23</v>
      </c>
      <c r="J198" s="3">
        <v>-9.8400000000000001E-2</v>
      </c>
      <c r="K198">
        <v>16439</v>
      </c>
      <c r="P198" s="2"/>
      <c r="R198" s="2"/>
      <c r="T198" s="3"/>
      <c r="V198" s="3"/>
      <c r="AB198" s="3"/>
      <c r="AC198" s="3"/>
      <c r="AD198" s="3"/>
    </row>
    <row r="199" spans="1:30" x14ac:dyDescent="0.25">
      <c r="A199" t="s">
        <v>171</v>
      </c>
      <c r="B199" t="s">
        <v>471</v>
      </c>
      <c r="C199" t="s">
        <v>358</v>
      </c>
      <c r="D199" s="2">
        <v>42307</v>
      </c>
      <c r="E199">
        <v>12.265459999999999</v>
      </c>
      <c r="F199" s="2">
        <v>42391</v>
      </c>
      <c r="G199">
        <v>13.63336</v>
      </c>
      <c r="H199" s="3">
        <v>0.1115</v>
      </c>
      <c r="I199">
        <v>7248.15</v>
      </c>
      <c r="J199" s="3">
        <v>0.1094</v>
      </c>
      <c r="K199">
        <v>5401</v>
      </c>
      <c r="P199" s="2"/>
      <c r="R199" s="2"/>
      <c r="T199" s="3"/>
      <c r="V199" s="3"/>
      <c r="AB199" s="3"/>
      <c r="AC199" s="3"/>
      <c r="AD199" s="3"/>
    </row>
    <row r="200" spans="1:30" x14ac:dyDescent="0.25">
      <c r="A200" t="s">
        <v>266</v>
      </c>
      <c r="B200" t="s">
        <v>472</v>
      </c>
      <c r="C200" t="s">
        <v>358</v>
      </c>
      <c r="D200" s="2">
        <v>42307</v>
      </c>
      <c r="E200">
        <v>2.3869910000000001</v>
      </c>
      <c r="F200" s="2">
        <v>42391</v>
      </c>
      <c r="G200">
        <v>2.402631</v>
      </c>
      <c r="H200" s="3">
        <v>6.6E-3</v>
      </c>
      <c r="I200">
        <v>301.20999999999998</v>
      </c>
      <c r="J200" s="3">
        <v>4.4999999999999997E-3</v>
      </c>
      <c r="K200">
        <v>27760</v>
      </c>
      <c r="P200" s="2"/>
      <c r="R200" s="2"/>
      <c r="T200" s="3"/>
      <c r="V200" s="3"/>
      <c r="AB200" s="3"/>
      <c r="AC200" s="3"/>
      <c r="AD200" s="3"/>
    </row>
    <row r="201" spans="1:30" x14ac:dyDescent="0.25">
      <c r="A201" t="s">
        <v>267</v>
      </c>
      <c r="B201" t="s">
        <v>473</v>
      </c>
      <c r="C201" t="s">
        <v>358</v>
      </c>
      <c r="D201" s="2">
        <v>42307</v>
      </c>
      <c r="E201">
        <v>7.4229329999999996</v>
      </c>
      <c r="F201" s="2">
        <v>42384</v>
      </c>
      <c r="G201">
        <v>7.6352830000000003</v>
      </c>
      <c r="H201" s="3">
        <v>2.86E-2</v>
      </c>
      <c r="I201">
        <v>1760.43</v>
      </c>
      <c r="J201" s="3">
        <v>2.6599999999999999E-2</v>
      </c>
      <c r="K201">
        <v>8923</v>
      </c>
      <c r="P201" s="2"/>
      <c r="R201" s="2"/>
      <c r="T201" s="3"/>
      <c r="V201" s="3"/>
      <c r="AB201" s="3"/>
      <c r="AC201" s="3"/>
      <c r="AD201" s="3"/>
    </row>
    <row r="202" spans="1:30" x14ac:dyDescent="0.25">
      <c r="A202" t="s">
        <v>100</v>
      </c>
      <c r="B202" t="s">
        <v>373</v>
      </c>
      <c r="C202" t="s">
        <v>358</v>
      </c>
      <c r="D202" s="2">
        <v>40641</v>
      </c>
      <c r="E202">
        <v>1.7960039999999999</v>
      </c>
      <c r="F202" s="2">
        <v>42362</v>
      </c>
      <c r="G202">
        <v>2.925516</v>
      </c>
      <c r="H202" s="3">
        <v>0.62890000000000001</v>
      </c>
      <c r="I202">
        <v>29170.34</v>
      </c>
      <c r="J202" s="3">
        <v>0.62629999999999997</v>
      </c>
      <c r="K202">
        <v>25934</v>
      </c>
      <c r="P202" s="2"/>
      <c r="R202" s="2"/>
      <c r="T202" s="3"/>
      <c r="V202" s="3"/>
      <c r="AB202" s="3"/>
      <c r="AC202" s="3"/>
      <c r="AD202" s="3"/>
    </row>
    <row r="203" spans="1:30" x14ac:dyDescent="0.25">
      <c r="A203" t="s">
        <v>256</v>
      </c>
      <c r="B203" t="s">
        <v>446</v>
      </c>
      <c r="C203" t="s">
        <v>358</v>
      </c>
      <c r="D203" s="2">
        <v>41957</v>
      </c>
      <c r="E203">
        <v>2.2627890000000002</v>
      </c>
      <c r="F203" s="2">
        <v>42349</v>
      </c>
      <c r="G203">
        <v>2.2561239999999998</v>
      </c>
      <c r="H203" s="3">
        <v>-2.8999999999999998E-3</v>
      </c>
      <c r="I203">
        <v>-294.11</v>
      </c>
      <c r="J203" s="3">
        <v>-4.8999999999999998E-3</v>
      </c>
      <c r="K203">
        <v>26298</v>
      </c>
      <c r="P203" s="2"/>
      <c r="R203" s="2"/>
      <c r="T203" s="3"/>
      <c r="V203" s="3"/>
      <c r="AB203" s="3"/>
      <c r="AC203" s="3"/>
      <c r="AD203" s="3"/>
    </row>
    <row r="204" spans="1:30" x14ac:dyDescent="0.25">
      <c r="A204" t="s">
        <v>172</v>
      </c>
      <c r="B204" t="s">
        <v>474</v>
      </c>
      <c r="C204" t="s">
        <v>358</v>
      </c>
      <c r="D204" s="2">
        <v>42223</v>
      </c>
      <c r="E204">
        <v>0.7163988</v>
      </c>
      <c r="F204" s="2">
        <v>42258</v>
      </c>
      <c r="G204">
        <v>0.68396920000000005</v>
      </c>
      <c r="H204" s="3">
        <v>-4.53E-2</v>
      </c>
      <c r="I204">
        <v>-3220.04</v>
      </c>
      <c r="J204" s="3">
        <v>-4.7199999999999999E-2</v>
      </c>
      <c r="K204">
        <v>95183</v>
      </c>
      <c r="P204" s="2"/>
      <c r="R204" s="2"/>
      <c r="T204" s="3"/>
      <c r="V204" s="3"/>
      <c r="AB204" s="3"/>
      <c r="AC204" s="3"/>
      <c r="AD204" s="3"/>
    </row>
    <row r="205" spans="1:30" x14ac:dyDescent="0.25">
      <c r="A205" t="s">
        <v>268</v>
      </c>
      <c r="B205" t="s">
        <v>475</v>
      </c>
      <c r="C205" t="s">
        <v>358</v>
      </c>
      <c r="D205" s="2">
        <v>41733</v>
      </c>
      <c r="E205">
        <v>2.3399649999999999</v>
      </c>
      <c r="F205" s="2">
        <v>42251</v>
      </c>
      <c r="G205">
        <v>2.0016980000000002</v>
      </c>
      <c r="H205" s="3">
        <v>-0.14460000000000001</v>
      </c>
      <c r="I205">
        <v>-8621.4</v>
      </c>
      <c r="J205" s="3">
        <v>-0.1464</v>
      </c>
      <c r="K205">
        <v>25164</v>
      </c>
      <c r="P205" s="2"/>
      <c r="R205" s="2"/>
      <c r="T205" s="3"/>
      <c r="V205" s="3"/>
      <c r="AB205" s="3"/>
      <c r="AC205" s="3"/>
      <c r="AD205" s="3"/>
    </row>
    <row r="206" spans="1:30" x14ac:dyDescent="0.25">
      <c r="A206" t="s">
        <v>269</v>
      </c>
      <c r="B206" t="s">
        <v>476</v>
      </c>
      <c r="C206" t="s">
        <v>358</v>
      </c>
      <c r="D206" s="2">
        <v>41950</v>
      </c>
      <c r="E206">
        <v>2.8846799999999999</v>
      </c>
      <c r="F206" s="2">
        <v>42237</v>
      </c>
      <c r="G206">
        <v>2.2744420000000001</v>
      </c>
      <c r="H206" s="3">
        <v>-0.21149999999999999</v>
      </c>
      <c r="I206">
        <v>-12530.1</v>
      </c>
      <c r="J206" s="3">
        <v>-0.21329999999999999</v>
      </c>
      <c r="K206">
        <v>20361</v>
      </c>
      <c r="P206" s="2"/>
      <c r="R206" s="2"/>
      <c r="T206" s="3"/>
      <c r="V206" s="3"/>
      <c r="AB206" s="3"/>
      <c r="AC206" s="3"/>
      <c r="AD206" s="3"/>
    </row>
    <row r="207" spans="1:30" x14ac:dyDescent="0.25">
      <c r="A207" t="s">
        <v>173</v>
      </c>
      <c r="B207" t="s">
        <v>477</v>
      </c>
      <c r="C207" t="s">
        <v>358</v>
      </c>
      <c r="D207" s="2">
        <v>42223</v>
      </c>
      <c r="E207">
        <v>10.034129999999999</v>
      </c>
      <c r="F207" s="2">
        <v>42237</v>
      </c>
      <c r="G207">
        <v>8.875489</v>
      </c>
      <c r="H207" s="3">
        <v>-0.11550000000000001</v>
      </c>
      <c r="I207">
        <v>-8002.63</v>
      </c>
      <c r="J207" s="3">
        <v>-0.1174</v>
      </c>
      <c r="K207">
        <v>6796</v>
      </c>
      <c r="P207" s="2"/>
      <c r="R207" s="2"/>
      <c r="T207" s="3"/>
      <c r="V207" s="3"/>
      <c r="AB207" s="3"/>
      <c r="AC207" s="3"/>
      <c r="AD207" s="3"/>
    </row>
    <row r="208" spans="1:30" x14ac:dyDescent="0.25">
      <c r="A208" t="s">
        <v>174</v>
      </c>
      <c r="B208" t="s">
        <v>478</v>
      </c>
      <c r="C208" t="s">
        <v>358</v>
      </c>
      <c r="D208" s="2">
        <v>42223</v>
      </c>
      <c r="E208">
        <v>10.143380000000001</v>
      </c>
      <c r="F208" s="2">
        <v>42230</v>
      </c>
      <c r="G208">
        <v>8.6777940000000005</v>
      </c>
      <c r="H208" s="3">
        <v>-0.14449999999999999</v>
      </c>
      <c r="I208">
        <v>-9981.18</v>
      </c>
      <c r="J208" s="3">
        <v>-0.14630000000000001</v>
      </c>
      <c r="K208">
        <v>6724</v>
      </c>
      <c r="P208" s="2"/>
      <c r="R208" s="2"/>
      <c r="T208" s="3"/>
      <c r="V208" s="3"/>
      <c r="AB208" s="3"/>
      <c r="AC208" s="3"/>
      <c r="AD208" s="3"/>
    </row>
    <row r="209" spans="1:30" x14ac:dyDescent="0.25">
      <c r="A209" t="s">
        <v>270</v>
      </c>
      <c r="B209" t="s">
        <v>479</v>
      </c>
      <c r="C209" t="s">
        <v>358</v>
      </c>
      <c r="D209" s="2">
        <v>40886</v>
      </c>
      <c r="E209">
        <v>2.1041449999999999</v>
      </c>
      <c r="F209" s="2">
        <v>42153</v>
      </c>
      <c r="G209">
        <v>4.8236689999999998</v>
      </c>
      <c r="H209" s="3">
        <v>1.2925</v>
      </c>
      <c r="I209">
        <v>52939.03</v>
      </c>
      <c r="J209" s="3">
        <v>1.2891999999999999</v>
      </c>
      <c r="K209">
        <v>19516</v>
      </c>
      <c r="P209" s="2"/>
      <c r="R209" s="2"/>
      <c r="T209" s="3"/>
      <c r="V209" s="3"/>
      <c r="AB209" s="3"/>
      <c r="AC209" s="3"/>
      <c r="AD209" s="3"/>
    </row>
    <row r="210" spans="1:30" x14ac:dyDescent="0.25">
      <c r="A210" t="s">
        <v>271</v>
      </c>
      <c r="B210" t="s">
        <v>480</v>
      </c>
      <c r="C210" t="s">
        <v>358</v>
      </c>
      <c r="D210" s="2">
        <v>40018</v>
      </c>
      <c r="E210">
        <v>2.1366700000000001</v>
      </c>
      <c r="F210" s="2">
        <v>42153</v>
      </c>
      <c r="G210">
        <v>4.07</v>
      </c>
      <c r="H210" s="3">
        <v>0.90480000000000005</v>
      </c>
      <c r="I210">
        <v>35960.120000000003</v>
      </c>
      <c r="J210" s="3">
        <v>0.90190000000000003</v>
      </c>
      <c r="K210">
        <v>18660</v>
      </c>
      <c r="P210" s="2"/>
      <c r="R210" s="2"/>
      <c r="T210" s="3"/>
      <c r="V210" s="3"/>
      <c r="AB210" s="3"/>
      <c r="AC210" s="3"/>
      <c r="AD210" s="3"/>
    </row>
    <row r="211" spans="1:30" x14ac:dyDescent="0.25">
      <c r="A211" t="s">
        <v>175</v>
      </c>
      <c r="B211" t="s">
        <v>481</v>
      </c>
      <c r="C211" t="s">
        <v>358</v>
      </c>
      <c r="D211" s="2">
        <v>42034</v>
      </c>
      <c r="E211">
        <v>1.639076</v>
      </c>
      <c r="F211" s="2">
        <v>42132</v>
      </c>
      <c r="G211">
        <v>1.7252940000000001</v>
      </c>
      <c r="H211" s="3">
        <v>5.2600000000000001E-2</v>
      </c>
      <c r="I211">
        <v>3212.98</v>
      </c>
      <c r="J211" s="3">
        <v>5.0500000000000003E-2</v>
      </c>
      <c r="K211">
        <v>38779</v>
      </c>
      <c r="P211" s="2"/>
      <c r="R211" s="2"/>
      <c r="T211" s="3"/>
      <c r="V211" s="3"/>
      <c r="AB211" s="3"/>
      <c r="AC211" s="3"/>
      <c r="AD211" s="3"/>
    </row>
    <row r="212" spans="1:30" x14ac:dyDescent="0.25">
      <c r="A212" t="s">
        <v>135</v>
      </c>
      <c r="B212" t="s">
        <v>417</v>
      </c>
      <c r="C212" t="s">
        <v>358</v>
      </c>
      <c r="D212" s="2">
        <v>41950</v>
      </c>
      <c r="E212">
        <v>5.370819</v>
      </c>
      <c r="F212" s="2">
        <v>42132</v>
      </c>
      <c r="G212">
        <v>7.5678169999999998</v>
      </c>
      <c r="H212" s="3">
        <v>0.40910000000000002</v>
      </c>
      <c r="I212">
        <v>23887.06</v>
      </c>
      <c r="J212" s="3">
        <v>0.40670000000000001</v>
      </c>
      <c r="K212">
        <v>10937</v>
      </c>
      <c r="P212" s="2"/>
      <c r="R212" s="2"/>
      <c r="T212" s="3"/>
      <c r="V212" s="3"/>
      <c r="AB212" s="3"/>
      <c r="AC212" s="3"/>
      <c r="AD212" s="3"/>
    </row>
    <row r="213" spans="1:30" x14ac:dyDescent="0.25">
      <c r="A213" t="s">
        <v>161</v>
      </c>
      <c r="B213" t="s">
        <v>456</v>
      </c>
      <c r="C213" t="s">
        <v>358</v>
      </c>
      <c r="D213" s="2">
        <v>41789</v>
      </c>
      <c r="E213">
        <v>1.140018</v>
      </c>
      <c r="F213" s="2">
        <v>42027</v>
      </c>
      <c r="G213">
        <v>1.978899</v>
      </c>
      <c r="H213" s="3">
        <v>0.73580000000000001</v>
      </c>
      <c r="I213">
        <v>44077.26</v>
      </c>
      <c r="J213" s="3">
        <v>0.73309999999999997</v>
      </c>
      <c r="K213">
        <v>52739</v>
      </c>
      <c r="P213" s="2"/>
      <c r="R213" s="2"/>
      <c r="T213" s="3"/>
      <c r="V213" s="3"/>
      <c r="AB213" s="3"/>
      <c r="AC213" s="3"/>
      <c r="AD213" s="3"/>
    </row>
    <row r="214" spans="1:30" x14ac:dyDescent="0.25">
      <c r="A214" t="s">
        <v>247</v>
      </c>
      <c r="B214" t="s">
        <v>418</v>
      </c>
      <c r="C214" t="s">
        <v>358</v>
      </c>
      <c r="D214" s="2">
        <v>41796</v>
      </c>
      <c r="E214">
        <v>3.3550870000000002</v>
      </c>
      <c r="F214" s="2">
        <v>41978</v>
      </c>
      <c r="G214">
        <v>2.6084710000000002</v>
      </c>
      <c r="H214" s="3">
        <v>-0.2225</v>
      </c>
      <c r="I214">
        <v>-13477.19</v>
      </c>
      <c r="J214" s="3">
        <v>-0.2243</v>
      </c>
      <c r="K214">
        <v>17908</v>
      </c>
      <c r="P214" s="2"/>
      <c r="R214" s="2"/>
      <c r="T214" s="3"/>
      <c r="V214" s="3"/>
      <c r="AB214" s="3"/>
      <c r="AC214" s="3"/>
      <c r="AD214" s="3"/>
    </row>
    <row r="215" spans="1:30" x14ac:dyDescent="0.25">
      <c r="A215" t="s">
        <v>123</v>
      </c>
      <c r="B215" t="s">
        <v>397</v>
      </c>
      <c r="C215" t="s">
        <v>358</v>
      </c>
      <c r="D215" s="2">
        <v>41957</v>
      </c>
      <c r="E215">
        <v>2.9441299999999999</v>
      </c>
      <c r="F215" s="2">
        <v>41978</v>
      </c>
      <c r="G215">
        <v>2.44821</v>
      </c>
      <c r="H215" s="3">
        <v>-0.16839999999999999</v>
      </c>
      <c r="I215">
        <v>-10131.02</v>
      </c>
      <c r="J215" s="3">
        <v>-0.17030000000000001</v>
      </c>
      <c r="K215">
        <v>20209</v>
      </c>
      <c r="P215" s="2"/>
      <c r="R215" s="2"/>
      <c r="T215" s="3"/>
      <c r="V215" s="3"/>
      <c r="AB215" s="3"/>
      <c r="AC215" s="3"/>
      <c r="AD215" s="3"/>
    </row>
    <row r="216" spans="1:30" x14ac:dyDescent="0.25">
      <c r="A216" t="s">
        <v>272</v>
      </c>
      <c r="B216" t="s">
        <v>482</v>
      </c>
      <c r="C216" t="s">
        <v>358</v>
      </c>
      <c r="D216" s="2">
        <v>41824</v>
      </c>
      <c r="E216">
        <v>10.8828</v>
      </c>
      <c r="F216" s="2">
        <v>41936</v>
      </c>
      <c r="G216">
        <v>9.8398660000000007</v>
      </c>
      <c r="H216" s="3">
        <v>-9.5799999999999996E-2</v>
      </c>
      <c r="I216">
        <v>-5718.2</v>
      </c>
      <c r="J216" s="3">
        <v>-9.7699999999999995E-2</v>
      </c>
      <c r="K216">
        <v>5376</v>
      </c>
      <c r="P216" s="2"/>
      <c r="R216" s="2"/>
      <c r="T216" s="3"/>
      <c r="V216" s="3"/>
      <c r="AB216" s="3"/>
      <c r="AC216" s="3"/>
      <c r="AD216" s="3"/>
    </row>
    <row r="217" spans="1:30" x14ac:dyDescent="0.25">
      <c r="A217" t="s">
        <v>120</v>
      </c>
      <c r="B217" t="s">
        <v>394</v>
      </c>
      <c r="C217" t="s">
        <v>358</v>
      </c>
      <c r="D217" s="2">
        <v>41873</v>
      </c>
      <c r="E217">
        <v>1.084471</v>
      </c>
      <c r="F217" s="2">
        <v>41929</v>
      </c>
      <c r="G217">
        <v>0.86155230000000005</v>
      </c>
      <c r="H217" s="3">
        <v>-0.2056</v>
      </c>
      <c r="I217">
        <v>-12275.37</v>
      </c>
      <c r="J217" s="3">
        <v>-0.20730000000000001</v>
      </c>
      <c r="K217">
        <v>54590</v>
      </c>
      <c r="P217" s="2"/>
      <c r="R217" s="2"/>
      <c r="T217" s="3"/>
      <c r="V217" s="3"/>
      <c r="AB217" s="3"/>
      <c r="AC217" s="3"/>
      <c r="AD217" s="3"/>
    </row>
    <row r="218" spans="1:30" x14ac:dyDescent="0.25">
      <c r="A218" t="s">
        <v>273</v>
      </c>
      <c r="B218" t="s">
        <v>483</v>
      </c>
      <c r="C218" t="s">
        <v>358</v>
      </c>
      <c r="D218" s="2">
        <v>41831</v>
      </c>
      <c r="E218">
        <v>4.703424</v>
      </c>
      <c r="F218" s="2">
        <v>41915</v>
      </c>
      <c r="G218">
        <v>3.930758</v>
      </c>
      <c r="H218" s="3">
        <v>-0.1643</v>
      </c>
      <c r="I218">
        <v>-9770.94</v>
      </c>
      <c r="J218" s="3">
        <v>-0.1661</v>
      </c>
      <c r="K218">
        <v>12506</v>
      </c>
      <c r="P218" s="2"/>
      <c r="R218" s="2"/>
      <c r="T218" s="3"/>
      <c r="V218" s="3"/>
      <c r="AB218" s="3"/>
      <c r="AC218" s="3"/>
      <c r="AD218" s="3"/>
    </row>
    <row r="219" spans="1:30" x14ac:dyDescent="0.25">
      <c r="A219" t="s">
        <v>176</v>
      </c>
      <c r="B219" t="s">
        <v>484</v>
      </c>
      <c r="C219" t="s">
        <v>358</v>
      </c>
      <c r="D219" s="2">
        <v>40403</v>
      </c>
      <c r="E219">
        <v>0.39760719999999999</v>
      </c>
      <c r="F219" s="2">
        <v>41908</v>
      </c>
      <c r="G219">
        <v>0.62709809999999999</v>
      </c>
      <c r="H219" s="3">
        <v>0.57720000000000005</v>
      </c>
      <c r="I219">
        <v>24257.17</v>
      </c>
      <c r="J219" s="3">
        <v>0.5746</v>
      </c>
      <c r="K219">
        <v>106174</v>
      </c>
      <c r="P219" s="2"/>
      <c r="R219" s="2"/>
      <c r="T219" s="3"/>
      <c r="V219" s="3"/>
      <c r="AB219" s="3"/>
      <c r="AC219" s="3"/>
      <c r="AD219" s="3"/>
    </row>
    <row r="220" spans="1:30" x14ac:dyDescent="0.25">
      <c r="A220" t="s">
        <v>274</v>
      </c>
      <c r="B220" t="s">
        <v>485</v>
      </c>
      <c r="C220" t="s">
        <v>358</v>
      </c>
      <c r="D220" s="2">
        <v>41712</v>
      </c>
      <c r="E220">
        <v>1.645</v>
      </c>
      <c r="F220" s="2">
        <v>41866</v>
      </c>
      <c r="G220">
        <v>1.49</v>
      </c>
      <c r="H220" s="3">
        <v>-9.4200000000000006E-2</v>
      </c>
      <c r="I220">
        <v>-5814.15</v>
      </c>
      <c r="J220" s="3">
        <v>-9.6100000000000005E-2</v>
      </c>
      <c r="K220">
        <v>36767</v>
      </c>
      <c r="P220" s="2"/>
      <c r="R220" s="2"/>
      <c r="T220" s="3"/>
      <c r="V220" s="3"/>
      <c r="AB220" s="3"/>
      <c r="AC220" s="3"/>
      <c r="AD220" s="3"/>
    </row>
    <row r="221" spans="1:30" x14ac:dyDescent="0.25">
      <c r="A221" t="s">
        <v>171</v>
      </c>
      <c r="B221" t="s">
        <v>471</v>
      </c>
      <c r="C221" t="s">
        <v>358</v>
      </c>
      <c r="D221" s="2">
        <v>41474</v>
      </c>
      <c r="E221">
        <v>6.5543100000000001</v>
      </c>
      <c r="F221" s="2">
        <v>41810</v>
      </c>
      <c r="G221">
        <v>6.0920509999999997</v>
      </c>
      <c r="H221" s="3">
        <v>-7.0499999999999993E-2</v>
      </c>
      <c r="I221">
        <v>-4045.72</v>
      </c>
      <c r="J221" s="3">
        <v>-7.2499999999999995E-2</v>
      </c>
      <c r="K221">
        <v>8519</v>
      </c>
      <c r="P221" s="2"/>
      <c r="R221" s="2"/>
      <c r="T221" s="3"/>
      <c r="V221" s="3"/>
      <c r="AB221" s="3"/>
      <c r="AC221" s="3"/>
      <c r="AD221" s="3"/>
    </row>
    <row r="222" spans="1:30" x14ac:dyDescent="0.25">
      <c r="A222" t="s">
        <v>275</v>
      </c>
      <c r="B222" t="s">
        <v>486</v>
      </c>
      <c r="C222" t="s">
        <v>358</v>
      </c>
      <c r="D222" s="2">
        <v>41691</v>
      </c>
      <c r="E222">
        <v>2.79</v>
      </c>
      <c r="F222" s="2">
        <v>41810</v>
      </c>
      <c r="G222">
        <v>3.02</v>
      </c>
      <c r="H222" s="3">
        <v>8.2400000000000001E-2</v>
      </c>
      <c r="I222">
        <v>4781.08</v>
      </c>
      <c r="J222" s="3">
        <v>8.0399999999999999E-2</v>
      </c>
      <c r="K222">
        <v>21326</v>
      </c>
      <c r="P222" s="2"/>
      <c r="R222" s="2"/>
      <c r="T222" s="3"/>
      <c r="V222" s="3"/>
      <c r="AB222" s="3"/>
      <c r="AC222" s="3"/>
      <c r="AD222" s="3"/>
    </row>
    <row r="223" spans="1:30" x14ac:dyDescent="0.25">
      <c r="A223" t="s">
        <v>276</v>
      </c>
      <c r="B223" t="s">
        <v>487</v>
      </c>
      <c r="C223" t="s">
        <v>358</v>
      </c>
      <c r="D223" s="2">
        <v>40886</v>
      </c>
      <c r="E223">
        <v>1.910223</v>
      </c>
      <c r="F223" s="2">
        <v>41796</v>
      </c>
      <c r="G223">
        <v>2.3123320000000001</v>
      </c>
      <c r="H223" s="3">
        <v>0.21049999999999999</v>
      </c>
      <c r="I223">
        <v>8555.35</v>
      </c>
      <c r="J223" s="3">
        <v>0.20830000000000001</v>
      </c>
      <c r="K223">
        <v>21502</v>
      </c>
      <c r="P223" s="2"/>
      <c r="R223" s="2"/>
      <c r="T223" s="3"/>
      <c r="V223" s="3"/>
      <c r="AB223" s="3"/>
      <c r="AC223" s="3"/>
      <c r="AD223" s="3"/>
    </row>
    <row r="224" spans="1:30" x14ac:dyDescent="0.25">
      <c r="A224" t="s">
        <v>269</v>
      </c>
      <c r="B224" t="s">
        <v>476</v>
      </c>
      <c r="C224" t="s">
        <v>358</v>
      </c>
      <c r="D224" s="2">
        <v>41397</v>
      </c>
      <c r="E224">
        <v>3.1987950000000001</v>
      </c>
      <c r="F224" s="2">
        <v>41789</v>
      </c>
      <c r="G224">
        <v>2.6661229999999998</v>
      </c>
      <c r="H224" s="3">
        <v>-0.16650000000000001</v>
      </c>
      <c r="I224">
        <v>-9451.86</v>
      </c>
      <c r="J224" s="3">
        <v>-0.16839999999999999</v>
      </c>
      <c r="K224">
        <v>17551</v>
      </c>
      <c r="P224" s="2"/>
      <c r="R224" s="2"/>
      <c r="T224" s="3"/>
      <c r="V224" s="3"/>
      <c r="AB224" s="3"/>
      <c r="AC224" s="3"/>
      <c r="AD224" s="3"/>
    </row>
    <row r="225" spans="1:30" x14ac:dyDescent="0.25">
      <c r="A225" t="s">
        <v>277</v>
      </c>
      <c r="B225" t="s">
        <v>488</v>
      </c>
      <c r="C225" t="s">
        <v>358</v>
      </c>
      <c r="D225" s="2">
        <v>40886</v>
      </c>
      <c r="E225">
        <v>16.188780000000001</v>
      </c>
      <c r="F225" s="2">
        <v>41733</v>
      </c>
      <c r="G225">
        <v>33.35</v>
      </c>
      <c r="H225" s="3">
        <v>1.0601</v>
      </c>
      <c r="I225">
        <v>43412.34</v>
      </c>
      <c r="J225" s="3">
        <v>1.0569999999999999</v>
      </c>
      <c r="K225">
        <v>2537</v>
      </c>
      <c r="P225" s="2"/>
      <c r="R225" s="2"/>
      <c r="T225" s="3"/>
      <c r="V225" s="3"/>
      <c r="AB225" s="3"/>
      <c r="AC225" s="3"/>
      <c r="AD225" s="3"/>
    </row>
    <row r="226" spans="1:30" x14ac:dyDescent="0.25">
      <c r="A226" t="s">
        <v>278</v>
      </c>
      <c r="B226" t="s">
        <v>489</v>
      </c>
      <c r="C226" t="s">
        <v>358</v>
      </c>
      <c r="D226" s="2">
        <v>40928</v>
      </c>
      <c r="E226">
        <v>0.88048009999999999</v>
      </c>
      <c r="F226" s="2">
        <v>41708</v>
      </c>
      <c r="G226">
        <v>1.2549999999999999</v>
      </c>
      <c r="H226" s="3">
        <v>0.4254</v>
      </c>
      <c r="I226">
        <v>17271.93</v>
      </c>
      <c r="J226" s="3">
        <v>0.4229</v>
      </c>
      <c r="K226">
        <v>46382</v>
      </c>
      <c r="P226" s="2"/>
      <c r="R226" s="2"/>
      <c r="T226" s="3"/>
      <c r="V226" s="3"/>
      <c r="AB226" s="3"/>
      <c r="AC226" s="3"/>
      <c r="AD226" s="3"/>
    </row>
    <row r="227" spans="1:30" x14ac:dyDescent="0.25">
      <c r="A227" t="s">
        <v>279</v>
      </c>
      <c r="B227" t="s">
        <v>490</v>
      </c>
      <c r="C227" t="s">
        <v>358</v>
      </c>
      <c r="D227" s="2">
        <v>41250</v>
      </c>
      <c r="E227">
        <v>0.62625580000000003</v>
      </c>
      <c r="F227" s="2">
        <v>41691</v>
      </c>
      <c r="G227">
        <v>0.59539679999999995</v>
      </c>
      <c r="H227" s="3">
        <v>-4.9299999999999997E-2</v>
      </c>
      <c r="I227">
        <v>-2496.5500000000002</v>
      </c>
      <c r="J227" s="3">
        <v>-5.1200000000000002E-2</v>
      </c>
      <c r="K227">
        <v>77821</v>
      </c>
      <c r="P227" s="2"/>
      <c r="R227" s="2"/>
      <c r="T227" s="3"/>
      <c r="V227" s="3"/>
      <c r="AB227" s="3"/>
      <c r="AC227" s="3"/>
      <c r="AD227" s="3"/>
    </row>
    <row r="228" spans="1:30" x14ac:dyDescent="0.25">
      <c r="A228" t="s">
        <v>177</v>
      </c>
      <c r="B228" t="s">
        <v>491</v>
      </c>
      <c r="C228" t="s">
        <v>358</v>
      </c>
      <c r="D228" s="2">
        <v>41471</v>
      </c>
      <c r="E228">
        <v>9.1824619999999992</v>
      </c>
      <c r="F228" s="2">
        <v>41488</v>
      </c>
      <c r="G228">
        <v>5.0528899999999997</v>
      </c>
      <c r="H228" s="3">
        <v>-0.44969999999999999</v>
      </c>
      <c r="I228">
        <v>-25289.64</v>
      </c>
      <c r="J228" s="3">
        <v>-0.45129999999999998</v>
      </c>
      <c r="K228">
        <v>6103</v>
      </c>
      <c r="P228" s="2"/>
      <c r="R228" s="2"/>
      <c r="T228" s="3"/>
      <c r="V228" s="3"/>
      <c r="AB228" s="3"/>
      <c r="AC228" s="3"/>
      <c r="AD228" s="3"/>
    </row>
    <row r="229" spans="1:30" x14ac:dyDescent="0.25">
      <c r="A229" t="s">
        <v>280</v>
      </c>
      <c r="B229" t="s">
        <v>492</v>
      </c>
      <c r="C229" t="s">
        <v>358</v>
      </c>
      <c r="D229" s="2">
        <v>40886</v>
      </c>
      <c r="E229">
        <v>1.4656089999999999</v>
      </c>
      <c r="F229" s="2">
        <v>41432</v>
      </c>
      <c r="G229">
        <v>1.756683</v>
      </c>
      <c r="H229" s="3">
        <v>0.1986</v>
      </c>
      <c r="I229">
        <v>8064.17</v>
      </c>
      <c r="J229" s="3">
        <v>0.19639999999999999</v>
      </c>
      <c r="K229">
        <v>28015</v>
      </c>
      <c r="P229" s="2"/>
      <c r="R229" s="2"/>
      <c r="T229" s="3"/>
      <c r="V229" s="3"/>
      <c r="AB229" s="3"/>
      <c r="AC229" s="3"/>
      <c r="AD229" s="3"/>
    </row>
    <row r="230" spans="1:30" x14ac:dyDescent="0.25">
      <c r="A230" t="s">
        <v>178</v>
      </c>
      <c r="B230" t="s">
        <v>493</v>
      </c>
      <c r="C230" t="s">
        <v>358</v>
      </c>
      <c r="D230" s="2">
        <v>40851</v>
      </c>
      <c r="E230">
        <v>10.10148</v>
      </c>
      <c r="F230" s="2">
        <v>41432</v>
      </c>
      <c r="G230">
        <v>14.719110000000001</v>
      </c>
      <c r="H230" s="3">
        <v>0.45710000000000001</v>
      </c>
      <c r="I230">
        <v>18807.55</v>
      </c>
      <c r="J230" s="3">
        <v>0.45469999999999999</v>
      </c>
      <c r="K230">
        <v>4095</v>
      </c>
      <c r="P230" s="2"/>
      <c r="R230" s="2"/>
      <c r="T230" s="3"/>
      <c r="V230" s="3"/>
      <c r="AB230" s="3"/>
      <c r="AC230" s="3"/>
      <c r="AD230" s="3"/>
    </row>
    <row r="231" spans="1:30" x14ac:dyDescent="0.25">
      <c r="A231" t="s">
        <v>179</v>
      </c>
      <c r="B231" t="s">
        <v>494</v>
      </c>
      <c r="C231" t="s">
        <v>358</v>
      </c>
      <c r="D231" s="2">
        <v>41383</v>
      </c>
      <c r="E231">
        <v>0.38914549999999998</v>
      </c>
      <c r="F231" s="2">
        <v>41390</v>
      </c>
      <c r="G231">
        <v>0.32819500000000001</v>
      </c>
      <c r="H231" s="3">
        <v>-0.15659999999999999</v>
      </c>
      <c r="I231">
        <v>-8766.7000000000007</v>
      </c>
      <c r="J231" s="3">
        <v>-0.1585</v>
      </c>
      <c r="K231">
        <v>142160</v>
      </c>
      <c r="P231" s="2"/>
      <c r="R231" s="2"/>
      <c r="T231" s="3"/>
      <c r="V231" s="3"/>
      <c r="AB231" s="3"/>
      <c r="AC231" s="3"/>
      <c r="AD231" s="3"/>
    </row>
    <row r="232" spans="1:30" x14ac:dyDescent="0.25">
      <c r="A232" t="s">
        <v>111</v>
      </c>
      <c r="B232" t="s">
        <v>384</v>
      </c>
      <c r="C232" t="s">
        <v>358</v>
      </c>
      <c r="D232" s="2">
        <v>41250</v>
      </c>
      <c r="E232">
        <v>3.5791379999999999</v>
      </c>
      <c r="F232" s="2">
        <v>41376</v>
      </c>
      <c r="G232">
        <v>2.8079130000000001</v>
      </c>
      <c r="H232" s="3">
        <v>-0.2155</v>
      </c>
      <c r="I232">
        <v>-10589.52</v>
      </c>
      <c r="J232" s="3">
        <v>-0.21729999999999999</v>
      </c>
      <c r="K232">
        <v>13618</v>
      </c>
      <c r="P232" s="2"/>
      <c r="R232" s="2"/>
      <c r="T232" s="3"/>
      <c r="V232" s="3"/>
      <c r="AB232" s="3"/>
      <c r="AC232" s="3"/>
      <c r="AD232" s="3"/>
    </row>
    <row r="233" spans="1:30" x14ac:dyDescent="0.25">
      <c r="A233" t="s">
        <v>281</v>
      </c>
      <c r="B233" t="s">
        <v>495</v>
      </c>
      <c r="C233" t="s">
        <v>358</v>
      </c>
      <c r="D233" s="2">
        <v>41117</v>
      </c>
      <c r="E233">
        <v>3.3409910000000001E-2</v>
      </c>
      <c r="F233" s="2">
        <v>41243</v>
      </c>
      <c r="G233">
        <v>2.652024E-2</v>
      </c>
      <c r="H233" s="3">
        <v>-0.20619999999999999</v>
      </c>
      <c r="I233">
        <v>-9477.86</v>
      </c>
      <c r="J233" s="3">
        <v>-0.20799999999999999</v>
      </c>
      <c r="K233">
        <v>1363800</v>
      </c>
      <c r="P233" s="2"/>
      <c r="R233" s="2"/>
      <c r="T233" s="3"/>
      <c r="V233" s="3"/>
      <c r="AB233" s="3"/>
      <c r="AC233" s="3"/>
      <c r="AD233" s="3"/>
    </row>
    <row r="234" spans="1:30" x14ac:dyDescent="0.25">
      <c r="A234" t="s">
        <v>282</v>
      </c>
      <c r="B234" t="s">
        <v>496</v>
      </c>
      <c r="C234" t="s">
        <v>358</v>
      </c>
      <c r="D234" s="2">
        <v>40178</v>
      </c>
      <c r="E234">
        <v>0.95360290000000003</v>
      </c>
      <c r="F234" s="2">
        <v>41236</v>
      </c>
      <c r="G234">
        <v>2.79</v>
      </c>
      <c r="H234" s="3">
        <v>1.9257</v>
      </c>
      <c r="I234">
        <v>89578.27</v>
      </c>
      <c r="J234" s="3">
        <v>1.9218</v>
      </c>
      <c r="K234">
        <v>48879</v>
      </c>
      <c r="P234" s="2"/>
      <c r="R234" s="2"/>
      <c r="T234" s="3"/>
      <c r="V234" s="3"/>
      <c r="AB234" s="3"/>
      <c r="AC234" s="3"/>
      <c r="AD234" s="3"/>
    </row>
    <row r="235" spans="1:30" x14ac:dyDescent="0.25">
      <c r="A235" t="s">
        <v>153</v>
      </c>
      <c r="B235" t="s">
        <v>442</v>
      </c>
      <c r="C235" t="s">
        <v>358</v>
      </c>
      <c r="D235" s="2">
        <v>40858</v>
      </c>
      <c r="E235">
        <v>2.235217</v>
      </c>
      <c r="F235" s="2">
        <v>41047</v>
      </c>
      <c r="G235">
        <v>2.7582</v>
      </c>
      <c r="H235" s="3">
        <v>0.23400000000000001</v>
      </c>
      <c r="I235">
        <v>9466.7800000000007</v>
      </c>
      <c r="J235" s="3">
        <v>0.23169999999999999</v>
      </c>
      <c r="K235">
        <v>18276</v>
      </c>
      <c r="P235" s="2"/>
      <c r="R235" s="2"/>
      <c r="T235" s="3"/>
      <c r="V235" s="3"/>
      <c r="AB235" s="3"/>
      <c r="AC235" s="3"/>
      <c r="AD235" s="3"/>
    </row>
    <row r="236" spans="1:30" x14ac:dyDescent="0.25">
      <c r="A236" t="s">
        <v>180</v>
      </c>
      <c r="B236" t="s">
        <v>497</v>
      </c>
      <c r="C236" t="s">
        <v>358</v>
      </c>
      <c r="D236" s="2">
        <v>40851</v>
      </c>
      <c r="E236">
        <v>4.3541639999999999</v>
      </c>
      <c r="F236" s="2">
        <v>40907</v>
      </c>
      <c r="G236">
        <v>3.758569</v>
      </c>
      <c r="H236" s="3">
        <v>-0.1368</v>
      </c>
      <c r="I236">
        <v>-5738.24</v>
      </c>
      <c r="J236" s="3">
        <v>-0.13869999999999999</v>
      </c>
      <c r="K236">
        <v>9505</v>
      </c>
      <c r="P236" s="2"/>
      <c r="R236" s="2"/>
      <c r="T236" s="3"/>
      <c r="V236" s="3"/>
      <c r="AB236" s="3"/>
      <c r="AC236" s="3"/>
      <c r="AD236" s="3"/>
    </row>
    <row r="237" spans="1:30" x14ac:dyDescent="0.25">
      <c r="A237" t="s">
        <v>163</v>
      </c>
      <c r="B237" t="s">
        <v>459</v>
      </c>
      <c r="C237" t="s">
        <v>358</v>
      </c>
      <c r="D237" s="2">
        <v>40851</v>
      </c>
      <c r="E237">
        <v>4.572368</v>
      </c>
      <c r="F237" s="2">
        <v>40900</v>
      </c>
      <c r="G237">
        <v>4.664377</v>
      </c>
      <c r="H237" s="3">
        <v>2.01E-2</v>
      </c>
      <c r="I237">
        <v>749.01</v>
      </c>
      <c r="J237" s="3">
        <v>1.8100000000000002E-2</v>
      </c>
      <c r="K237">
        <v>9049</v>
      </c>
      <c r="P237" s="2"/>
      <c r="R237" s="2"/>
      <c r="T237" s="3"/>
      <c r="V237" s="3"/>
      <c r="AB237" s="3"/>
      <c r="AC237" s="3"/>
      <c r="AD237" s="3"/>
    </row>
    <row r="238" spans="1:30" x14ac:dyDescent="0.25">
      <c r="A238" t="s">
        <v>181</v>
      </c>
      <c r="B238" t="s">
        <v>498</v>
      </c>
      <c r="C238" t="s">
        <v>358</v>
      </c>
      <c r="D238" s="2">
        <v>40865</v>
      </c>
      <c r="E238">
        <v>1.6482600000000001</v>
      </c>
      <c r="F238" s="2">
        <v>40879</v>
      </c>
      <c r="G238">
        <v>1.564592</v>
      </c>
      <c r="H238" s="3">
        <v>-5.0799999999999998E-2</v>
      </c>
      <c r="I238">
        <v>-2207.73</v>
      </c>
      <c r="J238" s="3">
        <v>-5.2699999999999997E-2</v>
      </c>
      <c r="K238">
        <v>25411</v>
      </c>
      <c r="P238" s="2"/>
      <c r="R238" s="2"/>
      <c r="T238" s="3"/>
      <c r="V238" s="3"/>
      <c r="AB238" s="3"/>
      <c r="AC238" s="3"/>
      <c r="AD238" s="3"/>
    </row>
    <row r="239" spans="1:30" x14ac:dyDescent="0.25">
      <c r="A239" t="s">
        <v>182</v>
      </c>
      <c r="B239" t="s">
        <v>499</v>
      </c>
      <c r="C239" t="s">
        <v>358</v>
      </c>
      <c r="D239" s="2">
        <v>40858</v>
      </c>
      <c r="E239">
        <v>8.7351690000000008</v>
      </c>
      <c r="F239" s="2">
        <v>40879</v>
      </c>
      <c r="G239">
        <v>7.793939</v>
      </c>
      <c r="H239" s="3">
        <v>-0.10780000000000001</v>
      </c>
      <c r="I239">
        <v>-4479.4399999999996</v>
      </c>
      <c r="J239" s="3">
        <v>-0.1096</v>
      </c>
      <c r="K239">
        <v>4677</v>
      </c>
      <c r="P239" s="2"/>
      <c r="R239" s="2"/>
      <c r="T239" s="3"/>
      <c r="V239" s="3"/>
      <c r="AB239" s="3"/>
      <c r="AC239" s="3"/>
      <c r="AD239" s="3"/>
    </row>
    <row r="240" spans="1:30" x14ac:dyDescent="0.25">
      <c r="A240" t="s">
        <v>283</v>
      </c>
      <c r="B240" t="s">
        <v>500</v>
      </c>
      <c r="C240" t="s">
        <v>358</v>
      </c>
      <c r="D240" s="2">
        <v>40858</v>
      </c>
      <c r="E240">
        <v>0.37376920000000002</v>
      </c>
      <c r="F240" s="2">
        <v>40879</v>
      </c>
      <c r="G240">
        <v>0.33442509999999998</v>
      </c>
      <c r="H240" s="3">
        <v>-0.1053</v>
      </c>
      <c r="I240">
        <v>-4378.68</v>
      </c>
      <c r="J240" s="3">
        <v>-0.1072</v>
      </c>
      <c r="K240">
        <v>109324</v>
      </c>
      <c r="P240" s="2"/>
      <c r="R240" s="2"/>
      <c r="T240" s="3"/>
      <c r="V240" s="3"/>
      <c r="AB240" s="3"/>
      <c r="AC240" s="3"/>
      <c r="AD240" s="3"/>
    </row>
    <row r="241" spans="1:30" x14ac:dyDescent="0.25">
      <c r="A241" t="s">
        <v>159</v>
      </c>
      <c r="B241" t="s">
        <v>452</v>
      </c>
      <c r="C241" t="s">
        <v>358</v>
      </c>
      <c r="D241" s="2">
        <v>40851</v>
      </c>
      <c r="E241">
        <v>10.90368</v>
      </c>
      <c r="F241" s="2">
        <v>40879</v>
      </c>
      <c r="G241">
        <v>9.8171999999999997</v>
      </c>
      <c r="H241" s="3">
        <v>-9.9599999999999994E-2</v>
      </c>
      <c r="I241">
        <v>-4200.72</v>
      </c>
      <c r="J241" s="3">
        <v>-0.10150000000000001</v>
      </c>
      <c r="K241">
        <v>3794</v>
      </c>
      <c r="P241" s="2"/>
      <c r="R241" s="2"/>
      <c r="T241" s="3"/>
      <c r="V241" s="3"/>
      <c r="AB241" s="3"/>
      <c r="AC241" s="3"/>
      <c r="AD241" s="3"/>
    </row>
    <row r="242" spans="1:30" x14ac:dyDescent="0.25">
      <c r="A242" t="s">
        <v>255</v>
      </c>
      <c r="B242" t="s">
        <v>445</v>
      </c>
      <c r="C242" t="s">
        <v>358</v>
      </c>
      <c r="D242" s="2">
        <v>40851</v>
      </c>
      <c r="E242">
        <v>3.131643</v>
      </c>
      <c r="F242" s="2">
        <v>40879</v>
      </c>
      <c r="G242">
        <v>2.6585169999999998</v>
      </c>
      <c r="H242" s="3">
        <v>-0.15110000000000001</v>
      </c>
      <c r="I242">
        <v>-6328.4</v>
      </c>
      <c r="J242" s="3">
        <v>-0.15290000000000001</v>
      </c>
      <c r="K242">
        <v>13214</v>
      </c>
      <c r="P242" s="2"/>
      <c r="R242" s="2"/>
      <c r="T242" s="3"/>
      <c r="V242" s="3"/>
      <c r="AB242" s="3"/>
      <c r="AC242" s="3"/>
      <c r="AD242" s="3"/>
    </row>
    <row r="243" spans="1:30" x14ac:dyDescent="0.25">
      <c r="A243" t="s">
        <v>89</v>
      </c>
      <c r="B243" t="s">
        <v>364</v>
      </c>
      <c r="C243" t="s">
        <v>358</v>
      </c>
      <c r="D243" s="2">
        <v>40851</v>
      </c>
      <c r="E243">
        <v>4.1012009999999997</v>
      </c>
      <c r="F243" s="2">
        <v>40879</v>
      </c>
      <c r="G243">
        <v>3.7831679999999999</v>
      </c>
      <c r="H243" s="3">
        <v>-7.7499999999999999E-2</v>
      </c>
      <c r="I243">
        <v>-3289.16</v>
      </c>
      <c r="J243" s="3">
        <v>-7.9500000000000001E-2</v>
      </c>
      <c r="K243">
        <v>10092</v>
      </c>
      <c r="P243" s="2"/>
      <c r="R243" s="2"/>
      <c r="T243" s="3"/>
      <c r="V243" s="3"/>
      <c r="AB243" s="3"/>
      <c r="AC243" s="3"/>
      <c r="AD243" s="3"/>
    </row>
    <row r="244" spans="1:30" x14ac:dyDescent="0.25">
      <c r="A244" t="s">
        <v>183</v>
      </c>
      <c r="B244" t="s">
        <v>501</v>
      </c>
      <c r="C244" t="s">
        <v>358</v>
      </c>
      <c r="D244" s="2">
        <v>40641</v>
      </c>
      <c r="E244">
        <v>3.8668369999999999</v>
      </c>
      <c r="F244" s="2">
        <v>40837</v>
      </c>
      <c r="G244">
        <v>3.0607310000000001</v>
      </c>
      <c r="H244" s="3">
        <v>-0.20849999999999999</v>
      </c>
      <c r="I244">
        <v>-9791.36</v>
      </c>
      <c r="J244" s="3">
        <v>-0.21029999999999999</v>
      </c>
      <c r="K244">
        <v>12043</v>
      </c>
      <c r="P244" s="2"/>
      <c r="R244" s="2"/>
      <c r="T244" s="3"/>
      <c r="V244" s="3"/>
      <c r="AB244" s="3"/>
      <c r="AC244" s="3"/>
      <c r="AD244" s="3"/>
    </row>
    <row r="245" spans="1:30" x14ac:dyDescent="0.25">
      <c r="A245" t="s">
        <v>284</v>
      </c>
      <c r="B245" t="s">
        <v>502</v>
      </c>
      <c r="C245" t="s">
        <v>358</v>
      </c>
      <c r="D245" s="2">
        <v>40641</v>
      </c>
      <c r="E245">
        <v>1.6885330000000001</v>
      </c>
      <c r="F245" s="2">
        <v>40774</v>
      </c>
      <c r="G245">
        <v>1.589826</v>
      </c>
      <c r="H245" s="3">
        <v>-5.8500000000000003E-2</v>
      </c>
      <c r="I245">
        <v>-2812.45</v>
      </c>
      <c r="J245" s="3">
        <v>-6.0400000000000002E-2</v>
      </c>
      <c r="K245">
        <v>27577</v>
      </c>
      <c r="P245" s="2"/>
      <c r="R245" s="2"/>
      <c r="T245" s="3"/>
      <c r="V245" s="3"/>
      <c r="AB245" s="3"/>
      <c r="AC245" s="3"/>
      <c r="AD245" s="3"/>
    </row>
    <row r="246" spans="1:30" x14ac:dyDescent="0.25">
      <c r="A246" t="s">
        <v>51</v>
      </c>
      <c r="B246" t="s">
        <v>222</v>
      </c>
      <c r="C246" t="s">
        <v>358</v>
      </c>
      <c r="D246" s="2">
        <v>40403</v>
      </c>
      <c r="E246">
        <v>0.6629024</v>
      </c>
      <c r="F246" s="2">
        <v>40774</v>
      </c>
      <c r="G246">
        <v>0.75978809999999997</v>
      </c>
      <c r="H246" s="3">
        <v>0.1462</v>
      </c>
      <c r="I246">
        <v>6080.9</v>
      </c>
      <c r="J246" s="3">
        <v>0.14399999999999999</v>
      </c>
      <c r="K246">
        <v>63699</v>
      </c>
      <c r="P246" s="2"/>
      <c r="R246" s="2"/>
      <c r="T246" s="3"/>
      <c r="V246" s="3"/>
      <c r="AB246" s="3"/>
      <c r="AC246" s="3"/>
      <c r="AD246" s="3"/>
    </row>
    <row r="247" spans="1:30" x14ac:dyDescent="0.25">
      <c r="A247" t="s">
        <v>78</v>
      </c>
      <c r="B247" t="s">
        <v>503</v>
      </c>
      <c r="C247" t="s">
        <v>358</v>
      </c>
      <c r="D247" s="2">
        <v>40480</v>
      </c>
      <c r="E247">
        <v>2.9060609999999998</v>
      </c>
      <c r="F247" s="2">
        <v>40767</v>
      </c>
      <c r="G247">
        <v>2.3699279999999998</v>
      </c>
      <c r="H247" s="3">
        <v>-0.1845</v>
      </c>
      <c r="I247">
        <v>-8659.2999999999993</v>
      </c>
      <c r="J247" s="3">
        <v>-0.18629999999999999</v>
      </c>
      <c r="K247">
        <v>15994</v>
      </c>
      <c r="P247" s="2"/>
      <c r="R247" s="2"/>
      <c r="T247" s="3"/>
      <c r="V247" s="3"/>
      <c r="AB247" s="3"/>
      <c r="AC247" s="3"/>
      <c r="AD247" s="3"/>
    </row>
    <row r="248" spans="1:30" x14ac:dyDescent="0.25">
      <c r="A248" t="s">
        <v>135</v>
      </c>
      <c r="B248" t="s">
        <v>417</v>
      </c>
      <c r="C248" t="s">
        <v>358</v>
      </c>
      <c r="D248" s="2">
        <v>40178</v>
      </c>
      <c r="E248">
        <v>2.5963099999999999</v>
      </c>
      <c r="F248" s="2">
        <v>40760</v>
      </c>
      <c r="G248">
        <v>2.3959239999999999</v>
      </c>
      <c r="H248" s="3">
        <v>-7.7200000000000005E-2</v>
      </c>
      <c r="I248">
        <v>-3686.13</v>
      </c>
      <c r="J248" s="3">
        <v>-7.9100000000000004E-2</v>
      </c>
      <c r="K248">
        <v>17948</v>
      </c>
      <c r="P248" s="2"/>
      <c r="R248" s="2"/>
      <c r="T248" s="3"/>
      <c r="V248" s="3"/>
      <c r="AB248" s="3"/>
      <c r="AC248" s="3"/>
      <c r="AD248" s="3"/>
    </row>
    <row r="249" spans="1:30" x14ac:dyDescent="0.25">
      <c r="A249" t="s">
        <v>125</v>
      </c>
      <c r="B249" t="s">
        <v>401</v>
      </c>
      <c r="C249" t="s">
        <v>358</v>
      </c>
      <c r="D249" s="2">
        <v>39906</v>
      </c>
      <c r="E249">
        <v>5.1486400000000003</v>
      </c>
      <c r="F249" s="2">
        <v>40746</v>
      </c>
      <c r="G249">
        <v>7.3925929999999997</v>
      </c>
      <c r="H249" s="3">
        <v>0.43580000000000002</v>
      </c>
      <c r="I249">
        <v>15057.57</v>
      </c>
      <c r="J249" s="3">
        <v>0.43340000000000001</v>
      </c>
      <c r="K249">
        <v>6748</v>
      </c>
      <c r="P249" s="2"/>
      <c r="R249" s="2"/>
      <c r="T249" s="3"/>
      <c r="V249" s="3"/>
      <c r="AB249" s="3"/>
      <c r="AC249" s="3"/>
      <c r="AD249" s="3"/>
    </row>
    <row r="250" spans="1:30" x14ac:dyDescent="0.25">
      <c r="A250" t="s">
        <v>184</v>
      </c>
      <c r="B250" t="s">
        <v>504</v>
      </c>
      <c r="C250" t="s">
        <v>358</v>
      </c>
      <c r="D250" s="2">
        <v>40648</v>
      </c>
      <c r="E250">
        <v>24.854759999999999</v>
      </c>
      <c r="F250" s="2">
        <v>40711</v>
      </c>
      <c r="G250">
        <v>20.120519999999999</v>
      </c>
      <c r="H250" s="3">
        <v>-0.1905</v>
      </c>
      <c r="I250">
        <v>-8980.15</v>
      </c>
      <c r="J250" s="3">
        <v>-0.1923</v>
      </c>
      <c r="K250">
        <v>1879</v>
      </c>
      <c r="P250" s="2"/>
      <c r="R250" s="2"/>
      <c r="T250" s="3"/>
      <c r="V250" s="3"/>
      <c r="AB250" s="3"/>
      <c r="AC250" s="3"/>
      <c r="AD250" s="3"/>
    </row>
    <row r="251" spans="1:30" x14ac:dyDescent="0.25">
      <c r="A251" t="s">
        <v>86</v>
      </c>
      <c r="B251" t="s">
        <v>362</v>
      </c>
      <c r="C251" t="s">
        <v>358</v>
      </c>
      <c r="D251" s="2">
        <v>40654</v>
      </c>
      <c r="E251">
        <v>5.6774360000000001</v>
      </c>
      <c r="F251" s="2">
        <v>40690</v>
      </c>
      <c r="G251">
        <v>5.3283379999999996</v>
      </c>
      <c r="H251" s="3">
        <v>-6.1499999999999999E-2</v>
      </c>
      <c r="I251">
        <v>-2921.16</v>
      </c>
      <c r="J251" s="3">
        <v>-6.3399999999999998E-2</v>
      </c>
      <c r="K251">
        <v>8112</v>
      </c>
      <c r="P251" s="2"/>
      <c r="R251" s="2"/>
      <c r="T251" s="3"/>
      <c r="V251" s="3"/>
      <c r="AB251" s="3"/>
      <c r="AC251" s="3"/>
      <c r="AD251" s="3"/>
    </row>
    <row r="252" spans="1:30" x14ac:dyDescent="0.25">
      <c r="A252" t="s">
        <v>285</v>
      </c>
      <c r="B252" t="s">
        <v>505</v>
      </c>
      <c r="C252" t="s">
        <v>358</v>
      </c>
      <c r="D252" s="2">
        <v>40648</v>
      </c>
      <c r="E252">
        <v>2.08</v>
      </c>
      <c r="F252" s="2">
        <v>40676</v>
      </c>
      <c r="G252">
        <v>1.53</v>
      </c>
      <c r="H252" s="3">
        <v>-0.26440000000000002</v>
      </c>
      <c r="I252">
        <v>-12429.1</v>
      </c>
      <c r="J252" s="3">
        <v>-0.26619999999999999</v>
      </c>
      <c r="K252">
        <v>22451</v>
      </c>
      <c r="P252" s="2"/>
      <c r="R252" s="2"/>
      <c r="T252" s="3"/>
      <c r="V252" s="3"/>
      <c r="AB252" s="3"/>
      <c r="AC252" s="3"/>
      <c r="AD252" s="3"/>
    </row>
    <row r="253" spans="1:30" x14ac:dyDescent="0.25">
      <c r="A253" t="s">
        <v>185</v>
      </c>
      <c r="B253" t="s">
        <v>506</v>
      </c>
      <c r="C253" t="s">
        <v>358</v>
      </c>
      <c r="D253" s="2">
        <v>40641</v>
      </c>
      <c r="E253">
        <v>2.213479</v>
      </c>
      <c r="F253" s="2">
        <v>40676</v>
      </c>
      <c r="G253">
        <v>1.8818809999999999</v>
      </c>
      <c r="H253" s="3">
        <v>-0.14979999999999999</v>
      </c>
      <c r="I253">
        <v>-7064.67</v>
      </c>
      <c r="J253" s="3">
        <v>-0.1517</v>
      </c>
      <c r="K253">
        <v>21045</v>
      </c>
      <c r="P253" s="2"/>
      <c r="R253" s="2"/>
      <c r="T253" s="3"/>
      <c r="V253" s="3"/>
      <c r="AB253" s="3"/>
      <c r="AC253" s="3"/>
      <c r="AD253" s="3"/>
    </row>
    <row r="254" spans="1:30" x14ac:dyDescent="0.25">
      <c r="A254" t="s">
        <v>286</v>
      </c>
      <c r="B254" t="s">
        <v>507</v>
      </c>
      <c r="C254" t="s">
        <v>358</v>
      </c>
      <c r="D254" s="2">
        <v>40018</v>
      </c>
      <c r="E254">
        <v>8.4166540000000008E-3</v>
      </c>
      <c r="F254" s="2">
        <v>40627</v>
      </c>
      <c r="G254">
        <v>7.9554659999999996E-3</v>
      </c>
      <c r="H254" s="3">
        <v>-5.4800000000000001E-2</v>
      </c>
      <c r="I254">
        <v>-2263.4299999999998</v>
      </c>
      <c r="J254" s="3">
        <v>-5.67E-2</v>
      </c>
      <c r="K254">
        <v>4739652</v>
      </c>
      <c r="P254" s="2"/>
      <c r="R254" s="2"/>
      <c r="T254" s="3"/>
      <c r="V254" s="3"/>
      <c r="AB254" s="3"/>
      <c r="AC254" s="3"/>
      <c r="AD254" s="3"/>
    </row>
    <row r="255" spans="1:30" x14ac:dyDescent="0.25">
      <c r="A255" t="s">
        <v>184</v>
      </c>
      <c r="B255" t="s">
        <v>504</v>
      </c>
      <c r="C255" t="s">
        <v>358</v>
      </c>
      <c r="D255" s="2">
        <v>40403</v>
      </c>
      <c r="E255">
        <v>8.7780690000000003</v>
      </c>
      <c r="F255" s="2">
        <v>40620</v>
      </c>
      <c r="G255">
        <v>19.035589999999999</v>
      </c>
      <c r="H255" s="3">
        <v>1.1685000000000001</v>
      </c>
      <c r="I255">
        <v>49215.12</v>
      </c>
      <c r="J255" s="3">
        <v>1.1654</v>
      </c>
      <c r="K255">
        <v>4811</v>
      </c>
      <c r="P255" s="2"/>
      <c r="R255" s="2"/>
      <c r="T255" s="3"/>
      <c r="V255" s="3"/>
      <c r="AB255" s="3"/>
      <c r="AC255" s="3"/>
      <c r="AD255" s="3"/>
    </row>
    <row r="256" spans="1:30" x14ac:dyDescent="0.25">
      <c r="A256" t="s">
        <v>275</v>
      </c>
      <c r="B256" t="s">
        <v>486</v>
      </c>
      <c r="C256" t="s">
        <v>358</v>
      </c>
      <c r="D256" s="2">
        <v>40522</v>
      </c>
      <c r="E256">
        <v>9.2455470000000002</v>
      </c>
      <c r="F256" s="2">
        <v>40620</v>
      </c>
      <c r="G256">
        <v>6.7909769999999998</v>
      </c>
      <c r="H256" s="3">
        <v>-0.26550000000000001</v>
      </c>
      <c r="I256">
        <v>-12377.75</v>
      </c>
      <c r="J256" s="3">
        <v>-0.26719999999999999</v>
      </c>
      <c r="K256">
        <v>5010</v>
      </c>
      <c r="P256" s="2"/>
      <c r="R256" s="2"/>
      <c r="T256" s="3"/>
      <c r="V256" s="3"/>
      <c r="AB256" s="3"/>
      <c r="AC256" s="3"/>
      <c r="AD256" s="3"/>
    </row>
    <row r="257" spans="1:30" x14ac:dyDescent="0.25">
      <c r="A257" t="s">
        <v>153</v>
      </c>
      <c r="B257" t="s">
        <v>442</v>
      </c>
      <c r="C257" t="s">
        <v>358</v>
      </c>
      <c r="D257" s="2">
        <v>40522</v>
      </c>
      <c r="E257">
        <v>1.5188010000000001</v>
      </c>
      <c r="F257" s="2">
        <v>40620</v>
      </c>
      <c r="G257">
        <v>1.375518</v>
      </c>
      <c r="H257" s="3">
        <v>-9.4299999999999995E-2</v>
      </c>
      <c r="I257">
        <v>-4459.1400000000003</v>
      </c>
      <c r="J257" s="3">
        <v>-9.6199999999999994E-2</v>
      </c>
      <c r="K257">
        <v>30505</v>
      </c>
      <c r="P257" s="2"/>
      <c r="R257" s="2"/>
      <c r="T257" s="3"/>
      <c r="V257" s="3"/>
      <c r="AB257" s="3"/>
      <c r="AC257" s="3"/>
      <c r="AD257" s="3"/>
    </row>
    <row r="258" spans="1:30" x14ac:dyDescent="0.25">
      <c r="A258" t="s">
        <v>287</v>
      </c>
      <c r="B258" t="s">
        <v>508</v>
      </c>
      <c r="C258" t="s">
        <v>358</v>
      </c>
      <c r="D258" s="2">
        <v>40403</v>
      </c>
      <c r="E258">
        <v>2.7799390000000002</v>
      </c>
      <c r="F258" s="2">
        <v>40620</v>
      </c>
      <c r="G258">
        <v>3.3639600000000001</v>
      </c>
      <c r="H258" s="3">
        <v>0.21010000000000001</v>
      </c>
      <c r="I258">
        <v>8774.49</v>
      </c>
      <c r="J258" s="3">
        <v>0.2079</v>
      </c>
      <c r="K258">
        <v>15184</v>
      </c>
      <c r="P258" s="2"/>
      <c r="R258" s="2"/>
      <c r="T258" s="3"/>
      <c r="V258" s="3"/>
      <c r="AB258" s="3"/>
      <c r="AC258" s="3"/>
      <c r="AD258" s="3"/>
    </row>
    <row r="259" spans="1:30" x14ac:dyDescent="0.25">
      <c r="A259" t="s">
        <v>288</v>
      </c>
      <c r="B259" t="s">
        <v>509</v>
      </c>
      <c r="C259" t="s">
        <v>358</v>
      </c>
      <c r="D259" s="2">
        <v>40403</v>
      </c>
      <c r="E259">
        <v>5.1100000000000003</v>
      </c>
      <c r="F259" s="2">
        <v>40620</v>
      </c>
      <c r="G259">
        <v>5.16</v>
      </c>
      <c r="H259" s="3">
        <v>9.7999999999999997E-3</v>
      </c>
      <c r="I259">
        <v>328.33</v>
      </c>
      <c r="J259" s="3">
        <v>7.7999999999999996E-3</v>
      </c>
      <c r="K259">
        <v>8264</v>
      </c>
      <c r="P259" s="2"/>
      <c r="R259" s="2"/>
      <c r="T259" s="3"/>
      <c r="V259" s="3"/>
      <c r="AB259" s="3"/>
      <c r="AC259" s="3"/>
      <c r="AD259" s="3"/>
    </row>
    <row r="260" spans="1:30" x14ac:dyDescent="0.25">
      <c r="A260" t="s">
        <v>265</v>
      </c>
      <c r="B260" t="s">
        <v>470</v>
      </c>
      <c r="C260" t="s">
        <v>358</v>
      </c>
      <c r="D260" s="2">
        <v>40004</v>
      </c>
      <c r="E260">
        <v>9.4556550000000001</v>
      </c>
      <c r="F260" s="2">
        <v>40515</v>
      </c>
      <c r="G260">
        <v>10.140560000000001</v>
      </c>
      <c r="H260" s="3">
        <v>7.2400000000000006E-2</v>
      </c>
      <c r="I260">
        <v>2806.92</v>
      </c>
      <c r="J260" s="3">
        <v>7.0400000000000004E-2</v>
      </c>
      <c r="K260">
        <v>4219</v>
      </c>
      <c r="P260" s="2"/>
      <c r="R260" s="2"/>
      <c r="T260" s="3"/>
      <c r="V260" s="3"/>
      <c r="AB260" s="3"/>
      <c r="AC260" s="3"/>
      <c r="AD260" s="3"/>
    </row>
    <row r="261" spans="1:30" x14ac:dyDescent="0.25">
      <c r="A261" t="s">
        <v>136</v>
      </c>
      <c r="B261" t="s">
        <v>419</v>
      </c>
      <c r="C261" t="s">
        <v>358</v>
      </c>
      <c r="D261" s="2">
        <v>40403</v>
      </c>
      <c r="E261">
        <v>1.6608240000000001</v>
      </c>
      <c r="F261" s="2">
        <v>40515</v>
      </c>
      <c r="G261">
        <v>1.777601</v>
      </c>
      <c r="H261" s="3">
        <v>7.0300000000000001E-2</v>
      </c>
      <c r="I261">
        <v>2880.16</v>
      </c>
      <c r="J261" s="3">
        <v>6.8199999999999997E-2</v>
      </c>
      <c r="K261">
        <v>25412</v>
      </c>
      <c r="P261" s="2"/>
      <c r="R261" s="2"/>
      <c r="T261" s="3"/>
      <c r="V261" s="3"/>
      <c r="AB261" s="3"/>
      <c r="AC261" s="3"/>
      <c r="AD261" s="3"/>
    </row>
    <row r="262" spans="1:30" x14ac:dyDescent="0.25">
      <c r="A262" t="s">
        <v>289</v>
      </c>
      <c r="B262" t="s">
        <v>510</v>
      </c>
      <c r="C262" t="s">
        <v>358</v>
      </c>
      <c r="D262" s="2">
        <v>40410</v>
      </c>
      <c r="E262">
        <v>6.03</v>
      </c>
      <c r="F262" s="2">
        <v>40479</v>
      </c>
      <c r="G262">
        <v>6.14</v>
      </c>
      <c r="H262" s="3">
        <v>1.8200000000000001E-2</v>
      </c>
      <c r="I262">
        <v>670.72</v>
      </c>
      <c r="J262" s="3">
        <v>1.6199999999999999E-2</v>
      </c>
      <c r="K262">
        <v>6856</v>
      </c>
      <c r="P262" s="2"/>
      <c r="R262" s="2"/>
      <c r="T262" s="3"/>
      <c r="V262" s="3"/>
      <c r="AB262" s="3"/>
      <c r="AC262" s="3"/>
      <c r="AD262" s="3"/>
    </row>
    <row r="263" spans="1:30" x14ac:dyDescent="0.25">
      <c r="A263" t="s">
        <v>290</v>
      </c>
      <c r="B263" t="s">
        <v>511</v>
      </c>
      <c r="C263" t="s">
        <v>358</v>
      </c>
      <c r="D263" s="2">
        <v>40403</v>
      </c>
      <c r="E263">
        <v>1.8369439999999999</v>
      </c>
      <c r="F263" s="2">
        <v>40417</v>
      </c>
      <c r="G263">
        <v>1.5772219999999999</v>
      </c>
      <c r="H263" s="3">
        <v>-0.1414</v>
      </c>
      <c r="I263">
        <v>-6047.92</v>
      </c>
      <c r="J263" s="3">
        <v>-0.14319999999999999</v>
      </c>
      <c r="K263">
        <v>22984</v>
      </c>
      <c r="P263" s="2"/>
      <c r="R263" s="2"/>
      <c r="T263" s="3"/>
      <c r="V263" s="3"/>
      <c r="AB263" s="3"/>
      <c r="AC263" s="3"/>
      <c r="AD263" s="3"/>
    </row>
    <row r="264" spans="1:30" x14ac:dyDescent="0.25">
      <c r="A264" t="s">
        <v>291</v>
      </c>
      <c r="B264" t="s">
        <v>512</v>
      </c>
      <c r="C264" t="s">
        <v>358</v>
      </c>
      <c r="D264" s="2">
        <v>40249</v>
      </c>
      <c r="E264">
        <v>1.399022</v>
      </c>
      <c r="F264" s="2">
        <v>40326</v>
      </c>
      <c r="G264">
        <v>1.1423970000000001</v>
      </c>
      <c r="H264" s="3">
        <v>-0.18340000000000001</v>
      </c>
      <c r="I264">
        <v>-8465.15</v>
      </c>
      <c r="J264" s="3">
        <v>-0.1852</v>
      </c>
      <c r="K264">
        <v>32663</v>
      </c>
      <c r="P264" s="2"/>
      <c r="R264" s="2"/>
      <c r="T264" s="3"/>
      <c r="V264" s="3"/>
      <c r="AB264" s="3"/>
      <c r="AC264" s="3"/>
      <c r="AD264" s="3"/>
    </row>
    <row r="265" spans="1:30" x14ac:dyDescent="0.25">
      <c r="A265" t="s">
        <v>186</v>
      </c>
      <c r="B265" t="s">
        <v>513</v>
      </c>
      <c r="C265" t="s">
        <v>358</v>
      </c>
      <c r="D265" s="2">
        <v>39906</v>
      </c>
      <c r="E265">
        <v>2.557372</v>
      </c>
      <c r="F265" s="2">
        <v>40326</v>
      </c>
      <c r="G265">
        <v>3.4951490000000001</v>
      </c>
      <c r="H265" s="3">
        <v>0.36670000000000003</v>
      </c>
      <c r="I265">
        <v>12652.82</v>
      </c>
      <c r="J265" s="3">
        <v>0.36430000000000001</v>
      </c>
      <c r="K265">
        <v>13580</v>
      </c>
      <c r="P265" s="2"/>
      <c r="R265" s="2"/>
      <c r="T265" s="3"/>
      <c r="V265" s="3"/>
      <c r="AB265" s="3"/>
      <c r="AC265" s="3"/>
      <c r="AD265" s="3"/>
    </row>
    <row r="266" spans="1:30" x14ac:dyDescent="0.25">
      <c r="A266" t="s">
        <v>292</v>
      </c>
      <c r="B266" t="s">
        <v>514</v>
      </c>
      <c r="C266" t="s">
        <v>358</v>
      </c>
      <c r="D266" s="2">
        <v>40249</v>
      </c>
      <c r="E266">
        <v>2.4205570000000001</v>
      </c>
      <c r="F266" s="2">
        <v>40312</v>
      </c>
      <c r="G266">
        <v>2.2149749999999999</v>
      </c>
      <c r="H266" s="3">
        <v>-8.4900000000000003E-2</v>
      </c>
      <c r="I266">
        <v>-3967.65</v>
      </c>
      <c r="J266" s="3">
        <v>-8.6800000000000002E-2</v>
      </c>
      <c r="K266">
        <v>18874</v>
      </c>
      <c r="P266" s="2"/>
      <c r="R266" s="2"/>
      <c r="T266" s="3"/>
      <c r="V266" s="3"/>
      <c r="AB266" s="3"/>
      <c r="AC266" s="3"/>
      <c r="AD266" s="3"/>
    </row>
    <row r="267" spans="1:30" x14ac:dyDescent="0.25">
      <c r="A267" t="s">
        <v>187</v>
      </c>
      <c r="B267" t="s">
        <v>515</v>
      </c>
      <c r="C267" t="s">
        <v>358</v>
      </c>
      <c r="D267" s="2">
        <v>40249</v>
      </c>
      <c r="E267">
        <v>0.45194000000000001</v>
      </c>
      <c r="F267" s="2">
        <v>40312</v>
      </c>
      <c r="G267">
        <v>0.38450990000000002</v>
      </c>
      <c r="H267" s="3">
        <v>-0.1492</v>
      </c>
      <c r="I267">
        <v>-6901.75</v>
      </c>
      <c r="J267" s="3">
        <v>-0.15110000000000001</v>
      </c>
      <c r="K267">
        <v>101100</v>
      </c>
      <c r="P267" s="2"/>
      <c r="R267" s="2"/>
      <c r="T267" s="3"/>
      <c r="V267" s="3"/>
      <c r="AB267" s="3"/>
      <c r="AC267" s="3"/>
      <c r="AD267" s="3"/>
    </row>
    <row r="268" spans="1:30" x14ac:dyDescent="0.25">
      <c r="A268" t="s">
        <v>283</v>
      </c>
      <c r="B268" t="s">
        <v>500</v>
      </c>
      <c r="C268" t="s">
        <v>358</v>
      </c>
      <c r="D268" s="2">
        <v>40249</v>
      </c>
      <c r="E268">
        <v>0.68852230000000003</v>
      </c>
      <c r="F268" s="2">
        <v>40312</v>
      </c>
      <c r="G268">
        <v>0.49180160000000001</v>
      </c>
      <c r="H268" s="3">
        <v>-0.28570000000000001</v>
      </c>
      <c r="I268">
        <v>-13136.27</v>
      </c>
      <c r="J268" s="3">
        <v>-0.28739999999999999</v>
      </c>
      <c r="K268">
        <v>66378</v>
      </c>
      <c r="P268" s="2"/>
      <c r="R268" s="2"/>
      <c r="T268" s="3"/>
      <c r="V268" s="3"/>
      <c r="AB268" s="3"/>
      <c r="AC268" s="3"/>
      <c r="AD268" s="3"/>
    </row>
    <row r="269" spans="1:30" x14ac:dyDescent="0.25">
      <c r="A269" t="s">
        <v>293</v>
      </c>
      <c r="B269" t="s">
        <v>516</v>
      </c>
      <c r="C269" t="s">
        <v>358</v>
      </c>
      <c r="D269" s="2">
        <v>40249</v>
      </c>
      <c r="E269">
        <v>1.7383439999999999</v>
      </c>
      <c r="F269" s="2">
        <v>40312</v>
      </c>
      <c r="G269">
        <v>1.3906750000000001</v>
      </c>
      <c r="H269" s="3">
        <v>-0.2</v>
      </c>
      <c r="I269">
        <v>-9223.8799999999992</v>
      </c>
      <c r="J269" s="3">
        <v>-0.20180000000000001</v>
      </c>
      <c r="K269">
        <v>26294</v>
      </c>
      <c r="P269" s="2"/>
      <c r="R269" s="2"/>
      <c r="T269" s="3"/>
      <c r="V269" s="3"/>
      <c r="AB269" s="3"/>
      <c r="AC269" s="3"/>
      <c r="AD269" s="3"/>
    </row>
    <row r="270" spans="1:30" x14ac:dyDescent="0.25">
      <c r="A270" t="s">
        <v>86</v>
      </c>
      <c r="B270" t="s">
        <v>362</v>
      </c>
      <c r="C270" t="s">
        <v>358</v>
      </c>
      <c r="D270" s="2">
        <v>40178</v>
      </c>
      <c r="E270">
        <v>3.8469989999999998</v>
      </c>
      <c r="F270" s="2">
        <v>40312</v>
      </c>
      <c r="G270">
        <v>3.9406300000000001</v>
      </c>
      <c r="H270" s="3">
        <v>2.4299999999999999E-2</v>
      </c>
      <c r="I270">
        <v>1039.9100000000001</v>
      </c>
      <c r="J270" s="3">
        <v>2.23E-2</v>
      </c>
      <c r="K270">
        <v>12114</v>
      </c>
      <c r="P270" s="2"/>
      <c r="R270" s="2"/>
      <c r="T270" s="3"/>
      <c r="V270" s="3"/>
      <c r="AB270" s="3"/>
      <c r="AC270" s="3"/>
      <c r="AD270" s="3"/>
    </row>
    <row r="271" spans="1:30" x14ac:dyDescent="0.25">
      <c r="A271" t="s">
        <v>82</v>
      </c>
      <c r="B271" t="s">
        <v>363</v>
      </c>
      <c r="C271" t="s">
        <v>358</v>
      </c>
      <c r="D271" s="2">
        <v>39906</v>
      </c>
      <c r="E271">
        <v>5.4958419999999997</v>
      </c>
      <c r="F271" s="2">
        <v>40312</v>
      </c>
      <c r="G271">
        <v>7.3877959999999998</v>
      </c>
      <c r="H271" s="3">
        <v>0.34429999999999999</v>
      </c>
      <c r="I271">
        <v>11868.21</v>
      </c>
      <c r="J271" s="3">
        <v>0.34189999999999998</v>
      </c>
      <c r="K271">
        <v>6316</v>
      </c>
      <c r="P271" s="2"/>
      <c r="R271" s="2"/>
      <c r="T271" s="3"/>
      <c r="V271" s="3"/>
      <c r="AB271" s="3"/>
      <c r="AC271" s="3"/>
      <c r="AD271" s="3"/>
    </row>
    <row r="272" spans="1:30" x14ac:dyDescent="0.25">
      <c r="A272" t="s">
        <v>294</v>
      </c>
      <c r="B272" t="s">
        <v>517</v>
      </c>
      <c r="C272" t="s">
        <v>358</v>
      </c>
      <c r="D272" s="2">
        <v>40018</v>
      </c>
      <c r="E272">
        <v>0.93500000000000005</v>
      </c>
      <c r="F272" s="2">
        <v>40242</v>
      </c>
      <c r="G272">
        <v>1.1299999999999999</v>
      </c>
      <c r="H272" s="3">
        <v>0.20860000000000001</v>
      </c>
      <c r="I272">
        <v>8228.48</v>
      </c>
      <c r="J272" s="3">
        <v>0.20630000000000001</v>
      </c>
      <c r="K272">
        <v>42649</v>
      </c>
      <c r="P272" s="2"/>
      <c r="R272" s="2"/>
      <c r="T272" s="3"/>
      <c r="V272" s="3"/>
      <c r="AB272" s="3"/>
      <c r="AC272" s="3"/>
      <c r="AD272" s="3"/>
    </row>
    <row r="273" spans="1:30" x14ac:dyDescent="0.25">
      <c r="A273" t="s">
        <v>172</v>
      </c>
      <c r="B273" t="s">
        <v>474</v>
      </c>
      <c r="C273" t="s">
        <v>358</v>
      </c>
      <c r="D273" s="2">
        <v>40178</v>
      </c>
      <c r="E273">
        <v>0.32037589999999999</v>
      </c>
      <c r="F273" s="2">
        <v>40214</v>
      </c>
      <c r="G273">
        <v>0.30976110000000001</v>
      </c>
      <c r="H273" s="3">
        <v>-3.3099999999999997E-2</v>
      </c>
      <c r="I273">
        <v>-1635.41</v>
      </c>
      <c r="J273" s="3">
        <v>-3.5099999999999999E-2</v>
      </c>
      <c r="K273">
        <v>145435</v>
      </c>
      <c r="P273" s="2"/>
      <c r="R273" s="2"/>
      <c r="T273" s="3"/>
      <c r="V273" s="3"/>
      <c r="AB273" s="3"/>
      <c r="AC273" s="3"/>
      <c r="AD273" s="3"/>
    </row>
    <row r="274" spans="1:30" x14ac:dyDescent="0.25">
      <c r="A274" t="s">
        <v>122</v>
      </c>
      <c r="B274" t="s">
        <v>396</v>
      </c>
      <c r="C274" t="s">
        <v>358</v>
      </c>
      <c r="D274" s="2">
        <v>40178</v>
      </c>
      <c r="E274">
        <v>3.2360899999999999</v>
      </c>
      <c r="F274" s="2">
        <v>40214</v>
      </c>
      <c r="G274">
        <v>2.6720009999999998</v>
      </c>
      <c r="H274" s="3">
        <v>-0.17430000000000001</v>
      </c>
      <c r="I274">
        <v>-8210.81</v>
      </c>
      <c r="J274" s="3">
        <v>-0.17610000000000001</v>
      </c>
      <c r="K274">
        <v>14405</v>
      </c>
      <c r="P274" s="2"/>
      <c r="R274" s="2"/>
      <c r="T274" s="3"/>
      <c r="V274" s="3"/>
      <c r="AB274" s="3"/>
      <c r="AC274" s="3"/>
      <c r="AD274" s="3"/>
    </row>
    <row r="275" spans="1:30" x14ac:dyDescent="0.25">
      <c r="A275" t="s">
        <v>120</v>
      </c>
      <c r="B275" t="s">
        <v>394</v>
      </c>
      <c r="C275" t="s">
        <v>358</v>
      </c>
      <c r="D275" s="2">
        <v>40178</v>
      </c>
      <c r="E275">
        <v>2.6320290000000002</v>
      </c>
      <c r="F275" s="2">
        <v>40214</v>
      </c>
      <c r="G275">
        <v>2.2950010000000001</v>
      </c>
      <c r="H275" s="3">
        <v>-0.128</v>
      </c>
      <c r="I275">
        <v>-6057.05</v>
      </c>
      <c r="J275" s="3">
        <v>-0.12989999999999999</v>
      </c>
      <c r="K275">
        <v>17713</v>
      </c>
      <c r="P275" s="2"/>
      <c r="R275" s="2"/>
      <c r="T275" s="3"/>
      <c r="V275" s="3"/>
      <c r="AB275" s="3"/>
      <c r="AC275" s="3"/>
      <c r="AD275" s="3"/>
    </row>
    <row r="276" spans="1:30" x14ac:dyDescent="0.25">
      <c r="A276" t="s">
        <v>188</v>
      </c>
      <c r="B276" t="s">
        <v>518</v>
      </c>
      <c r="C276" t="s">
        <v>358</v>
      </c>
      <c r="D276" s="2">
        <v>39906</v>
      </c>
      <c r="E276">
        <v>11.975440000000001</v>
      </c>
      <c r="F276" s="2">
        <v>40214</v>
      </c>
      <c r="G276">
        <v>14.39045</v>
      </c>
      <c r="H276" s="3">
        <v>0.20169999999999999</v>
      </c>
      <c r="I276">
        <v>6924.68</v>
      </c>
      <c r="J276" s="3">
        <v>0.19950000000000001</v>
      </c>
      <c r="K276">
        <v>2899</v>
      </c>
      <c r="P276" s="2"/>
      <c r="R276" s="2"/>
      <c r="T276" s="3"/>
      <c r="V276" s="3"/>
      <c r="AB276" s="3"/>
      <c r="AC276" s="3"/>
      <c r="AD276" s="3"/>
    </row>
    <row r="277" spans="1:30" x14ac:dyDescent="0.25">
      <c r="A277" t="s">
        <v>295</v>
      </c>
      <c r="B277" t="s">
        <v>519</v>
      </c>
      <c r="C277" t="s">
        <v>358</v>
      </c>
      <c r="D277" s="2">
        <v>39906</v>
      </c>
      <c r="E277">
        <v>2.4935550000000002</v>
      </c>
      <c r="F277" s="2">
        <v>40214</v>
      </c>
      <c r="G277">
        <v>4.0538780000000001</v>
      </c>
      <c r="H277" s="3">
        <v>0.62570000000000003</v>
      </c>
      <c r="I277">
        <v>21645.65</v>
      </c>
      <c r="J277" s="3">
        <v>0.62309999999999999</v>
      </c>
      <c r="K277">
        <v>13931</v>
      </c>
      <c r="P277" s="2"/>
      <c r="R277" s="2"/>
      <c r="T277" s="3"/>
      <c r="V277" s="3"/>
      <c r="AB277" s="3"/>
      <c r="AC277" s="3"/>
      <c r="AD277" s="3"/>
    </row>
    <row r="278" spans="1:30" x14ac:dyDescent="0.25">
      <c r="A278" t="s">
        <v>296</v>
      </c>
      <c r="B278" t="s">
        <v>520</v>
      </c>
      <c r="C278" t="s">
        <v>358</v>
      </c>
      <c r="D278" s="2">
        <v>39906</v>
      </c>
      <c r="E278">
        <v>4.6335290000000002</v>
      </c>
      <c r="F278" s="2">
        <v>40165</v>
      </c>
      <c r="G278">
        <v>4.531771</v>
      </c>
      <c r="H278" s="3">
        <v>-2.1999999999999999E-2</v>
      </c>
      <c r="I278">
        <v>-830.82</v>
      </c>
      <c r="J278" s="3">
        <v>-2.3900000000000001E-2</v>
      </c>
      <c r="K278">
        <v>7490</v>
      </c>
      <c r="P278" s="2"/>
      <c r="R278" s="2"/>
      <c r="T278" s="3"/>
      <c r="V278" s="3"/>
      <c r="AB278" s="3"/>
      <c r="AC278" s="3"/>
      <c r="AD278" s="3"/>
    </row>
    <row r="279" spans="1:30" x14ac:dyDescent="0.25">
      <c r="A279" t="s">
        <v>189</v>
      </c>
      <c r="B279" t="s">
        <v>521</v>
      </c>
      <c r="C279" t="s">
        <v>358</v>
      </c>
      <c r="D279" s="2">
        <v>39906</v>
      </c>
      <c r="E279">
        <v>4.3024870000000002</v>
      </c>
      <c r="F279" s="2">
        <v>40165</v>
      </c>
      <c r="G279">
        <v>7.7949099999999998</v>
      </c>
      <c r="H279" s="3">
        <v>0.81169999999999998</v>
      </c>
      <c r="I279">
        <v>28107.11</v>
      </c>
      <c r="J279" s="3">
        <v>0.80889999999999995</v>
      </c>
      <c r="K279">
        <v>8076</v>
      </c>
      <c r="P279" s="2"/>
      <c r="R279" s="2"/>
      <c r="T279" s="3"/>
      <c r="V279" s="3"/>
      <c r="AB279" s="3"/>
      <c r="AC279" s="3"/>
      <c r="AD279" s="3"/>
    </row>
    <row r="280" spans="1:30" x14ac:dyDescent="0.25">
      <c r="A280" t="s">
        <v>190</v>
      </c>
      <c r="B280" t="s">
        <v>522</v>
      </c>
      <c r="C280" t="s">
        <v>358</v>
      </c>
      <c r="D280" s="2">
        <v>40018</v>
      </c>
      <c r="E280">
        <v>3.5446930000000001</v>
      </c>
      <c r="F280" s="2">
        <v>40151</v>
      </c>
      <c r="G280">
        <v>4.0568270000000002</v>
      </c>
      <c r="H280" s="3">
        <v>0.14449999999999999</v>
      </c>
      <c r="I280">
        <v>5676.49</v>
      </c>
      <c r="J280" s="3">
        <v>0.14230000000000001</v>
      </c>
      <c r="K280">
        <v>11251</v>
      </c>
      <c r="P280" s="2"/>
      <c r="R280" s="2"/>
      <c r="T280" s="3"/>
      <c r="V280" s="3"/>
      <c r="AB280" s="3"/>
      <c r="AC280" s="3"/>
      <c r="AD280" s="3"/>
    </row>
    <row r="281" spans="1:30" x14ac:dyDescent="0.25">
      <c r="A281" t="s">
        <v>297</v>
      </c>
      <c r="B281" t="s">
        <v>523</v>
      </c>
      <c r="C281" t="s">
        <v>358</v>
      </c>
      <c r="D281" s="2">
        <v>40018</v>
      </c>
      <c r="E281">
        <v>1.592592</v>
      </c>
      <c r="F281" s="2">
        <v>40151</v>
      </c>
      <c r="G281">
        <v>1.6050549999999999</v>
      </c>
      <c r="H281" s="3">
        <v>7.7999999999999996E-3</v>
      </c>
      <c r="I281">
        <v>232.05</v>
      </c>
      <c r="J281" s="3">
        <v>5.7999999999999996E-3</v>
      </c>
      <c r="K281">
        <v>25045</v>
      </c>
      <c r="P281" s="2"/>
      <c r="R281" s="2"/>
      <c r="T281" s="3"/>
      <c r="V281" s="3"/>
      <c r="AB281" s="3"/>
      <c r="AC281" s="3"/>
      <c r="AD281" s="3"/>
    </row>
    <row r="282" spans="1:30" x14ac:dyDescent="0.25">
      <c r="A282" t="s">
        <v>38</v>
      </c>
      <c r="B282" t="s">
        <v>524</v>
      </c>
      <c r="C282" t="s">
        <v>358</v>
      </c>
      <c r="D282" s="2">
        <v>40018</v>
      </c>
      <c r="E282">
        <v>1.022149</v>
      </c>
      <c r="F282" s="2">
        <v>40151</v>
      </c>
      <c r="G282">
        <v>0.95285050000000004</v>
      </c>
      <c r="H282" s="3">
        <v>-6.7799999999999999E-2</v>
      </c>
      <c r="I282">
        <v>-2781.95</v>
      </c>
      <c r="J282" s="3">
        <v>-6.9699999999999998E-2</v>
      </c>
      <c r="K282">
        <v>39032</v>
      </c>
      <c r="P282" s="2"/>
      <c r="R282" s="2"/>
      <c r="T282" s="3"/>
      <c r="V282" s="3"/>
      <c r="AB282" s="3"/>
      <c r="AC282" s="3"/>
      <c r="AD282" s="3"/>
    </row>
    <row r="283" spans="1:30" x14ac:dyDescent="0.25">
      <c r="A283" t="s">
        <v>298</v>
      </c>
      <c r="B283" t="s">
        <v>525</v>
      </c>
      <c r="C283" t="s">
        <v>358</v>
      </c>
      <c r="D283" s="2">
        <v>39906</v>
      </c>
      <c r="E283">
        <v>0.81499999999999995</v>
      </c>
      <c r="F283" s="2">
        <v>40151</v>
      </c>
      <c r="G283">
        <v>0.8</v>
      </c>
      <c r="H283" s="3">
        <v>-1.84E-2</v>
      </c>
      <c r="I283">
        <v>-708.48</v>
      </c>
      <c r="J283" s="3">
        <v>-2.0400000000000001E-2</v>
      </c>
      <c r="K283">
        <v>42641</v>
      </c>
      <c r="P283" s="2"/>
      <c r="R283" s="2"/>
      <c r="T283" s="3"/>
      <c r="V283" s="3"/>
      <c r="AB283" s="3"/>
      <c r="AC283" s="3"/>
      <c r="AD283" s="3"/>
    </row>
    <row r="284" spans="1:30" x14ac:dyDescent="0.25">
      <c r="A284" t="s">
        <v>299</v>
      </c>
      <c r="B284" t="s">
        <v>526</v>
      </c>
      <c r="C284" t="s">
        <v>358</v>
      </c>
      <c r="D284" s="2">
        <v>39912</v>
      </c>
      <c r="E284">
        <v>0.85261799999999999</v>
      </c>
      <c r="F284" s="2">
        <v>40011</v>
      </c>
      <c r="G284">
        <v>0.77421640000000003</v>
      </c>
      <c r="H284" s="3">
        <v>-9.1999999999999998E-2</v>
      </c>
      <c r="I284">
        <v>-3382.4</v>
      </c>
      <c r="J284" s="3">
        <v>-9.3899999999999997E-2</v>
      </c>
      <c r="K284">
        <v>42265</v>
      </c>
      <c r="P284" s="2"/>
      <c r="R284" s="2"/>
      <c r="T284" s="3"/>
      <c r="V284" s="3"/>
      <c r="AB284" s="3"/>
      <c r="AC284" s="3"/>
      <c r="AD284" s="3"/>
    </row>
    <row r="285" spans="1:30" x14ac:dyDescent="0.25">
      <c r="A285" t="s">
        <v>191</v>
      </c>
      <c r="B285" t="s">
        <v>527</v>
      </c>
      <c r="C285" t="s">
        <v>358</v>
      </c>
      <c r="D285" s="2">
        <v>39912</v>
      </c>
      <c r="E285">
        <v>0.40664610000000001</v>
      </c>
      <c r="F285" s="2">
        <v>40011</v>
      </c>
      <c r="G285">
        <v>0.54112760000000004</v>
      </c>
      <c r="H285" s="3">
        <v>0.33069999999999999</v>
      </c>
      <c r="I285">
        <v>11836.43</v>
      </c>
      <c r="J285" s="3">
        <v>0.32840000000000003</v>
      </c>
      <c r="K285">
        <v>88640</v>
      </c>
      <c r="P285" s="2"/>
      <c r="R285" s="2"/>
      <c r="T285" s="3"/>
      <c r="V285" s="3"/>
      <c r="AB285" s="3"/>
      <c r="AC285" s="3"/>
      <c r="AD285" s="3"/>
    </row>
    <row r="286" spans="1:30" x14ac:dyDescent="0.25">
      <c r="A286" t="s">
        <v>192</v>
      </c>
      <c r="B286" t="s">
        <v>528</v>
      </c>
      <c r="C286" t="s">
        <v>358</v>
      </c>
      <c r="D286" s="2">
        <v>39909</v>
      </c>
      <c r="E286">
        <v>0.36048730000000001</v>
      </c>
      <c r="F286" s="2">
        <v>40011</v>
      </c>
      <c r="G286">
        <v>0.4566172</v>
      </c>
      <c r="H286" s="3">
        <v>0.26669999999999999</v>
      </c>
      <c r="I286">
        <v>9374.68</v>
      </c>
      <c r="J286" s="3">
        <v>0.26440000000000002</v>
      </c>
      <c r="K286">
        <v>98357</v>
      </c>
      <c r="P286" s="2"/>
      <c r="R286" s="2"/>
      <c r="T286" s="3"/>
      <c r="V286" s="3"/>
      <c r="AB286" s="3"/>
      <c r="AC286" s="3"/>
      <c r="AD286" s="3"/>
    </row>
    <row r="287" spans="1:30" x14ac:dyDescent="0.25">
      <c r="A287" t="s">
        <v>157</v>
      </c>
      <c r="B287" t="s">
        <v>448</v>
      </c>
      <c r="C287" t="s">
        <v>358</v>
      </c>
      <c r="D287" s="2">
        <v>39906</v>
      </c>
      <c r="E287">
        <v>8.8606639999999999</v>
      </c>
      <c r="F287" s="2">
        <v>40011</v>
      </c>
      <c r="G287">
        <v>7.4653729999999996</v>
      </c>
      <c r="H287" s="3">
        <v>-0.1575</v>
      </c>
      <c r="I287">
        <v>-5530.7</v>
      </c>
      <c r="J287" s="3">
        <v>-0.1593</v>
      </c>
      <c r="K287">
        <v>3918</v>
      </c>
      <c r="P287" s="2"/>
      <c r="R287" s="2"/>
      <c r="T287" s="3"/>
      <c r="V287" s="3"/>
      <c r="AB287" s="3"/>
      <c r="AC287" s="3"/>
      <c r="AD287" s="3"/>
    </row>
    <row r="288" spans="1:30" x14ac:dyDescent="0.25">
      <c r="A288" t="s">
        <v>193</v>
      </c>
      <c r="B288" t="s">
        <v>529</v>
      </c>
      <c r="C288" t="s">
        <v>358</v>
      </c>
      <c r="D288" s="2">
        <v>39906</v>
      </c>
      <c r="E288">
        <v>3.5099119999999999</v>
      </c>
      <c r="F288" s="2">
        <v>40011</v>
      </c>
      <c r="G288">
        <v>4.4283539999999997</v>
      </c>
      <c r="H288" s="3">
        <v>0.26169999999999999</v>
      </c>
      <c r="I288">
        <v>9007.61</v>
      </c>
      <c r="J288" s="3">
        <v>0.25940000000000002</v>
      </c>
      <c r="K288">
        <v>9893</v>
      </c>
      <c r="P288" s="2"/>
      <c r="R288" s="2"/>
      <c r="T288" s="3"/>
      <c r="V288" s="3"/>
      <c r="AB288" s="3"/>
      <c r="AC288" s="3"/>
      <c r="AD288" s="3"/>
    </row>
    <row r="289" spans="1:30" x14ac:dyDescent="0.25">
      <c r="A289" t="s">
        <v>287</v>
      </c>
      <c r="B289" t="s">
        <v>508</v>
      </c>
      <c r="C289" t="s">
        <v>358</v>
      </c>
      <c r="D289" s="2">
        <v>39906</v>
      </c>
      <c r="E289">
        <v>1.2832520000000001</v>
      </c>
      <c r="F289" s="2">
        <v>40011</v>
      </c>
      <c r="G289">
        <v>1.518454</v>
      </c>
      <c r="H289" s="3">
        <v>0.18329999999999999</v>
      </c>
      <c r="I289">
        <v>6290.61</v>
      </c>
      <c r="J289" s="3">
        <v>0.18110000000000001</v>
      </c>
      <c r="K289">
        <v>27068</v>
      </c>
      <c r="P289" s="2"/>
      <c r="R289" s="2"/>
      <c r="T289" s="3"/>
      <c r="V289" s="3"/>
      <c r="AB289" s="3"/>
      <c r="AC289" s="3"/>
      <c r="AD289" s="3"/>
    </row>
    <row r="290" spans="1:30" x14ac:dyDescent="0.25">
      <c r="A290" t="s">
        <v>300</v>
      </c>
      <c r="B290" t="s">
        <v>530</v>
      </c>
      <c r="C290" t="s">
        <v>358</v>
      </c>
      <c r="D290" s="2">
        <v>39912</v>
      </c>
      <c r="E290">
        <v>1.9159870000000001</v>
      </c>
      <c r="F290" s="2">
        <v>40000</v>
      </c>
      <c r="G290">
        <v>2.6311710000000001</v>
      </c>
      <c r="H290" s="3">
        <v>0.37330000000000002</v>
      </c>
      <c r="I290">
        <v>13367.08</v>
      </c>
      <c r="J290" s="3">
        <v>0.37090000000000001</v>
      </c>
      <c r="K290">
        <v>18810</v>
      </c>
      <c r="P290" s="2"/>
      <c r="R290" s="2"/>
      <c r="T290" s="3"/>
      <c r="V290" s="3"/>
      <c r="AB290" s="3"/>
      <c r="AC290" s="3"/>
      <c r="AD290" s="3"/>
    </row>
    <row r="291" spans="1:30" x14ac:dyDescent="0.25">
      <c r="A291" t="s">
        <v>301</v>
      </c>
      <c r="B291" t="s">
        <v>446</v>
      </c>
      <c r="C291" t="s">
        <v>358</v>
      </c>
      <c r="D291" s="2">
        <v>38961</v>
      </c>
      <c r="E291">
        <v>3.7225389999999998</v>
      </c>
      <c r="F291" s="2">
        <v>39780</v>
      </c>
      <c r="G291">
        <v>4.0326940000000002</v>
      </c>
      <c r="H291" s="3">
        <v>8.3299999999999999E-2</v>
      </c>
      <c r="I291">
        <v>2177.2800000000002</v>
      </c>
      <c r="J291" s="3">
        <v>8.1199999999999994E-2</v>
      </c>
      <c r="K291">
        <v>7200</v>
      </c>
      <c r="P291" s="2"/>
      <c r="R291" s="2"/>
      <c r="T291" s="3"/>
      <c r="V291" s="3"/>
      <c r="AB291" s="3"/>
      <c r="AC291" s="3"/>
      <c r="AD291" s="3"/>
    </row>
    <row r="292" spans="1:30" x14ac:dyDescent="0.25">
      <c r="A292" t="s">
        <v>126</v>
      </c>
      <c r="B292" t="s">
        <v>403</v>
      </c>
      <c r="C292" t="s">
        <v>358</v>
      </c>
      <c r="D292" s="2">
        <v>39570</v>
      </c>
      <c r="E292">
        <v>4.6974150000000003</v>
      </c>
      <c r="F292" s="2">
        <v>39710</v>
      </c>
      <c r="G292">
        <v>7.688472</v>
      </c>
      <c r="H292" s="3">
        <v>0.63670000000000004</v>
      </c>
      <c r="I292">
        <v>21845.57</v>
      </c>
      <c r="J292" s="3">
        <v>0.6341</v>
      </c>
      <c r="K292">
        <v>7334</v>
      </c>
      <c r="P292" s="2"/>
      <c r="R292" s="2"/>
      <c r="T292" s="3"/>
      <c r="V292" s="3"/>
      <c r="AB292" s="3"/>
      <c r="AC292" s="3"/>
      <c r="AD292" s="3"/>
    </row>
    <row r="293" spans="1:30" x14ac:dyDescent="0.25">
      <c r="A293" t="s">
        <v>127</v>
      </c>
      <c r="B293" t="s">
        <v>404</v>
      </c>
      <c r="C293" t="s">
        <v>358</v>
      </c>
      <c r="D293" s="2">
        <v>39570</v>
      </c>
      <c r="E293">
        <v>4.0074209999999999</v>
      </c>
      <c r="F293" s="2">
        <v>39661</v>
      </c>
      <c r="G293">
        <v>3.500467</v>
      </c>
      <c r="H293" s="3">
        <v>-0.1265</v>
      </c>
      <c r="I293">
        <v>-4425.3999999999996</v>
      </c>
      <c r="J293" s="3">
        <v>-0.12839999999999999</v>
      </c>
      <c r="K293">
        <v>8602</v>
      </c>
      <c r="P293" s="2"/>
      <c r="R293" s="2"/>
      <c r="T293" s="3"/>
      <c r="V293" s="3"/>
      <c r="AB293" s="3"/>
      <c r="AC293" s="3"/>
      <c r="AD293" s="3"/>
    </row>
    <row r="294" spans="1:30" x14ac:dyDescent="0.25">
      <c r="A294" t="s">
        <v>157</v>
      </c>
      <c r="B294" t="s">
        <v>448</v>
      </c>
      <c r="C294" t="s">
        <v>358</v>
      </c>
      <c r="D294" s="2">
        <v>39570</v>
      </c>
      <c r="E294">
        <v>8.2223509999999997</v>
      </c>
      <c r="F294" s="2">
        <v>39647</v>
      </c>
      <c r="G294">
        <v>9.5952660000000005</v>
      </c>
      <c r="H294" s="3">
        <v>0.16700000000000001</v>
      </c>
      <c r="I294">
        <v>5676.52</v>
      </c>
      <c r="J294" s="3">
        <v>0.1648</v>
      </c>
      <c r="K294">
        <v>4189</v>
      </c>
      <c r="P294" s="2"/>
      <c r="R294" s="2"/>
      <c r="T294" s="3"/>
      <c r="V294" s="3"/>
      <c r="AB294" s="3"/>
      <c r="AC294" s="3"/>
      <c r="AD294" s="3"/>
    </row>
    <row r="295" spans="1:30" x14ac:dyDescent="0.25">
      <c r="A295" t="s">
        <v>117</v>
      </c>
      <c r="B295" t="s">
        <v>391</v>
      </c>
      <c r="C295" t="s">
        <v>358</v>
      </c>
      <c r="D295" s="2">
        <v>39570</v>
      </c>
      <c r="E295">
        <v>24.93937</v>
      </c>
      <c r="F295" s="2">
        <v>39647</v>
      </c>
      <c r="G295">
        <v>25.104810000000001</v>
      </c>
      <c r="H295" s="3">
        <v>6.6E-3</v>
      </c>
      <c r="I295">
        <v>159.36000000000001</v>
      </c>
      <c r="J295" s="3">
        <v>4.5999999999999999E-3</v>
      </c>
      <c r="K295">
        <v>1381</v>
      </c>
      <c r="P295" s="2"/>
      <c r="R295" s="2"/>
      <c r="T295" s="3"/>
      <c r="V295" s="3"/>
      <c r="AB295" s="3"/>
      <c r="AC295" s="3"/>
      <c r="AD295" s="3"/>
    </row>
    <row r="296" spans="1:30" x14ac:dyDescent="0.25">
      <c r="A296" t="s">
        <v>273</v>
      </c>
      <c r="B296" t="s">
        <v>483</v>
      </c>
      <c r="C296" t="s">
        <v>358</v>
      </c>
      <c r="D296" s="2">
        <v>39570</v>
      </c>
      <c r="E296">
        <v>7.2202840000000004</v>
      </c>
      <c r="F296" s="2">
        <v>39647</v>
      </c>
      <c r="G296">
        <v>7.4186909999999999</v>
      </c>
      <c r="H296" s="3">
        <v>2.75E-2</v>
      </c>
      <c r="I296">
        <v>877.31</v>
      </c>
      <c r="J296" s="3">
        <v>2.5499999999999998E-2</v>
      </c>
      <c r="K296">
        <v>4774</v>
      </c>
      <c r="P296" s="2"/>
      <c r="R296" s="2"/>
      <c r="T296" s="3"/>
      <c r="V296" s="3"/>
      <c r="AB296" s="3"/>
      <c r="AC296" s="3"/>
      <c r="AD296" s="3"/>
    </row>
    <row r="297" spans="1:30" x14ac:dyDescent="0.25">
      <c r="A297" t="s">
        <v>194</v>
      </c>
      <c r="B297" t="s">
        <v>531</v>
      </c>
      <c r="C297" t="s">
        <v>358</v>
      </c>
      <c r="D297" s="2">
        <v>39605</v>
      </c>
      <c r="E297">
        <v>7.1761819999999998</v>
      </c>
      <c r="F297" s="2">
        <v>39640</v>
      </c>
      <c r="G297">
        <v>6.3922290000000004</v>
      </c>
      <c r="H297" s="3">
        <v>-0.10920000000000001</v>
      </c>
      <c r="I297">
        <v>-4230.05</v>
      </c>
      <c r="J297" s="3">
        <v>-0.1111</v>
      </c>
      <c r="K297">
        <v>5304</v>
      </c>
      <c r="P297" s="2"/>
      <c r="R297" s="2"/>
      <c r="T297" s="3"/>
      <c r="V297" s="3"/>
      <c r="AB297" s="3"/>
      <c r="AC297" s="3"/>
      <c r="AD297" s="3"/>
    </row>
    <row r="298" spans="1:30" x14ac:dyDescent="0.25">
      <c r="A298" t="s">
        <v>188</v>
      </c>
      <c r="B298" t="s">
        <v>518</v>
      </c>
      <c r="C298" t="s">
        <v>358</v>
      </c>
      <c r="D298" s="2">
        <v>39570</v>
      </c>
      <c r="E298">
        <v>15.67731</v>
      </c>
      <c r="F298" s="2">
        <v>39640</v>
      </c>
      <c r="G298">
        <v>14.09637</v>
      </c>
      <c r="H298" s="3">
        <v>-0.1008</v>
      </c>
      <c r="I298">
        <v>-3537.13</v>
      </c>
      <c r="J298" s="3">
        <v>-0.1027</v>
      </c>
      <c r="K298">
        <v>2196</v>
      </c>
      <c r="P298" s="2"/>
      <c r="R298" s="2"/>
      <c r="T298" s="3"/>
      <c r="V298" s="3"/>
      <c r="AB298" s="3"/>
      <c r="AC298" s="3"/>
      <c r="AD298" s="3"/>
    </row>
    <row r="299" spans="1:30" x14ac:dyDescent="0.25">
      <c r="A299" t="s">
        <v>128</v>
      </c>
      <c r="B299" t="s">
        <v>405</v>
      </c>
      <c r="C299" t="s">
        <v>358</v>
      </c>
      <c r="D299" s="2">
        <v>39570</v>
      </c>
      <c r="E299">
        <v>13.15826</v>
      </c>
      <c r="F299" s="2">
        <v>39640</v>
      </c>
      <c r="G299">
        <v>10.96147</v>
      </c>
      <c r="H299" s="3">
        <v>-0.16700000000000001</v>
      </c>
      <c r="I299">
        <v>-5814.34</v>
      </c>
      <c r="J299" s="3">
        <v>-0.16880000000000001</v>
      </c>
      <c r="K299">
        <v>2618</v>
      </c>
      <c r="P299" s="2"/>
      <c r="R299" s="2"/>
      <c r="T299" s="3"/>
      <c r="V299" s="3"/>
      <c r="AB299" s="3"/>
      <c r="AC299" s="3"/>
      <c r="AD299" s="3"/>
    </row>
    <row r="300" spans="1:30" x14ac:dyDescent="0.25">
      <c r="A300" t="s">
        <v>131</v>
      </c>
      <c r="B300" t="s">
        <v>408</v>
      </c>
      <c r="C300" t="s">
        <v>358</v>
      </c>
      <c r="D300" s="2">
        <v>39339</v>
      </c>
      <c r="E300">
        <v>18.444199999999999</v>
      </c>
      <c r="F300" s="2">
        <v>39640</v>
      </c>
      <c r="G300">
        <v>23.905419999999999</v>
      </c>
      <c r="H300" s="3">
        <v>0.29609999999999997</v>
      </c>
      <c r="I300">
        <v>10176.64</v>
      </c>
      <c r="J300" s="3">
        <v>0.29380000000000001</v>
      </c>
      <c r="K300">
        <v>1878</v>
      </c>
      <c r="P300" s="2"/>
      <c r="R300" s="2"/>
      <c r="T300" s="3"/>
      <c r="V300" s="3"/>
      <c r="AB300" s="3"/>
      <c r="AC300" s="3"/>
      <c r="AD300" s="3"/>
    </row>
    <row r="301" spans="1:30" x14ac:dyDescent="0.25">
      <c r="A301" t="s">
        <v>195</v>
      </c>
      <c r="B301" t="s">
        <v>532</v>
      </c>
      <c r="C301" t="s">
        <v>358</v>
      </c>
      <c r="D301" s="2">
        <v>39570</v>
      </c>
      <c r="E301">
        <v>30.91817</v>
      </c>
      <c r="F301" s="2">
        <v>39633</v>
      </c>
      <c r="G301">
        <v>27.128689999999999</v>
      </c>
      <c r="H301" s="3">
        <v>-0.1226</v>
      </c>
      <c r="I301">
        <v>-4286.1400000000003</v>
      </c>
      <c r="J301" s="3">
        <v>-0.1244</v>
      </c>
      <c r="K301">
        <v>1114</v>
      </c>
      <c r="P301" s="2"/>
      <c r="R301" s="2"/>
      <c r="T301" s="3"/>
      <c r="V301" s="3"/>
      <c r="AB301" s="3"/>
      <c r="AC301" s="3"/>
      <c r="AD301" s="3"/>
    </row>
    <row r="302" spans="1:30" x14ac:dyDescent="0.25">
      <c r="A302" t="s">
        <v>302</v>
      </c>
      <c r="B302" t="s">
        <v>533</v>
      </c>
      <c r="C302" t="s">
        <v>358</v>
      </c>
      <c r="D302" s="2">
        <v>39570</v>
      </c>
      <c r="E302">
        <v>15.36666</v>
      </c>
      <c r="F302" s="2">
        <v>39633</v>
      </c>
      <c r="G302">
        <v>16.944859999999998</v>
      </c>
      <c r="H302" s="3">
        <v>0.1027</v>
      </c>
      <c r="I302">
        <v>3467.43</v>
      </c>
      <c r="J302" s="3">
        <v>0.10059999999999999</v>
      </c>
      <c r="K302">
        <v>2243</v>
      </c>
      <c r="P302" s="2"/>
      <c r="R302" s="2"/>
      <c r="T302" s="3"/>
      <c r="V302" s="3"/>
      <c r="AB302" s="3"/>
      <c r="AC302" s="3"/>
      <c r="AD302" s="3"/>
    </row>
    <row r="303" spans="1:30" x14ac:dyDescent="0.25">
      <c r="A303" t="s">
        <v>303</v>
      </c>
      <c r="B303" t="s">
        <v>534</v>
      </c>
      <c r="C303" t="s">
        <v>358</v>
      </c>
      <c r="D303" s="2">
        <v>39570</v>
      </c>
      <c r="E303">
        <v>2.6437179999999998</v>
      </c>
      <c r="F303" s="2">
        <v>39626</v>
      </c>
      <c r="G303">
        <v>2.161279</v>
      </c>
      <c r="H303" s="3">
        <v>-0.1825</v>
      </c>
      <c r="I303">
        <v>-6345.38</v>
      </c>
      <c r="J303" s="3">
        <v>-0.18429999999999999</v>
      </c>
      <c r="K303">
        <v>13023</v>
      </c>
      <c r="P303" s="2"/>
      <c r="R303" s="2"/>
      <c r="T303" s="3"/>
      <c r="V303" s="3"/>
      <c r="AB303" s="3"/>
      <c r="AC303" s="3"/>
      <c r="AD303" s="3"/>
    </row>
    <row r="304" spans="1:30" x14ac:dyDescent="0.25">
      <c r="A304" t="s">
        <v>304</v>
      </c>
      <c r="B304" t="s">
        <v>535</v>
      </c>
      <c r="C304" t="s">
        <v>358</v>
      </c>
      <c r="D304" s="2">
        <v>39570</v>
      </c>
      <c r="E304">
        <v>9.2161349999999995</v>
      </c>
      <c r="F304" s="2">
        <v>39619</v>
      </c>
      <c r="G304">
        <v>8.8173589999999997</v>
      </c>
      <c r="H304" s="3">
        <v>-4.3299999999999998E-2</v>
      </c>
      <c r="I304">
        <v>-1557.22</v>
      </c>
      <c r="J304" s="3">
        <v>-4.5199999999999997E-2</v>
      </c>
      <c r="K304">
        <v>3736</v>
      </c>
      <c r="P304" s="2"/>
      <c r="R304" s="2"/>
      <c r="T304" s="3"/>
      <c r="V304" s="3"/>
      <c r="AB304" s="3"/>
      <c r="AC304" s="3"/>
      <c r="AD304" s="3"/>
    </row>
    <row r="305" spans="1:30" x14ac:dyDescent="0.25">
      <c r="A305" t="s">
        <v>305</v>
      </c>
      <c r="B305" t="s">
        <v>536</v>
      </c>
      <c r="C305" t="s">
        <v>358</v>
      </c>
      <c r="D305" s="2">
        <v>39577</v>
      </c>
      <c r="E305">
        <v>13.67667</v>
      </c>
      <c r="F305" s="2">
        <v>39619</v>
      </c>
      <c r="G305">
        <v>15.383100000000001</v>
      </c>
      <c r="H305" s="3">
        <v>0.12479999999999999</v>
      </c>
      <c r="I305">
        <v>4445</v>
      </c>
      <c r="J305" s="3">
        <v>0.1226</v>
      </c>
      <c r="K305">
        <v>2650</v>
      </c>
      <c r="P305" s="2"/>
      <c r="R305" s="2"/>
      <c r="T305" s="3"/>
      <c r="V305" s="3"/>
      <c r="AB305" s="3"/>
      <c r="AC305" s="3"/>
      <c r="AD305" s="3"/>
    </row>
    <row r="306" spans="1:30" x14ac:dyDescent="0.25">
      <c r="A306" t="s">
        <v>306</v>
      </c>
      <c r="B306" t="s">
        <v>404</v>
      </c>
      <c r="C306" t="s">
        <v>358</v>
      </c>
      <c r="D306" s="2">
        <v>39570</v>
      </c>
      <c r="E306">
        <v>3.1</v>
      </c>
      <c r="F306" s="2">
        <v>39601</v>
      </c>
      <c r="G306">
        <v>3.17</v>
      </c>
      <c r="H306" s="3">
        <v>2.2599999999999999E-2</v>
      </c>
      <c r="I306">
        <v>708.49</v>
      </c>
      <c r="J306" s="3">
        <v>2.06E-2</v>
      </c>
      <c r="K306">
        <v>11117</v>
      </c>
      <c r="P306" s="2"/>
      <c r="R306" s="2"/>
      <c r="T306" s="3"/>
      <c r="V306" s="3"/>
      <c r="AB306" s="3"/>
      <c r="AC306" s="3"/>
      <c r="AD306" s="3"/>
    </row>
    <row r="307" spans="1:30" x14ac:dyDescent="0.25">
      <c r="A307" t="s">
        <v>307</v>
      </c>
      <c r="B307" t="s">
        <v>537</v>
      </c>
      <c r="C307" t="s">
        <v>358</v>
      </c>
      <c r="D307" s="2">
        <v>38961</v>
      </c>
      <c r="E307">
        <v>0.47512219999999999</v>
      </c>
      <c r="F307" s="2">
        <v>39527</v>
      </c>
      <c r="G307">
        <v>0.50376240000000005</v>
      </c>
      <c r="H307" s="3">
        <v>6.0299999999999999E-2</v>
      </c>
      <c r="I307">
        <v>1560.71</v>
      </c>
      <c r="J307" s="3">
        <v>5.8200000000000002E-2</v>
      </c>
      <c r="K307">
        <v>56422</v>
      </c>
      <c r="P307" s="2"/>
      <c r="R307" s="2"/>
      <c r="T307" s="3"/>
      <c r="V307" s="3"/>
      <c r="AB307" s="3"/>
      <c r="AC307" s="3"/>
      <c r="AD307" s="3"/>
    </row>
    <row r="308" spans="1:30" x14ac:dyDescent="0.25">
      <c r="A308" t="s">
        <v>289</v>
      </c>
      <c r="B308" t="s">
        <v>510</v>
      </c>
      <c r="C308" t="s">
        <v>358</v>
      </c>
      <c r="D308" s="2">
        <v>39339</v>
      </c>
      <c r="E308">
        <v>1.880223</v>
      </c>
      <c r="F308" s="2">
        <v>39514</v>
      </c>
      <c r="G308">
        <v>3.9023469999999998</v>
      </c>
      <c r="H308" s="3">
        <v>1.0754999999999999</v>
      </c>
      <c r="I308">
        <v>37159.17</v>
      </c>
      <c r="J308" s="3">
        <v>1.0724</v>
      </c>
      <c r="K308">
        <v>18429</v>
      </c>
      <c r="P308" s="2"/>
      <c r="R308" s="2"/>
      <c r="T308" s="3"/>
      <c r="V308" s="3"/>
      <c r="AB308" s="3"/>
      <c r="AC308" s="3"/>
      <c r="AD308" s="3"/>
    </row>
    <row r="309" spans="1:30" x14ac:dyDescent="0.25">
      <c r="A309" t="s">
        <v>196</v>
      </c>
      <c r="B309" t="s">
        <v>538</v>
      </c>
      <c r="C309" t="s">
        <v>358</v>
      </c>
      <c r="D309" s="2">
        <v>37596</v>
      </c>
      <c r="E309">
        <v>3.2122009999999999</v>
      </c>
      <c r="F309" s="2">
        <v>39514</v>
      </c>
      <c r="G309">
        <v>10.713329999999999</v>
      </c>
      <c r="H309" s="3">
        <v>2.3351999999999999</v>
      </c>
      <c r="I309">
        <v>21518.22</v>
      </c>
      <c r="J309" s="3">
        <v>2.3309000000000002</v>
      </c>
      <c r="K309">
        <v>2874</v>
      </c>
      <c r="P309" s="2"/>
      <c r="R309" s="2"/>
      <c r="T309" s="3"/>
      <c r="V309" s="3"/>
      <c r="AB309" s="3"/>
      <c r="AC309" s="3"/>
      <c r="AD309" s="3"/>
    </row>
    <row r="310" spans="1:30" x14ac:dyDescent="0.25">
      <c r="A310" t="s">
        <v>278</v>
      </c>
      <c r="B310" t="s">
        <v>489</v>
      </c>
      <c r="C310" t="s">
        <v>358</v>
      </c>
      <c r="D310" s="2">
        <v>36686</v>
      </c>
      <c r="E310">
        <v>0.36021720000000002</v>
      </c>
      <c r="F310" s="2">
        <v>39507</v>
      </c>
      <c r="G310">
        <v>0.88336230000000004</v>
      </c>
      <c r="H310" s="3">
        <v>1.4522999999999999</v>
      </c>
      <c r="I310">
        <v>9493.91</v>
      </c>
      <c r="J310" s="3">
        <v>1.4489000000000001</v>
      </c>
      <c r="K310">
        <v>18191</v>
      </c>
      <c r="P310" s="2"/>
      <c r="R310" s="2"/>
      <c r="T310" s="3"/>
      <c r="V310" s="3"/>
      <c r="AB310" s="3"/>
      <c r="AC310" s="3"/>
      <c r="AD310" s="3"/>
    </row>
    <row r="311" spans="1:30" x14ac:dyDescent="0.25">
      <c r="A311" t="s">
        <v>197</v>
      </c>
      <c r="B311" t="s">
        <v>539</v>
      </c>
      <c r="C311" t="s">
        <v>358</v>
      </c>
      <c r="D311" s="2">
        <v>39269</v>
      </c>
      <c r="E311">
        <v>9.3380860000000006</v>
      </c>
      <c r="F311" s="2">
        <v>39500</v>
      </c>
      <c r="G311">
        <v>7.333037</v>
      </c>
      <c r="H311" s="3">
        <v>-0.2147</v>
      </c>
      <c r="I311">
        <v>-7854.4</v>
      </c>
      <c r="J311" s="3">
        <v>-0.2165</v>
      </c>
      <c r="K311">
        <v>3885</v>
      </c>
      <c r="P311" s="2"/>
      <c r="R311" s="2"/>
      <c r="T311" s="3"/>
      <c r="V311" s="3"/>
      <c r="AB311" s="3"/>
      <c r="AC311" s="3"/>
      <c r="AD311" s="3"/>
    </row>
    <row r="312" spans="1:30" x14ac:dyDescent="0.25">
      <c r="A312" t="s">
        <v>198</v>
      </c>
      <c r="B312" t="s">
        <v>540</v>
      </c>
      <c r="C312" t="s">
        <v>358</v>
      </c>
      <c r="D312" s="2">
        <v>38513</v>
      </c>
      <c r="E312">
        <v>21.747260000000001</v>
      </c>
      <c r="F312" s="2">
        <v>39500</v>
      </c>
      <c r="G312">
        <v>37.845550000000003</v>
      </c>
      <c r="H312" s="3">
        <v>0.74019999999999997</v>
      </c>
      <c r="I312">
        <v>14098.01</v>
      </c>
      <c r="J312" s="3">
        <v>0.73750000000000004</v>
      </c>
      <c r="K312">
        <v>879</v>
      </c>
      <c r="P312" s="2"/>
      <c r="R312" s="2"/>
      <c r="T312" s="3"/>
      <c r="V312" s="3"/>
      <c r="AB312" s="3"/>
      <c r="AC312" s="3"/>
      <c r="AD312" s="3"/>
    </row>
    <row r="313" spans="1:30" x14ac:dyDescent="0.25">
      <c r="A313" t="s">
        <v>166</v>
      </c>
      <c r="B313" t="s">
        <v>462</v>
      </c>
      <c r="C313" t="s">
        <v>358</v>
      </c>
      <c r="D313" s="2">
        <v>39423</v>
      </c>
      <c r="E313">
        <v>12.1972</v>
      </c>
      <c r="F313" s="2">
        <v>39472</v>
      </c>
      <c r="G313">
        <v>9.8273949999999992</v>
      </c>
      <c r="H313" s="3">
        <v>-0.1943</v>
      </c>
      <c r="I313">
        <v>-7182.65</v>
      </c>
      <c r="J313" s="3">
        <v>-0.1961</v>
      </c>
      <c r="K313">
        <v>3003</v>
      </c>
      <c r="P313" s="2"/>
      <c r="R313" s="2"/>
      <c r="T313" s="3"/>
      <c r="V313" s="3"/>
      <c r="AB313" s="3"/>
      <c r="AC313" s="3"/>
      <c r="AD313" s="3"/>
    </row>
    <row r="314" spans="1:30" x14ac:dyDescent="0.25">
      <c r="A314" t="s">
        <v>308</v>
      </c>
      <c r="B314" t="s">
        <v>541</v>
      </c>
      <c r="C314" t="s">
        <v>358</v>
      </c>
      <c r="D314" s="2">
        <v>39332</v>
      </c>
      <c r="E314">
        <v>4.08</v>
      </c>
      <c r="F314" s="2">
        <v>39469</v>
      </c>
      <c r="G314">
        <v>4.92</v>
      </c>
      <c r="H314" s="3">
        <v>0.2059</v>
      </c>
      <c r="I314">
        <v>7065.16</v>
      </c>
      <c r="J314" s="3">
        <v>0.20369999999999999</v>
      </c>
      <c r="K314">
        <v>8502</v>
      </c>
      <c r="P314" s="2"/>
      <c r="R314" s="2"/>
      <c r="T314" s="3"/>
      <c r="V314" s="3"/>
      <c r="AB314" s="3"/>
      <c r="AC314" s="3"/>
      <c r="AD314" s="3"/>
    </row>
    <row r="315" spans="1:30" x14ac:dyDescent="0.25">
      <c r="A315" t="s">
        <v>199</v>
      </c>
      <c r="B315" t="s">
        <v>542</v>
      </c>
      <c r="C315" t="s">
        <v>358</v>
      </c>
      <c r="D315" s="2">
        <v>39423</v>
      </c>
      <c r="E315">
        <v>26.937740000000002</v>
      </c>
      <c r="F315" s="2">
        <v>39465</v>
      </c>
      <c r="G315">
        <v>22.700520000000001</v>
      </c>
      <c r="H315" s="3">
        <v>-0.1573</v>
      </c>
      <c r="I315">
        <v>-5830.13</v>
      </c>
      <c r="J315" s="3">
        <v>-0.15909999999999999</v>
      </c>
      <c r="K315">
        <v>1360</v>
      </c>
      <c r="P315" s="2"/>
      <c r="R315" s="2"/>
      <c r="T315" s="3"/>
      <c r="V315" s="3"/>
      <c r="AB315" s="3"/>
      <c r="AC315" s="3"/>
      <c r="AD315" s="3"/>
    </row>
    <row r="316" spans="1:30" x14ac:dyDescent="0.25">
      <c r="A316" t="s">
        <v>125</v>
      </c>
      <c r="B316" t="s">
        <v>401</v>
      </c>
      <c r="C316" t="s">
        <v>358</v>
      </c>
      <c r="D316" s="2">
        <v>39339</v>
      </c>
      <c r="E316">
        <v>5.587745</v>
      </c>
      <c r="F316" s="2">
        <v>39465</v>
      </c>
      <c r="G316">
        <v>5.3257519999999996</v>
      </c>
      <c r="H316" s="3">
        <v>-4.6899999999999997E-2</v>
      </c>
      <c r="I316">
        <v>-1692.57</v>
      </c>
      <c r="J316" s="3">
        <v>-4.8800000000000003E-2</v>
      </c>
      <c r="K316">
        <v>6202</v>
      </c>
      <c r="P316" s="2"/>
      <c r="R316" s="2"/>
      <c r="T316" s="3"/>
      <c r="V316" s="3"/>
      <c r="AB316" s="3"/>
      <c r="AC316" s="3"/>
      <c r="AD316" s="3"/>
    </row>
    <row r="317" spans="1:30" x14ac:dyDescent="0.25">
      <c r="A317" t="s">
        <v>145</v>
      </c>
      <c r="B317" t="s">
        <v>431</v>
      </c>
      <c r="C317" t="s">
        <v>358</v>
      </c>
      <c r="D317" s="2">
        <v>39332</v>
      </c>
      <c r="E317">
        <v>8.5608149999999998</v>
      </c>
      <c r="F317" s="2">
        <v>39465</v>
      </c>
      <c r="G317">
        <v>7.1070909999999996</v>
      </c>
      <c r="H317" s="3">
        <v>-0.16980000000000001</v>
      </c>
      <c r="I317">
        <v>-5951.02</v>
      </c>
      <c r="J317" s="3">
        <v>-0.1716</v>
      </c>
      <c r="K317">
        <v>4050</v>
      </c>
      <c r="P317" s="2"/>
      <c r="R317" s="2"/>
      <c r="T317" s="3"/>
      <c r="V317" s="3"/>
      <c r="AB317" s="3"/>
      <c r="AC317" s="3"/>
      <c r="AD317" s="3"/>
    </row>
    <row r="318" spans="1:30" x14ac:dyDescent="0.25">
      <c r="A318" t="s">
        <v>284</v>
      </c>
      <c r="B318" t="s">
        <v>502</v>
      </c>
      <c r="C318" t="s">
        <v>358</v>
      </c>
      <c r="D318" s="2">
        <v>36686</v>
      </c>
      <c r="E318">
        <v>1.0471950000000001</v>
      </c>
      <c r="F318" s="2">
        <v>39465</v>
      </c>
      <c r="G318">
        <v>2.4523130000000002</v>
      </c>
      <c r="H318" s="3">
        <v>1.3418000000000001</v>
      </c>
      <c r="I318">
        <v>8768.5300000000007</v>
      </c>
      <c r="J318" s="3">
        <v>1.3385</v>
      </c>
      <c r="K318">
        <v>6256</v>
      </c>
      <c r="P318" s="2"/>
      <c r="R318" s="2"/>
      <c r="T318" s="3"/>
      <c r="V318" s="3"/>
      <c r="AB318" s="3"/>
      <c r="AC318" s="3"/>
      <c r="AD318" s="3"/>
    </row>
    <row r="319" spans="1:30" x14ac:dyDescent="0.25">
      <c r="A319" t="s">
        <v>108</v>
      </c>
      <c r="B319" t="s">
        <v>381</v>
      </c>
      <c r="C319" t="s">
        <v>358</v>
      </c>
      <c r="D319" s="2">
        <v>39332</v>
      </c>
      <c r="E319">
        <v>7.1204539999999996</v>
      </c>
      <c r="F319" s="2">
        <v>39437</v>
      </c>
      <c r="G319">
        <v>6.2273009999999998</v>
      </c>
      <c r="H319" s="3">
        <v>-0.12540000000000001</v>
      </c>
      <c r="I319">
        <v>-4414.66</v>
      </c>
      <c r="J319" s="3">
        <v>-0.1273</v>
      </c>
      <c r="K319">
        <v>4870</v>
      </c>
      <c r="P319" s="2"/>
      <c r="R319" s="2"/>
      <c r="T319" s="3"/>
      <c r="V319" s="3"/>
      <c r="AB319" s="3"/>
      <c r="AC319" s="3"/>
      <c r="AD319" s="3"/>
    </row>
    <row r="320" spans="1:30" x14ac:dyDescent="0.25">
      <c r="A320" t="s">
        <v>200</v>
      </c>
      <c r="B320" t="s">
        <v>543</v>
      </c>
      <c r="C320" t="s">
        <v>358</v>
      </c>
      <c r="D320" s="2">
        <v>36630</v>
      </c>
      <c r="E320">
        <v>1.888166</v>
      </c>
      <c r="F320" s="2">
        <v>39437</v>
      </c>
      <c r="G320">
        <v>5.11144</v>
      </c>
      <c r="H320" s="3">
        <v>1.7071000000000001</v>
      </c>
      <c r="I320">
        <v>11437.07</v>
      </c>
      <c r="J320" s="3">
        <v>1.7034</v>
      </c>
      <c r="K320">
        <v>3556</v>
      </c>
      <c r="P320" s="2"/>
      <c r="R320" s="2"/>
      <c r="T320" s="3"/>
      <c r="V320" s="3"/>
      <c r="AB320" s="3"/>
      <c r="AC320" s="3"/>
      <c r="AD320" s="3"/>
    </row>
    <row r="321" spans="1:30" x14ac:dyDescent="0.25">
      <c r="A321" t="s">
        <v>309</v>
      </c>
      <c r="B321" t="s">
        <v>544</v>
      </c>
      <c r="C321" t="s">
        <v>358</v>
      </c>
      <c r="D321" s="2">
        <v>39339</v>
      </c>
      <c r="E321">
        <v>26.579460000000001</v>
      </c>
      <c r="F321" s="2">
        <v>39416</v>
      </c>
      <c r="G321">
        <v>32.484740000000002</v>
      </c>
      <c r="H321" s="3">
        <v>0.22220000000000001</v>
      </c>
      <c r="I321">
        <v>7617.62</v>
      </c>
      <c r="J321" s="3">
        <v>0.22</v>
      </c>
      <c r="K321">
        <v>1303</v>
      </c>
      <c r="P321" s="2"/>
      <c r="R321" s="2"/>
      <c r="T321" s="3"/>
      <c r="V321" s="3"/>
      <c r="AB321" s="3"/>
      <c r="AC321" s="3"/>
      <c r="AD321" s="3"/>
    </row>
    <row r="322" spans="1:30" x14ac:dyDescent="0.25">
      <c r="A322" t="s">
        <v>199</v>
      </c>
      <c r="B322" t="s">
        <v>542</v>
      </c>
      <c r="C322" t="s">
        <v>358</v>
      </c>
      <c r="D322" s="2">
        <v>39332</v>
      </c>
      <c r="E322">
        <v>20.55217</v>
      </c>
      <c r="F322" s="2">
        <v>39416</v>
      </c>
      <c r="G322">
        <v>23.103300000000001</v>
      </c>
      <c r="H322" s="3">
        <v>0.1241</v>
      </c>
      <c r="I322">
        <v>4230.1099999999997</v>
      </c>
      <c r="J322" s="3">
        <v>0.122</v>
      </c>
      <c r="K322">
        <v>1687</v>
      </c>
      <c r="P322" s="2"/>
      <c r="R322" s="2"/>
      <c r="T322" s="3"/>
      <c r="V322" s="3"/>
      <c r="AB322" s="3"/>
      <c r="AC322" s="3"/>
      <c r="AD322" s="3"/>
    </row>
    <row r="323" spans="1:30" x14ac:dyDescent="0.25">
      <c r="A323" t="s">
        <v>310</v>
      </c>
      <c r="B323" t="s">
        <v>545</v>
      </c>
      <c r="C323" t="s">
        <v>358</v>
      </c>
      <c r="D323" s="2">
        <v>39101</v>
      </c>
      <c r="E323">
        <v>2.5567190000000002</v>
      </c>
      <c r="F323" s="2">
        <v>39318</v>
      </c>
      <c r="G323">
        <v>2.5718320000000001</v>
      </c>
      <c r="H323" s="3">
        <v>5.8999999999999999E-3</v>
      </c>
      <c r="I323">
        <v>124.54</v>
      </c>
      <c r="J323" s="3">
        <v>3.8999999999999998E-3</v>
      </c>
      <c r="K323">
        <v>12473</v>
      </c>
      <c r="P323" s="2"/>
      <c r="R323" s="2"/>
      <c r="T323" s="3"/>
      <c r="V323" s="3"/>
      <c r="AB323" s="3"/>
      <c r="AC323" s="3"/>
      <c r="AD323" s="3"/>
    </row>
    <row r="324" spans="1:30" x14ac:dyDescent="0.25">
      <c r="A324" t="s">
        <v>311</v>
      </c>
      <c r="B324" t="s">
        <v>546</v>
      </c>
      <c r="C324" t="s">
        <v>358</v>
      </c>
      <c r="D324" s="2">
        <v>38506</v>
      </c>
      <c r="E324">
        <v>1.5318890000000001</v>
      </c>
      <c r="F324" s="2">
        <v>39318</v>
      </c>
      <c r="G324">
        <v>2.0237250000000002</v>
      </c>
      <c r="H324" s="3">
        <v>0.3211</v>
      </c>
      <c r="I324">
        <v>5967.76</v>
      </c>
      <c r="J324" s="3">
        <v>0.31869999999999998</v>
      </c>
      <c r="K324">
        <v>12222</v>
      </c>
      <c r="P324" s="2"/>
      <c r="R324" s="2"/>
      <c r="T324" s="3"/>
      <c r="V324" s="3"/>
      <c r="AB324" s="3"/>
      <c r="AC324" s="3"/>
      <c r="AD324" s="3"/>
    </row>
    <row r="325" spans="1:30" x14ac:dyDescent="0.25">
      <c r="A325" t="s">
        <v>312</v>
      </c>
      <c r="B325" t="s">
        <v>547</v>
      </c>
      <c r="C325" t="s">
        <v>358</v>
      </c>
      <c r="D325" s="2">
        <v>36756</v>
      </c>
      <c r="E325">
        <v>3.6838880000000001</v>
      </c>
      <c r="F325" s="2">
        <v>39318</v>
      </c>
      <c r="G325">
        <v>14.607200000000001</v>
      </c>
      <c r="H325" s="3">
        <v>2.9651999999999998</v>
      </c>
      <c r="I325">
        <v>20599.580000000002</v>
      </c>
      <c r="J325" s="3">
        <v>2.9601999999999999</v>
      </c>
      <c r="K325">
        <v>1889</v>
      </c>
      <c r="P325" s="2"/>
      <c r="R325" s="2"/>
      <c r="T325" s="3"/>
      <c r="V325" s="3"/>
      <c r="AB325" s="3"/>
      <c r="AC325" s="3"/>
      <c r="AD325" s="3"/>
    </row>
    <row r="326" spans="1:30" x14ac:dyDescent="0.25">
      <c r="A326" t="s">
        <v>201</v>
      </c>
      <c r="B326" t="s">
        <v>548</v>
      </c>
      <c r="C326" t="s">
        <v>358</v>
      </c>
      <c r="D326" s="2">
        <v>39045</v>
      </c>
      <c r="E326">
        <v>4.7542200000000001</v>
      </c>
      <c r="F326" s="2">
        <v>39304</v>
      </c>
      <c r="G326">
        <v>6.5682419999999997</v>
      </c>
      <c r="H326" s="3">
        <v>0.38159999999999999</v>
      </c>
      <c r="I326">
        <v>11690.51</v>
      </c>
      <c r="J326" s="3">
        <v>0.37919999999999998</v>
      </c>
      <c r="K326">
        <v>6485</v>
      </c>
      <c r="P326" s="2"/>
      <c r="R326" s="2"/>
      <c r="T326" s="3"/>
      <c r="V326" s="3"/>
      <c r="AB326" s="3"/>
      <c r="AC326" s="3"/>
      <c r="AD326" s="3"/>
    </row>
    <row r="327" spans="1:30" x14ac:dyDescent="0.25">
      <c r="A327" t="s">
        <v>313</v>
      </c>
      <c r="B327" t="s">
        <v>549</v>
      </c>
      <c r="C327" t="s">
        <v>358</v>
      </c>
      <c r="D327" s="2">
        <v>38996</v>
      </c>
      <c r="E327">
        <v>3.301577</v>
      </c>
      <c r="F327" s="2">
        <v>39304</v>
      </c>
      <c r="G327">
        <v>2.608511</v>
      </c>
      <c r="H327" s="3">
        <v>-0.2099</v>
      </c>
      <c r="I327">
        <v>-6157.98</v>
      </c>
      <c r="J327" s="3">
        <v>-0.2117</v>
      </c>
      <c r="K327">
        <v>8810</v>
      </c>
      <c r="P327" s="2"/>
      <c r="R327" s="2"/>
      <c r="T327" s="3"/>
      <c r="V327" s="3"/>
      <c r="AB327" s="3"/>
      <c r="AC327" s="3"/>
      <c r="AD327" s="3"/>
    </row>
    <row r="328" spans="1:30" x14ac:dyDescent="0.25">
      <c r="A328" t="s">
        <v>314</v>
      </c>
      <c r="B328" t="s">
        <v>550</v>
      </c>
      <c r="C328" t="s">
        <v>358</v>
      </c>
      <c r="D328" s="2">
        <v>38954</v>
      </c>
      <c r="E328">
        <v>1.2862739999999999</v>
      </c>
      <c r="F328" s="2">
        <v>39297</v>
      </c>
      <c r="G328">
        <v>2.915343</v>
      </c>
      <c r="H328" s="3">
        <v>1.2665</v>
      </c>
      <c r="I328">
        <v>33912.61</v>
      </c>
      <c r="J328" s="3">
        <v>1.2632000000000001</v>
      </c>
      <c r="K328">
        <v>20871</v>
      </c>
      <c r="P328" s="2"/>
      <c r="R328" s="2"/>
      <c r="T328" s="3"/>
      <c r="V328" s="3"/>
      <c r="AB328" s="3"/>
      <c r="AC328" s="3"/>
      <c r="AD328" s="3"/>
    </row>
    <row r="329" spans="1:30" x14ac:dyDescent="0.25">
      <c r="A329" t="s">
        <v>82</v>
      </c>
      <c r="B329" t="s">
        <v>363</v>
      </c>
      <c r="C329" t="s">
        <v>358</v>
      </c>
      <c r="D329" s="2">
        <v>38226</v>
      </c>
      <c r="E329">
        <v>1.946564</v>
      </c>
      <c r="F329" s="2">
        <v>39297</v>
      </c>
      <c r="G329">
        <v>5.8876939999999998</v>
      </c>
      <c r="H329" s="3">
        <v>2.0247000000000002</v>
      </c>
      <c r="I329">
        <v>28288.26</v>
      </c>
      <c r="J329" s="3">
        <v>2.0206</v>
      </c>
      <c r="K329">
        <v>7192</v>
      </c>
      <c r="P329" s="2"/>
      <c r="R329" s="2"/>
      <c r="T329" s="3"/>
      <c r="V329" s="3"/>
      <c r="AB329" s="3"/>
      <c r="AC329" s="3"/>
      <c r="AD329" s="3"/>
    </row>
    <row r="330" spans="1:30" x14ac:dyDescent="0.25">
      <c r="A330" t="s">
        <v>263</v>
      </c>
      <c r="B330" t="s">
        <v>465</v>
      </c>
      <c r="C330" t="s">
        <v>358</v>
      </c>
      <c r="D330" s="2">
        <v>38961</v>
      </c>
      <c r="E330">
        <v>1.2317530000000001</v>
      </c>
      <c r="F330" s="2">
        <v>39297</v>
      </c>
      <c r="G330">
        <v>2.0048979999999998</v>
      </c>
      <c r="H330" s="3">
        <v>0.62770000000000004</v>
      </c>
      <c r="I330">
        <v>16751.669999999998</v>
      </c>
      <c r="J330" s="3">
        <v>0.62509999999999999</v>
      </c>
      <c r="K330">
        <v>21758</v>
      </c>
      <c r="P330" s="2"/>
      <c r="R330" s="2"/>
      <c r="T330" s="3"/>
      <c r="V330" s="3"/>
      <c r="AB330" s="3"/>
      <c r="AC330" s="3"/>
      <c r="AD330" s="3"/>
    </row>
    <row r="331" spans="1:30" x14ac:dyDescent="0.25">
      <c r="A331" t="s">
        <v>315</v>
      </c>
      <c r="B331" t="s">
        <v>551</v>
      </c>
      <c r="C331" t="s">
        <v>358</v>
      </c>
      <c r="D331" s="2">
        <v>39143</v>
      </c>
      <c r="E331">
        <v>6.15</v>
      </c>
      <c r="F331" s="2">
        <v>39269</v>
      </c>
      <c r="G331">
        <v>4.3600000000000003</v>
      </c>
      <c r="H331" s="3">
        <v>-0.29110000000000003</v>
      </c>
      <c r="I331">
        <v>-10212.49</v>
      </c>
      <c r="J331" s="3">
        <v>-0.2928</v>
      </c>
      <c r="K331">
        <v>5672</v>
      </c>
      <c r="P331" s="2"/>
      <c r="R331" s="2"/>
      <c r="T331" s="3"/>
      <c r="V331" s="3"/>
      <c r="AB331" s="3"/>
      <c r="AC331" s="3"/>
      <c r="AD331" s="3"/>
    </row>
    <row r="332" spans="1:30" x14ac:dyDescent="0.25">
      <c r="A332" t="s">
        <v>316</v>
      </c>
      <c r="B332" t="s">
        <v>552</v>
      </c>
      <c r="C332" t="s">
        <v>358</v>
      </c>
      <c r="D332" s="2">
        <v>38583</v>
      </c>
      <c r="E332">
        <v>4.2676230000000004</v>
      </c>
      <c r="F332" s="2">
        <v>39143</v>
      </c>
      <c r="G332">
        <v>4.6260389999999996</v>
      </c>
      <c r="H332" s="3">
        <v>8.4000000000000005E-2</v>
      </c>
      <c r="I332">
        <v>1696.58</v>
      </c>
      <c r="J332" s="3">
        <v>8.1900000000000001E-2</v>
      </c>
      <c r="K332">
        <v>4854</v>
      </c>
      <c r="P332" s="2"/>
      <c r="R332" s="2"/>
      <c r="T332" s="3"/>
      <c r="V332" s="3"/>
      <c r="AB332" s="3"/>
      <c r="AC332" s="3"/>
      <c r="AD332" s="3"/>
    </row>
    <row r="333" spans="1:30" x14ac:dyDescent="0.25">
      <c r="A333" t="s">
        <v>317</v>
      </c>
      <c r="B333" t="s">
        <v>553</v>
      </c>
      <c r="C333" t="s">
        <v>358</v>
      </c>
      <c r="D333" s="2">
        <v>38954</v>
      </c>
      <c r="E333">
        <v>2.12</v>
      </c>
      <c r="F333" s="2">
        <v>39099</v>
      </c>
      <c r="G333">
        <v>3.64</v>
      </c>
      <c r="H333" s="3">
        <v>0.71699999999999997</v>
      </c>
      <c r="I333">
        <v>19177.849999999999</v>
      </c>
      <c r="J333" s="3">
        <v>0.71430000000000005</v>
      </c>
      <c r="K333">
        <v>12665</v>
      </c>
      <c r="P333" s="2"/>
      <c r="R333" s="2"/>
      <c r="T333" s="3"/>
      <c r="V333" s="3"/>
      <c r="AB333" s="3"/>
      <c r="AC333" s="3"/>
      <c r="AD333" s="3"/>
    </row>
    <row r="334" spans="1:30" x14ac:dyDescent="0.25">
      <c r="A334" t="s">
        <v>318</v>
      </c>
      <c r="B334" t="s">
        <v>554</v>
      </c>
      <c r="C334" t="s">
        <v>358</v>
      </c>
      <c r="D334" s="2">
        <v>38961</v>
      </c>
      <c r="E334">
        <v>1.075</v>
      </c>
      <c r="F334" s="2">
        <v>39041</v>
      </c>
      <c r="G334">
        <v>1.095</v>
      </c>
      <c r="H334" s="3">
        <v>1.8599999999999998E-2</v>
      </c>
      <c r="I334">
        <v>444.45</v>
      </c>
      <c r="J334" s="3">
        <v>1.66E-2</v>
      </c>
      <c r="K334">
        <v>24927</v>
      </c>
      <c r="P334" s="2"/>
      <c r="R334" s="2"/>
      <c r="T334" s="3"/>
      <c r="V334" s="3"/>
      <c r="AB334" s="3"/>
      <c r="AC334" s="3"/>
      <c r="AD334" s="3"/>
    </row>
    <row r="335" spans="1:30" x14ac:dyDescent="0.25">
      <c r="A335" t="s">
        <v>309</v>
      </c>
      <c r="B335" t="s">
        <v>544</v>
      </c>
      <c r="C335" t="s">
        <v>358</v>
      </c>
      <c r="D335" s="2">
        <v>38968</v>
      </c>
      <c r="E335">
        <v>10.87105</v>
      </c>
      <c r="F335" s="2">
        <v>38989</v>
      </c>
      <c r="G335">
        <v>10.35003</v>
      </c>
      <c r="H335" s="3">
        <v>-4.7899999999999998E-2</v>
      </c>
      <c r="I335">
        <v>-1376.75</v>
      </c>
      <c r="J335" s="3">
        <v>-4.99E-2</v>
      </c>
      <c r="K335">
        <v>2539</v>
      </c>
      <c r="P335" s="2"/>
      <c r="R335" s="2"/>
      <c r="T335" s="3"/>
      <c r="V335" s="3"/>
      <c r="AB335" s="3"/>
      <c r="AC335" s="3"/>
      <c r="AD335" s="3"/>
    </row>
    <row r="336" spans="1:30" x14ac:dyDescent="0.25">
      <c r="A336" t="s">
        <v>319</v>
      </c>
      <c r="B336" t="s">
        <v>555</v>
      </c>
      <c r="C336" t="s">
        <v>358</v>
      </c>
      <c r="D336" s="2">
        <v>38597</v>
      </c>
      <c r="E336">
        <v>1.940822</v>
      </c>
      <c r="F336" s="2">
        <v>38919</v>
      </c>
      <c r="G336">
        <v>3.2450519999999998</v>
      </c>
      <c r="H336" s="3">
        <v>0.67200000000000004</v>
      </c>
      <c r="I336">
        <v>14290.78</v>
      </c>
      <c r="J336" s="3">
        <v>0.66930000000000001</v>
      </c>
      <c r="K336">
        <v>11001</v>
      </c>
      <c r="P336" s="2"/>
      <c r="R336" s="2"/>
      <c r="T336" s="3"/>
      <c r="V336" s="3"/>
      <c r="AB336" s="3"/>
      <c r="AC336" s="3"/>
      <c r="AD336" s="3"/>
    </row>
    <row r="337" spans="1:30" x14ac:dyDescent="0.25">
      <c r="A337" t="s">
        <v>320</v>
      </c>
      <c r="B337" t="s">
        <v>556</v>
      </c>
      <c r="C337" t="s">
        <v>358</v>
      </c>
      <c r="D337" s="2">
        <v>37722</v>
      </c>
      <c r="E337">
        <v>2.3648850000000001</v>
      </c>
      <c r="F337" s="2">
        <v>38909</v>
      </c>
      <c r="G337">
        <v>17.076789999999999</v>
      </c>
      <c r="H337" s="3">
        <v>6.2210000000000001</v>
      </c>
      <c r="I337">
        <v>61282.26</v>
      </c>
      <c r="J337" s="3">
        <v>6.2127999999999997</v>
      </c>
      <c r="K337">
        <v>4171</v>
      </c>
      <c r="P337" s="2"/>
      <c r="R337" s="2"/>
      <c r="T337" s="3"/>
      <c r="V337" s="3"/>
      <c r="AB337" s="3"/>
      <c r="AC337" s="3"/>
      <c r="AD337" s="3"/>
    </row>
    <row r="338" spans="1:30" x14ac:dyDescent="0.25">
      <c r="A338" t="s">
        <v>249</v>
      </c>
      <c r="B338" t="s">
        <v>425</v>
      </c>
      <c r="C338" t="s">
        <v>358</v>
      </c>
      <c r="D338" s="2">
        <v>38702</v>
      </c>
      <c r="E338">
        <v>15.96984</v>
      </c>
      <c r="F338" s="2">
        <v>38870</v>
      </c>
      <c r="G338">
        <v>15.09301</v>
      </c>
      <c r="H338" s="3">
        <v>-5.4899999999999997E-2</v>
      </c>
      <c r="I338">
        <v>-1228.3800000000001</v>
      </c>
      <c r="J338" s="3">
        <v>-5.6899999999999999E-2</v>
      </c>
      <c r="K338">
        <v>1353</v>
      </c>
      <c r="P338" s="2"/>
      <c r="R338" s="2"/>
      <c r="T338" s="3"/>
      <c r="V338" s="3"/>
      <c r="AB338" s="3"/>
      <c r="AC338" s="3"/>
      <c r="AD338" s="3"/>
    </row>
    <row r="339" spans="1:30" x14ac:dyDescent="0.25">
      <c r="A339" t="s">
        <v>144</v>
      </c>
      <c r="B339" t="s">
        <v>429</v>
      </c>
      <c r="C339" t="s">
        <v>358</v>
      </c>
      <c r="D339" s="2">
        <v>38681</v>
      </c>
      <c r="E339">
        <v>0.18239459999999999</v>
      </c>
      <c r="F339" s="2">
        <v>38870</v>
      </c>
      <c r="G339">
        <v>0.2529206</v>
      </c>
      <c r="H339" s="3">
        <v>0.38669999999999999</v>
      </c>
      <c r="I339">
        <v>8599.15</v>
      </c>
      <c r="J339" s="3">
        <v>0.38429999999999997</v>
      </c>
      <c r="K339">
        <v>122686</v>
      </c>
      <c r="P339" s="2"/>
      <c r="R339" s="2"/>
      <c r="T339" s="3"/>
      <c r="V339" s="3"/>
      <c r="AB339" s="3"/>
      <c r="AC339" s="3"/>
      <c r="AD339" s="3"/>
    </row>
    <row r="340" spans="1:30" x14ac:dyDescent="0.25">
      <c r="A340" t="s">
        <v>321</v>
      </c>
      <c r="B340" t="s">
        <v>557</v>
      </c>
      <c r="C340" t="s">
        <v>358</v>
      </c>
      <c r="D340" s="2">
        <v>38674</v>
      </c>
      <c r="E340">
        <v>1.8445020000000001</v>
      </c>
      <c r="F340" s="2">
        <v>38870</v>
      </c>
      <c r="G340">
        <v>2.775884</v>
      </c>
      <c r="H340" s="3">
        <v>0.505</v>
      </c>
      <c r="I340">
        <v>10857.01</v>
      </c>
      <c r="J340" s="3">
        <v>0.50239999999999996</v>
      </c>
      <c r="K340">
        <v>11715</v>
      </c>
      <c r="P340" s="2"/>
      <c r="R340" s="2"/>
      <c r="T340" s="3"/>
      <c r="V340" s="3"/>
      <c r="AB340" s="3"/>
      <c r="AC340" s="3"/>
      <c r="AD340" s="3"/>
    </row>
    <row r="341" spans="1:30" x14ac:dyDescent="0.25">
      <c r="A341" t="s">
        <v>322</v>
      </c>
      <c r="B341" t="s">
        <v>558</v>
      </c>
      <c r="C341" t="s">
        <v>358</v>
      </c>
      <c r="D341" s="2">
        <v>38667</v>
      </c>
      <c r="E341">
        <v>1.428383</v>
      </c>
      <c r="F341" s="2">
        <v>38870</v>
      </c>
      <c r="G341">
        <v>1.4350000000000001</v>
      </c>
      <c r="H341" s="3">
        <v>4.5999999999999999E-3</v>
      </c>
      <c r="I341">
        <v>56.39</v>
      </c>
      <c r="J341" s="3">
        <v>2.5999999999999999E-3</v>
      </c>
      <c r="K341">
        <v>15023</v>
      </c>
      <c r="P341" s="2"/>
      <c r="R341" s="2"/>
      <c r="T341" s="3"/>
      <c r="V341" s="3"/>
      <c r="AB341" s="3"/>
      <c r="AC341" s="3"/>
      <c r="AD341" s="3"/>
    </row>
    <row r="342" spans="1:30" x14ac:dyDescent="0.25">
      <c r="A342" t="s">
        <v>323</v>
      </c>
      <c r="B342" t="s">
        <v>559</v>
      </c>
      <c r="C342" t="s">
        <v>358</v>
      </c>
      <c r="D342" s="2">
        <v>38667</v>
      </c>
      <c r="E342">
        <v>12.682399999999999</v>
      </c>
      <c r="F342" s="2">
        <v>38691</v>
      </c>
      <c r="G342">
        <v>13.44</v>
      </c>
      <c r="H342" s="3">
        <v>5.9700000000000003E-2</v>
      </c>
      <c r="I342">
        <v>1237.6600000000001</v>
      </c>
      <c r="J342" s="3">
        <v>5.7700000000000001E-2</v>
      </c>
      <c r="K342">
        <v>1692</v>
      </c>
      <c r="P342" s="2"/>
      <c r="R342" s="2"/>
      <c r="T342" s="3"/>
      <c r="V342" s="3"/>
      <c r="AB342" s="3"/>
      <c r="AC342" s="3"/>
      <c r="AD342" s="3"/>
    </row>
    <row r="343" spans="1:30" x14ac:dyDescent="0.25">
      <c r="A343" t="s">
        <v>324</v>
      </c>
      <c r="B343" t="s">
        <v>560</v>
      </c>
      <c r="C343" t="s">
        <v>358</v>
      </c>
      <c r="D343" s="2">
        <v>38226</v>
      </c>
      <c r="E343">
        <v>3.7480329999999999</v>
      </c>
      <c r="F343" s="2">
        <v>38660</v>
      </c>
      <c r="G343">
        <v>6.0434570000000001</v>
      </c>
      <c r="H343" s="3">
        <v>0.61240000000000006</v>
      </c>
      <c r="I343">
        <v>8536.84</v>
      </c>
      <c r="J343" s="3">
        <v>0.60980000000000001</v>
      </c>
      <c r="K343">
        <v>3735</v>
      </c>
      <c r="P343" s="2"/>
      <c r="R343" s="2"/>
      <c r="T343" s="3"/>
      <c r="V343" s="3"/>
      <c r="AB343" s="3"/>
      <c r="AC343" s="3"/>
      <c r="AD343" s="3"/>
    </row>
    <row r="344" spans="1:30" x14ac:dyDescent="0.25">
      <c r="A344" t="s">
        <v>325</v>
      </c>
      <c r="B344" t="s">
        <v>561</v>
      </c>
      <c r="C344" t="s">
        <v>358</v>
      </c>
      <c r="D344" s="2">
        <v>38506</v>
      </c>
      <c r="E344">
        <v>11.06484</v>
      </c>
      <c r="F344" s="2">
        <v>38646</v>
      </c>
      <c r="G344">
        <v>16.013449999999999</v>
      </c>
      <c r="H344" s="3">
        <v>0.44719999999999999</v>
      </c>
      <c r="I344">
        <v>8327.23</v>
      </c>
      <c r="J344" s="3">
        <v>0.44479999999999997</v>
      </c>
      <c r="K344">
        <v>1692</v>
      </c>
      <c r="P344" s="2"/>
      <c r="R344" s="2"/>
      <c r="T344" s="3"/>
      <c r="V344" s="3"/>
      <c r="AB344" s="3"/>
      <c r="AC344" s="3"/>
      <c r="AD344" s="3"/>
    </row>
    <row r="345" spans="1:30" x14ac:dyDescent="0.25">
      <c r="A345" t="s">
        <v>326</v>
      </c>
      <c r="B345" t="s">
        <v>562</v>
      </c>
      <c r="C345" t="s">
        <v>358</v>
      </c>
      <c r="D345" s="2">
        <v>37722</v>
      </c>
      <c r="E345">
        <v>1.2162459999999999</v>
      </c>
      <c r="F345" s="2">
        <v>38646</v>
      </c>
      <c r="G345">
        <v>3.4467840000000001</v>
      </c>
      <c r="H345" s="3">
        <v>1.8340000000000001</v>
      </c>
      <c r="I345">
        <v>18054.07</v>
      </c>
      <c r="J345" s="3">
        <v>1.8301000000000001</v>
      </c>
      <c r="K345">
        <v>8111</v>
      </c>
      <c r="P345" s="2"/>
      <c r="R345" s="2"/>
      <c r="T345" s="3"/>
      <c r="V345" s="3"/>
      <c r="AB345" s="3"/>
      <c r="AC345" s="3"/>
      <c r="AD345" s="3"/>
    </row>
    <row r="346" spans="1:30" x14ac:dyDescent="0.25">
      <c r="A346" t="s">
        <v>202</v>
      </c>
      <c r="B346" t="s">
        <v>563</v>
      </c>
      <c r="C346" t="s">
        <v>358</v>
      </c>
      <c r="D346" s="2">
        <v>37722</v>
      </c>
      <c r="E346">
        <v>1.13588</v>
      </c>
      <c r="F346" s="2">
        <v>38597</v>
      </c>
      <c r="G346">
        <v>2.1883949999999999</v>
      </c>
      <c r="H346" s="3">
        <v>0.92659999999999998</v>
      </c>
      <c r="I346">
        <v>9113.27</v>
      </c>
      <c r="J346" s="3">
        <v>0.92369999999999997</v>
      </c>
      <c r="K346">
        <v>8686</v>
      </c>
      <c r="P346" s="2"/>
      <c r="R346" s="2"/>
      <c r="T346" s="3"/>
      <c r="V346" s="3"/>
      <c r="AB346" s="3"/>
      <c r="AC346" s="3"/>
      <c r="AD346" s="3"/>
    </row>
    <row r="347" spans="1:30" x14ac:dyDescent="0.25">
      <c r="A347" t="s">
        <v>327</v>
      </c>
      <c r="B347" t="s">
        <v>564</v>
      </c>
      <c r="C347" t="s">
        <v>358</v>
      </c>
      <c r="D347" s="2">
        <v>37596</v>
      </c>
      <c r="E347">
        <v>1.425114</v>
      </c>
      <c r="F347" s="2">
        <v>38583</v>
      </c>
      <c r="G347">
        <v>2.6959430000000002</v>
      </c>
      <c r="H347" s="3">
        <v>0.89170000000000005</v>
      </c>
      <c r="I347">
        <v>8208.27</v>
      </c>
      <c r="J347" s="3">
        <v>0.88880000000000003</v>
      </c>
      <c r="K347">
        <v>6480</v>
      </c>
      <c r="P347" s="2"/>
      <c r="R347" s="2"/>
      <c r="T347" s="3"/>
      <c r="V347" s="3"/>
      <c r="AB347" s="3"/>
      <c r="AC347" s="3"/>
      <c r="AD347" s="3"/>
    </row>
    <row r="348" spans="1:30" x14ac:dyDescent="0.25">
      <c r="A348" t="s">
        <v>328</v>
      </c>
      <c r="B348" t="s">
        <v>565</v>
      </c>
      <c r="C348" t="s">
        <v>358</v>
      </c>
      <c r="D348" s="2">
        <v>38352</v>
      </c>
      <c r="E348">
        <v>4.8351389999999999</v>
      </c>
      <c r="F348" s="2">
        <v>38485</v>
      </c>
      <c r="G348">
        <v>4.681686</v>
      </c>
      <c r="H348" s="3">
        <v>-3.1699999999999999E-2</v>
      </c>
      <c r="I348">
        <v>-596.14</v>
      </c>
      <c r="J348" s="3">
        <v>-3.3700000000000001E-2</v>
      </c>
      <c r="K348">
        <v>3658</v>
      </c>
      <c r="P348" s="2"/>
      <c r="R348" s="2"/>
      <c r="T348" s="3"/>
      <c r="V348" s="3"/>
      <c r="AB348" s="3"/>
      <c r="AC348" s="3"/>
      <c r="AD348" s="3"/>
    </row>
    <row r="349" spans="1:30" x14ac:dyDescent="0.25">
      <c r="A349" t="s">
        <v>329</v>
      </c>
      <c r="B349" t="s">
        <v>566</v>
      </c>
      <c r="C349" t="s">
        <v>358</v>
      </c>
      <c r="D349" s="2">
        <v>38275</v>
      </c>
      <c r="E349">
        <v>3.9022559999999999</v>
      </c>
      <c r="F349" s="2">
        <v>38485</v>
      </c>
      <c r="G349">
        <v>6.3171949999999999</v>
      </c>
      <c r="H349" s="3">
        <v>0.61890000000000001</v>
      </c>
      <c r="I349">
        <v>9436.1200000000008</v>
      </c>
      <c r="J349" s="3">
        <v>0.61619999999999997</v>
      </c>
      <c r="K349">
        <v>3924</v>
      </c>
      <c r="P349" s="2"/>
      <c r="R349" s="2"/>
      <c r="T349" s="3"/>
      <c r="V349" s="3"/>
      <c r="AB349" s="3"/>
      <c r="AC349" s="3"/>
      <c r="AD349" s="3"/>
    </row>
    <row r="350" spans="1:30" x14ac:dyDescent="0.25">
      <c r="A350" t="s">
        <v>41</v>
      </c>
      <c r="B350" t="s">
        <v>40</v>
      </c>
      <c r="C350" t="s">
        <v>358</v>
      </c>
      <c r="D350" s="2">
        <v>36588</v>
      </c>
      <c r="E350">
        <v>0.68075850000000004</v>
      </c>
      <c r="F350" s="2">
        <v>38485</v>
      </c>
      <c r="G350">
        <v>1.141033</v>
      </c>
      <c r="H350" s="3">
        <v>0.67610000000000003</v>
      </c>
      <c r="I350">
        <v>4113.24</v>
      </c>
      <c r="J350" s="3">
        <v>0.6734</v>
      </c>
      <c r="K350">
        <v>8972</v>
      </c>
      <c r="P350" s="2"/>
      <c r="R350" s="2"/>
      <c r="T350" s="3"/>
      <c r="V350" s="3"/>
      <c r="AB350" s="3"/>
      <c r="AC350" s="3"/>
      <c r="AD350" s="3"/>
    </row>
    <row r="351" spans="1:30" x14ac:dyDescent="0.25">
      <c r="A351" t="s">
        <v>330</v>
      </c>
      <c r="B351" t="s">
        <v>567</v>
      </c>
      <c r="C351" t="s">
        <v>358</v>
      </c>
      <c r="D351" s="2">
        <v>38107</v>
      </c>
      <c r="E351">
        <v>6.3943669999999999</v>
      </c>
      <c r="F351" s="2">
        <v>38464</v>
      </c>
      <c r="G351">
        <v>11.24836</v>
      </c>
      <c r="H351" s="3">
        <v>0.7591</v>
      </c>
      <c r="I351">
        <v>9861.32</v>
      </c>
      <c r="J351" s="3">
        <v>0.75629999999999997</v>
      </c>
      <c r="K351">
        <v>2039</v>
      </c>
      <c r="P351" s="2"/>
      <c r="R351" s="2"/>
      <c r="T351" s="3"/>
      <c r="V351" s="3"/>
      <c r="AB351" s="3"/>
      <c r="AC351" s="3"/>
      <c r="AD351" s="3"/>
    </row>
    <row r="352" spans="1:30" x14ac:dyDescent="0.25">
      <c r="A352" t="s">
        <v>331</v>
      </c>
      <c r="B352" t="s">
        <v>568</v>
      </c>
      <c r="C352" t="s">
        <v>358</v>
      </c>
      <c r="D352" s="2">
        <v>37979</v>
      </c>
      <c r="E352">
        <v>2.673457</v>
      </c>
      <c r="F352" s="2">
        <v>38350</v>
      </c>
      <c r="G352">
        <v>3.42</v>
      </c>
      <c r="H352" s="3">
        <v>0.2792</v>
      </c>
      <c r="I352">
        <v>3189.86</v>
      </c>
      <c r="J352" s="3">
        <v>0.27700000000000002</v>
      </c>
      <c r="K352">
        <v>4308</v>
      </c>
      <c r="P352" s="2"/>
      <c r="R352" s="2"/>
      <c r="T352" s="3"/>
      <c r="V352" s="3"/>
      <c r="AB352" s="3"/>
      <c r="AC352" s="3"/>
      <c r="AD352" s="3"/>
    </row>
    <row r="353" spans="1:30" x14ac:dyDescent="0.25">
      <c r="A353" t="s">
        <v>332</v>
      </c>
      <c r="B353" t="s">
        <v>569</v>
      </c>
      <c r="C353" t="s">
        <v>358</v>
      </c>
      <c r="D353" s="2">
        <v>38142</v>
      </c>
      <c r="E353">
        <v>1.2400389999999999</v>
      </c>
      <c r="F353" s="2">
        <v>38271</v>
      </c>
      <c r="G353">
        <v>1.31</v>
      </c>
      <c r="H353" s="3">
        <v>5.6399999999999999E-2</v>
      </c>
      <c r="I353">
        <v>722.44</v>
      </c>
      <c r="J353" s="3">
        <v>5.4399999999999997E-2</v>
      </c>
      <c r="K353">
        <v>10717</v>
      </c>
      <c r="P353" s="2"/>
      <c r="R353" s="2"/>
      <c r="T353" s="3"/>
      <c r="V353" s="3"/>
      <c r="AB353" s="3"/>
      <c r="AC353" s="3"/>
      <c r="AD353" s="3"/>
    </row>
    <row r="354" spans="1:30" x14ac:dyDescent="0.25">
      <c r="A354" t="s">
        <v>333</v>
      </c>
      <c r="B354" t="s">
        <v>570</v>
      </c>
      <c r="C354" t="s">
        <v>358</v>
      </c>
      <c r="D354" s="2">
        <v>37979</v>
      </c>
      <c r="E354">
        <v>0.74458999999999997</v>
      </c>
      <c r="F354" s="2">
        <v>38219</v>
      </c>
      <c r="G354">
        <v>2.02</v>
      </c>
      <c r="H354" s="3">
        <v>1.7129000000000001</v>
      </c>
      <c r="I354">
        <v>19689.099999999999</v>
      </c>
      <c r="J354" s="3">
        <v>1.7092000000000001</v>
      </c>
      <c r="K354">
        <v>15471</v>
      </c>
      <c r="P354" s="2"/>
      <c r="R354" s="2"/>
      <c r="T354" s="3"/>
      <c r="V354" s="3"/>
      <c r="AB354" s="3"/>
      <c r="AC354" s="3"/>
      <c r="AD354" s="3"/>
    </row>
    <row r="355" spans="1:30" x14ac:dyDescent="0.25">
      <c r="A355" t="s">
        <v>276</v>
      </c>
      <c r="B355" t="s">
        <v>487</v>
      </c>
      <c r="C355" t="s">
        <v>358</v>
      </c>
      <c r="D355" s="2">
        <v>37979</v>
      </c>
      <c r="E355">
        <v>0.58035250000000005</v>
      </c>
      <c r="F355" s="2">
        <v>38128</v>
      </c>
      <c r="G355">
        <v>0.47975810000000002</v>
      </c>
      <c r="H355" s="3">
        <v>-0.17330000000000001</v>
      </c>
      <c r="I355">
        <v>-2018.05</v>
      </c>
      <c r="J355" s="3">
        <v>-0.17519999999999999</v>
      </c>
      <c r="K355">
        <v>19852</v>
      </c>
      <c r="P355" s="2"/>
      <c r="R355" s="2"/>
      <c r="T355" s="3"/>
      <c r="V355" s="3"/>
      <c r="AB355" s="3"/>
      <c r="AC355" s="3"/>
      <c r="AD355" s="3"/>
    </row>
    <row r="356" spans="1:30" x14ac:dyDescent="0.25">
      <c r="A356" t="s">
        <v>334</v>
      </c>
      <c r="B356" t="s">
        <v>571</v>
      </c>
      <c r="C356" t="s">
        <v>358</v>
      </c>
      <c r="D356" s="2">
        <v>37827</v>
      </c>
      <c r="E356">
        <v>2.89</v>
      </c>
      <c r="F356" s="2">
        <v>38107</v>
      </c>
      <c r="G356">
        <v>2.54</v>
      </c>
      <c r="H356" s="3">
        <v>-0.1211</v>
      </c>
      <c r="I356">
        <v>-1327.18</v>
      </c>
      <c r="J356" s="3">
        <v>-0.123</v>
      </c>
      <c r="K356">
        <v>3734</v>
      </c>
      <c r="P356" s="2"/>
      <c r="R356" s="2"/>
      <c r="T356" s="3"/>
      <c r="V356" s="3"/>
      <c r="AB356" s="3"/>
      <c r="AC356" s="3"/>
      <c r="AD356" s="3"/>
    </row>
    <row r="357" spans="1:30" x14ac:dyDescent="0.25">
      <c r="A357" t="s">
        <v>335</v>
      </c>
      <c r="B357" t="s">
        <v>572</v>
      </c>
      <c r="C357" t="s">
        <v>358</v>
      </c>
      <c r="D357" s="2">
        <v>37624</v>
      </c>
      <c r="E357">
        <v>0.72575909999999999</v>
      </c>
      <c r="F357" s="2">
        <v>37939</v>
      </c>
      <c r="G357">
        <v>0.74360020000000004</v>
      </c>
      <c r="H357" s="3">
        <v>2.46E-2</v>
      </c>
      <c r="I357">
        <v>211.7</v>
      </c>
      <c r="J357" s="3">
        <v>2.2599999999999999E-2</v>
      </c>
      <c r="K357">
        <v>12931</v>
      </c>
      <c r="P357" s="2"/>
      <c r="R357" s="2"/>
      <c r="T357" s="3"/>
      <c r="V357" s="3"/>
      <c r="AB357" s="3"/>
      <c r="AC357" s="3"/>
      <c r="AD357" s="3"/>
    </row>
    <row r="358" spans="1:30" x14ac:dyDescent="0.25">
      <c r="A358" t="s">
        <v>336</v>
      </c>
      <c r="B358" t="s">
        <v>573</v>
      </c>
      <c r="C358" t="s">
        <v>358</v>
      </c>
      <c r="D358" s="2">
        <v>37596</v>
      </c>
      <c r="E358">
        <v>1.425133</v>
      </c>
      <c r="F358" s="2">
        <v>37939</v>
      </c>
      <c r="G358">
        <v>1.6165069999999999</v>
      </c>
      <c r="H358" s="3">
        <v>0.1343</v>
      </c>
      <c r="I358">
        <v>1219.6400000000001</v>
      </c>
      <c r="J358" s="3">
        <v>0.13220000000000001</v>
      </c>
      <c r="K358">
        <v>6476</v>
      </c>
      <c r="P358" s="2"/>
      <c r="R358" s="2"/>
      <c r="T358" s="3"/>
      <c r="V358" s="3"/>
      <c r="AB358" s="3"/>
      <c r="AC358" s="3"/>
      <c r="AD358" s="3"/>
    </row>
    <row r="359" spans="1:30" x14ac:dyDescent="0.25">
      <c r="A359" t="s">
        <v>337</v>
      </c>
      <c r="B359" t="s">
        <v>574</v>
      </c>
      <c r="C359" t="s">
        <v>358</v>
      </c>
      <c r="D359" s="2">
        <v>36588</v>
      </c>
      <c r="E359">
        <v>1.0621849999999999</v>
      </c>
      <c r="F359" s="2">
        <v>37939</v>
      </c>
      <c r="G359">
        <v>1.687338</v>
      </c>
      <c r="H359" s="3">
        <v>0.58860000000000001</v>
      </c>
      <c r="I359">
        <v>3578.82</v>
      </c>
      <c r="J359" s="3">
        <v>0.58599999999999997</v>
      </c>
      <c r="K359">
        <v>5750</v>
      </c>
      <c r="P359" s="2"/>
      <c r="R359" s="2"/>
      <c r="T359" s="3"/>
      <c r="V359" s="3"/>
      <c r="AB359" s="3"/>
      <c r="AC359" s="3"/>
      <c r="AD359" s="3"/>
    </row>
    <row r="360" spans="1:30" x14ac:dyDescent="0.25">
      <c r="A360" t="s">
        <v>203</v>
      </c>
      <c r="B360" t="s">
        <v>575</v>
      </c>
      <c r="C360" t="s">
        <v>358</v>
      </c>
      <c r="D360" s="2">
        <v>37197</v>
      </c>
      <c r="E360">
        <v>0.3335573</v>
      </c>
      <c r="F360" s="2">
        <v>37932</v>
      </c>
      <c r="G360">
        <v>0.4419941</v>
      </c>
      <c r="H360" s="3">
        <v>0.3251</v>
      </c>
      <c r="I360">
        <v>2743.32</v>
      </c>
      <c r="J360" s="3">
        <v>0.32279999999999998</v>
      </c>
      <c r="K360">
        <v>25481</v>
      </c>
      <c r="P360" s="2"/>
      <c r="R360" s="2"/>
      <c r="T360" s="3"/>
      <c r="V360" s="3"/>
      <c r="AB360" s="3"/>
      <c r="AC360" s="3"/>
      <c r="AD360" s="3"/>
    </row>
    <row r="361" spans="1:30" x14ac:dyDescent="0.25">
      <c r="A361" t="s">
        <v>338</v>
      </c>
      <c r="B361" t="s">
        <v>576</v>
      </c>
      <c r="C361" t="s">
        <v>358</v>
      </c>
      <c r="D361" s="2">
        <v>36588</v>
      </c>
      <c r="E361">
        <v>1.819369</v>
      </c>
      <c r="F361" s="2">
        <v>37825</v>
      </c>
      <c r="G361">
        <v>3.05</v>
      </c>
      <c r="H361" s="3">
        <v>0.6764</v>
      </c>
      <c r="I361">
        <v>4114.88</v>
      </c>
      <c r="J361" s="3">
        <v>0.67369999999999997</v>
      </c>
      <c r="K361">
        <v>3357</v>
      </c>
      <c r="P361" s="2"/>
      <c r="R361" s="2"/>
      <c r="T361" s="3"/>
      <c r="V361" s="3"/>
      <c r="AB361" s="3"/>
      <c r="AC361" s="3"/>
      <c r="AD361" s="3"/>
    </row>
    <row r="362" spans="1:30" x14ac:dyDescent="0.25">
      <c r="A362" t="s">
        <v>339</v>
      </c>
      <c r="B362" t="s">
        <v>490</v>
      </c>
      <c r="C362" t="s">
        <v>358</v>
      </c>
      <c r="D362" s="2">
        <v>37197</v>
      </c>
      <c r="E362">
        <v>1.186496</v>
      </c>
      <c r="F362" s="2">
        <v>37722</v>
      </c>
      <c r="G362">
        <v>1.63</v>
      </c>
      <c r="H362" s="3">
        <v>0.37380000000000002</v>
      </c>
      <c r="I362">
        <v>3154.88</v>
      </c>
      <c r="J362" s="3">
        <v>0.37140000000000001</v>
      </c>
      <c r="K362">
        <v>7159</v>
      </c>
      <c r="P362" s="2"/>
      <c r="R362" s="2"/>
      <c r="T362" s="3"/>
      <c r="V362" s="3"/>
      <c r="AB362" s="3"/>
      <c r="AC362" s="3"/>
      <c r="AD362" s="3"/>
    </row>
    <row r="363" spans="1:30" x14ac:dyDescent="0.25">
      <c r="A363" t="s">
        <v>277</v>
      </c>
      <c r="B363" t="s">
        <v>488</v>
      </c>
      <c r="C363" t="s">
        <v>358</v>
      </c>
      <c r="D363" s="2">
        <v>37596</v>
      </c>
      <c r="E363">
        <v>21.860669999999999</v>
      </c>
      <c r="F363" s="2">
        <v>37694</v>
      </c>
      <c r="G363">
        <v>16.79729</v>
      </c>
      <c r="H363" s="3">
        <v>-0.2316</v>
      </c>
      <c r="I363">
        <v>-2153.06</v>
      </c>
      <c r="J363" s="3">
        <v>-0.2334</v>
      </c>
      <c r="K363">
        <v>422</v>
      </c>
      <c r="P363" s="2"/>
      <c r="R363" s="2"/>
      <c r="T363" s="3"/>
      <c r="V363" s="3"/>
      <c r="AB363" s="3"/>
      <c r="AC363" s="3"/>
      <c r="AD363" s="3"/>
    </row>
    <row r="364" spans="1:30" x14ac:dyDescent="0.25">
      <c r="A364" t="s">
        <v>247</v>
      </c>
      <c r="B364" t="s">
        <v>418</v>
      </c>
      <c r="C364" t="s">
        <v>358</v>
      </c>
      <c r="D364" s="2">
        <v>37624</v>
      </c>
      <c r="E364">
        <v>2.4972599999999998</v>
      </c>
      <c r="F364" s="2">
        <v>37666</v>
      </c>
      <c r="G364">
        <v>3.0695489999999999</v>
      </c>
      <c r="H364" s="3">
        <v>0.22919999999999999</v>
      </c>
      <c r="I364">
        <v>2129.7399999999998</v>
      </c>
      <c r="J364" s="3">
        <v>0.22689999999999999</v>
      </c>
      <c r="K364">
        <v>3758</v>
      </c>
      <c r="P364" s="2"/>
      <c r="R364" s="2"/>
      <c r="T364" s="3"/>
      <c r="V364" s="3"/>
      <c r="AB364" s="3"/>
      <c r="AC364" s="3"/>
      <c r="AD364" s="3"/>
    </row>
    <row r="365" spans="1:30" x14ac:dyDescent="0.25">
      <c r="A365" t="s">
        <v>132</v>
      </c>
      <c r="B365" t="s">
        <v>412</v>
      </c>
      <c r="C365" t="s">
        <v>358</v>
      </c>
      <c r="D365" s="2">
        <v>37596</v>
      </c>
      <c r="E365">
        <v>1.0135069999999999</v>
      </c>
      <c r="F365" s="2">
        <v>37617</v>
      </c>
      <c r="G365">
        <v>0.9579723</v>
      </c>
      <c r="H365" s="3">
        <v>-5.4800000000000001E-2</v>
      </c>
      <c r="I365">
        <v>-523.71</v>
      </c>
      <c r="J365" s="3">
        <v>-5.67E-2</v>
      </c>
      <c r="K365">
        <v>9107</v>
      </c>
      <c r="P365" s="2"/>
      <c r="R365" s="2"/>
      <c r="T365" s="3"/>
      <c r="V365" s="3"/>
      <c r="AB365" s="3"/>
      <c r="AC365" s="3"/>
      <c r="AD365" s="3"/>
    </row>
    <row r="366" spans="1:30" x14ac:dyDescent="0.25">
      <c r="A366" t="s">
        <v>340</v>
      </c>
      <c r="B366" t="s">
        <v>577</v>
      </c>
      <c r="C366" t="s">
        <v>358</v>
      </c>
      <c r="D366" s="2">
        <v>37596</v>
      </c>
      <c r="E366">
        <v>18.01558</v>
      </c>
      <c r="F366" s="2">
        <v>37610</v>
      </c>
      <c r="G366">
        <v>16.353120000000001</v>
      </c>
      <c r="H366" s="3">
        <v>-9.2299999999999993E-2</v>
      </c>
      <c r="I366">
        <v>-868.78</v>
      </c>
      <c r="J366" s="3">
        <v>-9.4200000000000006E-2</v>
      </c>
      <c r="K366">
        <v>512</v>
      </c>
      <c r="P366" s="2"/>
      <c r="R366" s="2"/>
      <c r="T366" s="3"/>
      <c r="V366" s="3"/>
      <c r="AB366" s="3"/>
      <c r="AC366" s="3"/>
      <c r="AD366" s="3"/>
    </row>
    <row r="367" spans="1:30" x14ac:dyDescent="0.25">
      <c r="A367" t="s">
        <v>117</v>
      </c>
      <c r="B367" t="s">
        <v>391</v>
      </c>
      <c r="C367" t="s">
        <v>358</v>
      </c>
      <c r="D367" s="2">
        <v>36553</v>
      </c>
      <c r="E367">
        <v>3.4688349999999999</v>
      </c>
      <c r="F367" s="2">
        <v>37533</v>
      </c>
      <c r="G367">
        <v>3.9661680000000001</v>
      </c>
      <c r="H367" s="3">
        <v>0.1434</v>
      </c>
      <c r="I367">
        <v>873.49</v>
      </c>
      <c r="J367" s="3">
        <v>0.14119999999999999</v>
      </c>
      <c r="K367">
        <v>1783</v>
      </c>
      <c r="P367" s="2"/>
      <c r="R367" s="2"/>
      <c r="T367" s="3"/>
      <c r="V367" s="3"/>
      <c r="AB367" s="3"/>
      <c r="AC367" s="3"/>
      <c r="AD367" s="3"/>
    </row>
    <row r="368" spans="1:30" x14ac:dyDescent="0.25">
      <c r="A368" t="s">
        <v>341</v>
      </c>
      <c r="B368" t="s">
        <v>578</v>
      </c>
      <c r="C368" t="s">
        <v>358</v>
      </c>
      <c r="D368" s="2">
        <v>36686</v>
      </c>
      <c r="E368">
        <v>1.764858</v>
      </c>
      <c r="F368" s="2">
        <v>37531</v>
      </c>
      <c r="G368">
        <v>2.42</v>
      </c>
      <c r="H368" s="3">
        <v>0.37119999999999997</v>
      </c>
      <c r="I368">
        <v>2416.35</v>
      </c>
      <c r="J368" s="3">
        <v>0.36880000000000002</v>
      </c>
      <c r="K368">
        <v>3712</v>
      </c>
      <c r="P368" s="2"/>
      <c r="R368" s="2"/>
      <c r="T368" s="3"/>
      <c r="V368" s="3"/>
      <c r="AB368" s="3"/>
      <c r="AC368" s="3"/>
      <c r="AD368" s="3"/>
    </row>
    <row r="369" spans="1:30" x14ac:dyDescent="0.25">
      <c r="A369" t="s">
        <v>342</v>
      </c>
      <c r="B369" t="s">
        <v>579</v>
      </c>
      <c r="C369" t="s">
        <v>358</v>
      </c>
      <c r="D369" s="2">
        <v>37197</v>
      </c>
      <c r="E369">
        <v>2.345602</v>
      </c>
      <c r="F369" s="2">
        <v>37512</v>
      </c>
      <c r="G369">
        <v>2.552025</v>
      </c>
      <c r="H369" s="3">
        <v>8.7999999999999995E-2</v>
      </c>
      <c r="I369">
        <v>729.92</v>
      </c>
      <c r="J369" s="3">
        <v>8.5900000000000004E-2</v>
      </c>
      <c r="K369">
        <v>3622</v>
      </c>
      <c r="P369" s="2"/>
      <c r="R369" s="2"/>
      <c r="T369" s="3"/>
      <c r="V369" s="3"/>
      <c r="AB369" s="3"/>
      <c r="AC369" s="3"/>
      <c r="AD369" s="3"/>
    </row>
    <row r="370" spans="1:30" x14ac:dyDescent="0.25">
      <c r="A370" t="s">
        <v>343</v>
      </c>
      <c r="B370" t="s">
        <v>580</v>
      </c>
      <c r="C370" t="s">
        <v>358</v>
      </c>
      <c r="D370" s="2">
        <v>36574</v>
      </c>
      <c r="E370">
        <v>2.8286560000000001</v>
      </c>
      <c r="F370" s="2">
        <v>37449</v>
      </c>
      <c r="G370">
        <v>4.047059</v>
      </c>
      <c r="H370" s="3">
        <v>0.43070000000000003</v>
      </c>
      <c r="I370">
        <v>2631.44</v>
      </c>
      <c r="J370" s="3">
        <v>0.42830000000000001</v>
      </c>
      <c r="K370">
        <v>2172</v>
      </c>
      <c r="P370" s="2"/>
      <c r="R370" s="2"/>
      <c r="T370" s="3"/>
      <c r="V370" s="3"/>
      <c r="AB370" s="3"/>
      <c r="AC370" s="3"/>
      <c r="AD370" s="3"/>
    </row>
    <row r="371" spans="1:30" x14ac:dyDescent="0.25">
      <c r="A371" t="s">
        <v>198</v>
      </c>
      <c r="B371" t="s">
        <v>540</v>
      </c>
      <c r="C371" t="s">
        <v>358</v>
      </c>
      <c r="D371" s="2">
        <v>37197</v>
      </c>
      <c r="E371">
        <v>29.221309999999999</v>
      </c>
      <c r="F371" s="2">
        <v>37386</v>
      </c>
      <c r="G371">
        <v>21.737590000000001</v>
      </c>
      <c r="H371" s="3">
        <v>-0.25609999999999999</v>
      </c>
      <c r="I371">
        <v>-2185.06</v>
      </c>
      <c r="J371" s="3">
        <v>-0.25779999999999997</v>
      </c>
      <c r="K371">
        <v>290</v>
      </c>
      <c r="P371" s="2"/>
      <c r="R371" s="2"/>
      <c r="T371" s="3"/>
      <c r="V371" s="3"/>
      <c r="AB371" s="3"/>
      <c r="AC371" s="3"/>
      <c r="AD371" s="3"/>
    </row>
    <row r="372" spans="1:30" x14ac:dyDescent="0.25">
      <c r="A372" t="s">
        <v>22</v>
      </c>
      <c r="B372" t="s">
        <v>21</v>
      </c>
      <c r="C372" t="s">
        <v>358</v>
      </c>
      <c r="D372" s="2">
        <v>37197</v>
      </c>
      <c r="E372">
        <v>1.2069399999999999</v>
      </c>
      <c r="F372" s="2">
        <v>37379</v>
      </c>
      <c r="G372">
        <v>1.1844509999999999</v>
      </c>
      <c r="H372" s="3">
        <v>-1.8599999999999998E-2</v>
      </c>
      <c r="I372">
        <v>-175.08</v>
      </c>
      <c r="J372" s="3">
        <v>-2.06E-2</v>
      </c>
      <c r="K372">
        <v>7037</v>
      </c>
      <c r="P372" s="2"/>
      <c r="R372" s="2"/>
      <c r="T372" s="3"/>
      <c r="V372" s="3"/>
      <c r="AB372" s="3"/>
      <c r="AC372" s="3"/>
      <c r="AD372" s="3"/>
    </row>
    <row r="373" spans="1:30" x14ac:dyDescent="0.25">
      <c r="A373" t="s">
        <v>344</v>
      </c>
      <c r="B373" t="s">
        <v>581</v>
      </c>
      <c r="C373" t="s">
        <v>358</v>
      </c>
      <c r="D373" s="2">
        <v>37197</v>
      </c>
      <c r="E373">
        <v>2.2869670000000002</v>
      </c>
      <c r="F373" s="2">
        <v>37365</v>
      </c>
      <c r="G373">
        <v>2.5515750000000001</v>
      </c>
      <c r="H373" s="3">
        <v>0.1157</v>
      </c>
      <c r="I373">
        <v>965.04</v>
      </c>
      <c r="J373" s="3">
        <v>0.11360000000000001</v>
      </c>
      <c r="K373">
        <v>3715</v>
      </c>
      <c r="P373" s="2"/>
      <c r="R373" s="2"/>
      <c r="T373" s="3"/>
      <c r="V373" s="3"/>
      <c r="AB373" s="3"/>
      <c r="AC373" s="3"/>
      <c r="AD373" s="3"/>
    </row>
    <row r="374" spans="1:30" x14ac:dyDescent="0.25">
      <c r="A374" t="s">
        <v>95</v>
      </c>
      <c r="B374" t="s">
        <v>215</v>
      </c>
      <c r="C374" t="s">
        <v>358</v>
      </c>
      <c r="D374" s="2">
        <v>36686</v>
      </c>
      <c r="E374">
        <v>2.100832</v>
      </c>
      <c r="F374" s="2">
        <v>37190</v>
      </c>
      <c r="G374">
        <v>4.2196170000000004</v>
      </c>
      <c r="H374" s="3">
        <v>1.0085</v>
      </c>
      <c r="I374">
        <v>6590.89</v>
      </c>
      <c r="J374" s="3">
        <v>1.0055000000000001</v>
      </c>
      <c r="K374">
        <v>3120</v>
      </c>
      <c r="P374" s="2"/>
      <c r="R374" s="2"/>
      <c r="T374" s="3"/>
      <c r="V374" s="3"/>
      <c r="AB374" s="3"/>
      <c r="AC374" s="3"/>
      <c r="AD374" s="3"/>
    </row>
    <row r="375" spans="1:30" x14ac:dyDescent="0.25">
      <c r="A375" t="s">
        <v>345</v>
      </c>
      <c r="B375" t="s">
        <v>582</v>
      </c>
      <c r="C375" t="s">
        <v>358</v>
      </c>
      <c r="D375" s="2">
        <v>36553</v>
      </c>
      <c r="E375">
        <v>0.81915649999999995</v>
      </c>
      <c r="F375" s="2">
        <v>37162</v>
      </c>
      <c r="G375">
        <v>0.54053620000000002</v>
      </c>
      <c r="H375" s="3">
        <v>-0.34010000000000001</v>
      </c>
      <c r="I375">
        <v>-2114.13</v>
      </c>
      <c r="J375" s="3">
        <v>-0.34179999999999999</v>
      </c>
      <c r="K375">
        <v>7551</v>
      </c>
      <c r="P375" s="2"/>
      <c r="R375" s="2"/>
      <c r="T375" s="3"/>
      <c r="V375" s="3"/>
      <c r="AB375" s="3"/>
      <c r="AC375" s="3"/>
      <c r="AD375" s="3"/>
    </row>
    <row r="376" spans="1:30" x14ac:dyDescent="0.25">
      <c r="A376" t="s">
        <v>346</v>
      </c>
      <c r="B376" t="s">
        <v>583</v>
      </c>
      <c r="C376" t="s">
        <v>358</v>
      </c>
      <c r="D376" s="2">
        <v>36686</v>
      </c>
      <c r="E376">
        <v>10.71123</v>
      </c>
      <c r="F376" s="2">
        <v>37155</v>
      </c>
      <c r="G376">
        <v>14.96218</v>
      </c>
      <c r="H376" s="3">
        <v>0.39689999999999998</v>
      </c>
      <c r="I376">
        <v>2581.64</v>
      </c>
      <c r="J376" s="3">
        <v>0.39450000000000002</v>
      </c>
      <c r="K376">
        <v>611</v>
      </c>
      <c r="P376" s="2"/>
      <c r="R376" s="2"/>
      <c r="T376" s="3"/>
      <c r="V376" s="3"/>
      <c r="AB376" s="3"/>
      <c r="AC376" s="3"/>
      <c r="AD376" s="3"/>
    </row>
    <row r="377" spans="1:30" x14ac:dyDescent="0.25">
      <c r="A377" t="s">
        <v>204</v>
      </c>
      <c r="B377" t="s">
        <v>584</v>
      </c>
      <c r="C377" t="s">
        <v>358</v>
      </c>
      <c r="D377" s="2">
        <v>36581</v>
      </c>
      <c r="E377">
        <v>6.2799129999999996</v>
      </c>
      <c r="F377" s="2">
        <v>37155</v>
      </c>
      <c r="G377">
        <v>10.52134</v>
      </c>
      <c r="H377" s="3">
        <v>0.6754</v>
      </c>
      <c r="I377">
        <v>4135.91</v>
      </c>
      <c r="J377" s="3">
        <v>0.67269999999999996</v>
      </c>
      <c r="K377">
        <v>979</v>
      </c>
      <c r="P377" s="2"/>
      <c r="R377" s="2"/>
      <c r="T377" s="3"/>
      <c r="V377" s="3"/>
      <c r="AB377" s="3"/>
      <c r="AC377" s="3"/>
      <c r="AD377" s="3"/>
    </row>
    <row r="378" spans="1:30" x14ac:dyDescent="0.25">
      <c r="A378" t="s">
        <v>159</v>
      </c>
      <c r="B378" t="s">
        <v>452</v>
      </c>
      <c r="C378" t="s">
        <v>358</v>
      </c>
      <c r="D378" s="2">
        <v>36686</v>
      </c>
      <c r="E378">
        <v>6.1297439999999996</v>
      </c>
      <c r="F378" s="2">
        <v>37148</v>
      </c>
      <c r="G378">
        <v>7.154909</v>
      </c>
      <c r="H378" s="3">
        <v>0.16719999999999999</v>
      </c>
      <c r="I378">
        <v>1081.7</v>
      </c>
      <c r="J378" s="3">
        <v>0.1651</v>
      </c>
      <c r="K378">
        <v>1069</v>
      </c>
      <c r="P378" s="2"/>
      <c r="R378" s="2"/>
      <c r="T378" s="3"/>
      <c r="V378" s="3"/>
      <c r="AB378" s="3"/>
      <c r="AC378" s="3"/>
      <c r="AD378" s="3"/>
    </row>
    <row r="379" spans="1:30" x14ac:dyDescent="0.25">
      <c r="A379" t="s">
        <v>317</v>
      </c>
      <c r="B379" t="s">
        <v>553</v>
      </c>
      <c r="C379" t="s">
        <v>358</v>
      </c>
      <c r="D379" s="2">
        <v>36952</v>
      </c>
      <c r="E379">
        <v>2.0065430000000002</v>
      </c>
      <c r="F379" s="2">
        <v>37099</v>
      </c>
      <c r="G379">
        <v>2.0697179999999999</v>
      </c>
      <c r="H379" s="3">
        <v>3.15E-2</v>
      </c>
      <c r="I379">
        <v>221.38</v>
      </c>
      <c r="J379" s="3">
        <v>2.9499999999999998E-2</v>
      </c>
      <c r="K379">
        <v>3746</v>
      </c>
      <c r="P379" s="2"/>
      <c r="R379" s="2"/>
      <c r="T379" s="3"/>
      <c r="V379" s="3"/>
      <c r="AB379" s="3"/>
      <c r="AC379" s="3"/>
      <c r="AD379" s="3"/>
    </row>
    <row r="380" spans="1:30" x14ac:dyDescent="0.25">
      <c r="A380" t="s">
        <v>347</v>
      </c>
      <c r="B380" t="s">
        <v>585</v>
      </c>
      <c r="C380" t="s">
        <v>358</v>
      </c>
      <c r="D380" s="2">
        <v>36693</v>
      </c>
      <c r="E380">
        <v>2.9249109999999998</v>
      </c>
      <c r="F380" s="2">
        <v>36952</v>
      </c>
      <c r="G380">
        <v>2.91</v>
      </c>
      <c r="H380" s="3">
        <v>-5.1000000000000004E-3</v>
      </c>
      <c r="I380">
        <v>-46.16</v>
      </c>
      <c r="J380" s="3">
        <v>-7.1000000000000004E-3</v>
      </c>
      <c r="K380">
        <v>2225</v>
      </c>
      <c r="P380" s="2"/>
      <c r="R380" s="2"/>
      <c r="T380" s="3"/>
      <c r="V380" s="3"/>
      <c r="AB380" s="3"/>
      <c r="AC380" s="3"/>
      <c r="AD380" s="3"/>
    </row>
    <row r="381" spans="1:30" x14ac:dyDescent="0.25">
      <c r="A381" t="s">
        <v>348</v>
      </c>
      <c r="B381" t="s">
        <v>586</v>
      </c>
      <c r="C381" t="s">
        <v>358</v>
      </c>
      <c r="D381" s="2">
        <v>36630</v>
      </c>
      <c r="E381">
        <v>0.84</v>
      </c>
      <c r="F381" s="2">
        <v>36752</v>
      </c>
      <c r="G381">
        <v>0.92</v>
      </c>
      <c r="H381" s="3">
        <v>9.5200000000000007E-2</v>
      </c>
      <c r="I381">
        <v>625.37</v>
      </c>
      <c r="J381" s="3">
        <v>9.3100000000000002E-2</v>
      </c>
      <c r="K381">
        <v>7993</v>
      </c>
      <c r="P381" s="2"/>
      <c r="R381" s="2"/>
      <c r="T381" s="3"/>
      <c r="V381" s="3"/>
      <c r="AB381" s="3"/>
      <c r="AC381" s="3"/>
      <c r="AD381" s="3"/>
    </row>
    <row r="382" spans="1:30" x14ac:dyDescent="0.25">
      <c r="A382" t="s">
        <v>349</v>
      </c>
      <c r="B382" t="s">
        <v>587</v>
      </c>
      <c r="C382" t="s">
        <v>358</v>
      </c>
      <c r="D382" s="2">
        <v>36588</v>
      </c>
      <c r="E382">
        <v>9.4342159999999993</v>
      </c>
      <c r="F382" s="2">
        <v>36690</v>
      </c>
      <c r="G382">
        <v>9.4700000000000006</v>
      </c>
      <c r="H382" s="3">
        <v>3.8E-3</v>
      </c>
      <c r="I382">
        <v>10.92</v>
      </c>
      <c r="J382" s="3">
        <v>1.8E-3</v>
      </c>
      <c r="K382">
        <v>647</v>
      </c>
      <c r="P382" s="2"/>
      <c r="R382" s="2"/>
      <c r="T382" s="3"/>
      <c r="V382" s="3"/>
      <c r="AB382" s="3"/>
      <c r="AC382" s="3"/>
      <c r="AD382" s="3"/>
    </row>
    <row r="383" spans="1:30" x14ac:dyDescent="0.25">
      <c r="A383" t="s">
        <v>350</v>
      </c>
      <c r="B383" t="s">
        <v>588</v>
      </c>
      <c r="C383" t="s">
        <v>358</v>
      </c>
      <c r="D383" s="2">
        <v>36630</v>
      </c>
      <c r="E383">
        <v>2.444858</v>
      </c>
      <c r="F383" s="2">
        <v>36679</v>
      </c>
      <c r="G383">
        <v>2.4500000000000002</v>
      </c>
      <c r="H383" s="3">
        <v>2.0999999999999999E-3</v>
      </c>
      <c r="I383">
        <v>0.68</v>
      </c>
      <c r="J383" s="3">
        <v>1E-4</v>
      </c>
      <c r="K383">
        <v>2746</v>
      </c>
      <c r="P383" s="2"/>
      <c r="R383" s="2"/>
      <c r="T383" s="3"/>
      <c r="V383" s="3"/>
      <c r="AB383" s="3"/>
      <c r="AC383" s="3"/>
      <c r="AD383" s="3"/>
    </row>
    <row r="384" spans="1:30" x14ac:dyDescent="0.25">
      <c r="A384" t="s">
        <v>351</v>
      </c>
      <c r="B384" t="s">
        <v>589</v>
      </c>
      <c r="C384" t="s">
        <v>358</v>
      </c>
      <c r="D384" s="2">
        <v>36581</v>
      </c>
      <c r="E384">
        <v>1.8506229999999999</v>
      </c>
      <c r="F384" s="2">
        <v>36679</v>
      </c>
      <c r="G384">
        <v>2.2577530000000001</v>
      </c>
      <c r="H384" s="3">
        <v>0.22</v>
      </c>
      <c r="I384">
        <v>1339.24</v>
      </c>
      <c r="J384" s="3">
        <v>0.21779999999999999</v>
      </c>
      <c r="K384">
        <v>3323</v>
      </c>
      <c r="P384" s="2"/>
      <c r="R384" s="2"/>
      <c r="T384" s="3"/>
      <c r="V384" s="3"/>
      <c r="AB384" s="3"/>
      <c r="AC384" s="3"/>
      <c r="AD384" s="3"/>
    </row>
    <row r="385" spans="1:30" x14ac:dyDescent="0.25">
      <c r="A385" t="s">
        <v>342</v>
      </c>
      <c r="B385" t="s">
        <v>579</v>
      </c>
      <c r="C385" t="s">
        <v>358</v>
      </c>
      <c r="D385" s="2">
        <v>36553</v>
      </c>
      <c r="E385">
        <v>0.46381640000000002</v>
      </c>
      <c r="F385" s="2">
        <v>36644</v>
      </c>
      <c r="G385">
        <v>0.63113620000000004</v>
      </c>
      <c r="H385" s="3">
        <v>0.36070000000000002</v>
      </c>
      <c r="I385">
        <v>2217.44</v>
      </c>
      <c r="J385" s="3">
        <v>0.3584</v>
      </c>
      <c r="K385">
        <v>13340</v>
      </c>
      <c r="P385" s="2"/>
      <c r="R385" s="2"/>
      <c r="T385" s="3"/>
      <c r="V385" s="3"/>
      <c r="AB385" s="3"/>
      <c r="AC385" s="3"/>
      <c r="AD385" s="3"/>
    </row>
    <row r="386" spans="1:30" x14ac:dyDescent="0.25">
      <c r="A386" t="s">
        <v>352</v>
      </c>
      <c r="B386" t="s">
        <v>590</v>
      </c>
      <c r="C386" t="s">
        <v>358</v>
      </c>
      <c r="D386" s="2">
        <v>36567</v>
      </c>
      <c r="E386">
        <v>1.5337019999999999</v>
      </c>
      <c r="F386" s="2">
        <v>36636</v>
      </c>
      <c r="G386">
        <v>1.4128670000000001</v>
      </c>
      <c r="H386" s="3">
        <v>-7.8799999999999995E-2</v>
      </c>
      <c r="I386">
        <v>-498.96</v>
      </c>
      <c r="J386" s="3">
        <v>-8.0699999999999994E-2</v>
      </c>
      <c r="K386">
        <v>4031</v>
      </c>
      <c r="P386" s="2"/>
      <c r="R386" s="2"/>
      <c r="T386" s="3"/>
      <c r="V386" s="3"/>
      <c r="AB386" s="3"/>
      <c r="AC386" s="3"/>
      <c r="AD386" s="3"/>
    </row>
    <row r="387" spans="1:30" x14ac:dyDescent="0.25">
      <c r="A387" t="s">
        <v>353</v>
      </c>
      <c r="B387" t="s">
        <v>591</v>
      </c>
      <c r="C387" t="s">
        <v>358</v>
      </c>
      <c r="D387" s="2">
        <v>36567</v>
      </c>
      <c r="E387">
        <v>2.293399</v>
      </c>
      <c r="F387" s="2">
        <v>36636</v>
      </c>
      <c r="G387">
        <v>1.793501</v>
      </c>
      <c r="H387" s="3">
        <v>-0.218</v>
      </c>
      <c r="I387">
        <v>-1358.74</v>
      </c>
      <c r="J387" s="3">
        <v>-0.2198</v>
      </c>
      <c r="K387">
        <v>2696</v>
      </c>
      <c r="P387" s="2"/>
      <c r="R387" s="2"/>
      <c r="T387" s="3"/>
      <c r="V387" s="3"/>
      <c r="AB387" s="3"/>
      <c r="AC387" s="3"/>
      <c r="AD387" s="3"/>
    </row>
    <row r="388" spans="1:30" x14ac:dyDescent="0.25">
      <c r="A388" t="s">
        <v>334</v>
      </c>
      <c r="B388" t="s">
        <v>571</v>
      </c>
      <c r="C388" t="s">
        <v>358</v>
      </c>
      <c r="D388" s="2">
        <v>36532</v>
      </c>
      <c r="E388">
        <v>4.580076</v>
      </c>
      <c r="F388" s="2">
        <v>36636</v>
      </c>
      <c r="G388">
        <v>3.8500839999999998</v>
      </c>
      <c r="H388" s="3">
        <v>-0.15939999999999999</v>
      </c>
      <c r="I388">
        <v>-1007.21</v>
      </c>
      <c r="J388" s="3">
        <v>-0.16120000000000001</v>
      </c>
      <c r="K388">
        <v>1364</v>
      </c>
      <c r="P388" s="2"/>
      <c r="R388" s="2"/>
      <c r="T388" s="3"/>
      <c r="V388" s="3"/>
      <c r="AB388" s="3"/>
      <c r="AC388" s="3"/>
      <c r="AD388" s="3"/>
    </row>
    <row r="389" spans="1:30" x14ac:dyDescent="0.25">
      <c r="A389" t="s">
        <v>354</v>
      </c>
      <c r="B389" t="s">
        <v>592</v>
      </c>
      <c r="C389" t="s">
        <v>358</v>
      </c>
      <c r="D389" s="2">
        <v>36581</v>
      </c>
      <c r="E389">
        <v>28.719629999999999</v>
      </c>
      <c r="F389" s="2">
        <v>36623</v>
      </c>
      <c r="G389">
        <v>41.250410000000002</v>
      </c>
      <c r="H389" s="3">
        <v>0.43630000000000002</v>
      </c>
      <c r="I389">
        <v>2666.61</v>
      </c>
      <c r="J389" s="3">
        <v>0.43390000000000001</v>
      </c>
      <c r="K389">
        <v>214</v>
      </c>
      <c r="P389" s="2"/>
      <c r="R389" s="2"/>
      <c r="T389" s="3"/>
      <c r="V389" s="3"/>
      <c r="AB389" s="3"/>
      <c r="AC389" s="3"/>
      <c r="AD389" s="3"/>
    </row>
    <row r="390" spans="1:30" x14ac:dyDescent="0.25">
      <c r="A390" t="s">
        <v>355</v>
      </c>
      <c r="B390" t="s">
        <v>593</v>
      </c>
      <c r="C390" t="s">
        <v>358</v>
      </c>
      <c r="D390" s="2">
        <v>36567</v>
      </c>
      <c r="E390">
        <v>1.3594409999999999</v>
      </c>
      <c r="F390" s="2">
        <v>36623</v>
      </c>
      <c r="G390">
        <v>1.8159780000000001</v>
      </c>
      <c r="H390" s="3">
        <v>0.33579999999999999</v>
      </c>
      <c r="I390">
        <v>2061.44</v>
      </c>
      <c r="J390" s="3">
        <v>0.33350000000000002</v>
      </c>
      <c r="K390">
        <v>4547</v>
      </c>
      <c r="P390" s="2"/>
      <c r="R390" s="2"/>
      <c r="T390" s="3"/>
      <c r="V390" s="3"/>
      <c r="AB390" s="3"/>
      <c r="AC390" s="3"/>
      <c r="AD390" s="3"/>
    </row>
    <row r="391" spans="1:30" x14ac:dyDescent="0.25">
      <c r="A391" t="s">
        <v>356</v>
      </c>
      <c r="B391" t="s">
        <v>594</v>
      </c>
      <c r="C391" t="s">
        <v>358</v>
      </c>
      <c r="D391" s="2">
        <v>36546</v>
      </c>
      <c r="E391">
        <v>6.498488</v>
      </c>
      <c r="F391" s="2">
        <v>36581</v>
      </c>
      <c r="G391">
        <v>4.4220480000000002</v>
      </c>
      <c r="H391" s="3">
        <v>-0.31950000000000001</v>
      </c>
      <c r="I391">
        <v>-1999.69</v>
      </c>
      <c r="J391" s="3">
        <v>-0.32119999999999999</v>
      </c>
      <c r="K391">
        <v>958</v>
      </c>
      <c r="P391" s="2"/>
      <c r="Q391" s="2"/>
      <c r="R391" s="2"/>
      <c r="S391" s="2"/>
      <c r="T391" s="3"/>
      <c r="U391" s="3"/>
      <c r="V391" s="3"/>
      <c r="W391" s="3"/>
      <c r="AB391" s="3"/>
      <c r="AC391" s="3"/>
      <c r="AD391" s="3"/>
    </row>
  </sheetData>
  <sortState xmlns:xlrd2="http://schemas.microsoft.com/office/spreadsheetml/2017/richdata2" ref="M11:W390">
    <sortCondition ref="P11:P39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J37" sqref="J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c r="D28" s="3"/>
      <c r="E28" s="3"/>
      <c r="F28" s="3"/>
      <c r="G28" s="3"/>
      <c r="H28" s="3"/>
      <c r="I28" s="3"/>
      <c r="J28" s="3"/>
      <c r="K28" s="3"/>
      <c r="L28" s="3"/>
      <c r="M28" s="3"/>
      <c r="N28" s="3">
        <v>-9.0283275005990093E-3</v>
      </c>
      <c r="O28" s="3"/>
      <c r="Q28" s="3"/>
      <c r="R28" s="3"/>
      <c r="S28" s="3"/>
      <c r="T28" s="3"/>
      <c r="U28" s="3"/>
      <c r="V28" s="3"/>
      <c r="W28" s="3"/>
      <c r="X28" s="3"/>
      <c r="Y28" s="3"/>
      <c r="Z28" s="3"/>
      <c r="AA28" s="3"/>
      <c r="AB28" s="3"/>
      <c r="AC28" s="16"/>
    </row>
    <row r="29" spans="1:29" x14ac:dyDescent="0.25">
      <c r="A29" t="s">
        <v>238</v>
      </c>
      <c r="B29" s="3">
        <v>5.961913796274111E-3</v>
      </c>
      <c r="C29" s="3">
        <v>8.9999999999999993E-3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N33" s="24"/>
      <c r="O33" s="24"/>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89"/>
  <sheetViews>
    <sheetView topLeftCell="A1360" workbookViewId="0">
      <selection activeCell="H1389" sqref="H1389"/>
    </sheetView>
  </sheetViews>
  <sheetFormatPr defaultRowHeight="15" x14ac:dyDescent="0.25"/>
  <cols>
    <col min="1" max="1" width="10.7109375" bestFit="1" customWidth="1"/>
    <col min="6" max="7" width="13.85546875" bestFit="1" customWidth="1"/>
  </cols>
  <sheetData>
    <row r="1" spans="1:8" x14ac:dyDescent="0.25">
      <c r="A1" s="8" t="s">
        <v>603</v>
      </c>
      <c r="B1" s="7" t="s">
        <v>357</v>
      </c>
      <c r="C1" s="7" t="s">
        <v>604</v>
      </c>
      <c r="D1" s="7" t="s">
        <v>605</v>
      </c>
      <c r="E1" s="7" t="s">
        <v>606</v>
      </c>
      <c r="F1" s="7" t="s">
        <v>607</v>
      </c>
      <c r="G1" s="7" t="s">
        <v>608</v>
      </c>
      <c r="H1" s="7" t="s">
        <v>711</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89"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2026-02-08T07:44:15Z</dcterms:modified>
</cp:coreProperties>
</file>